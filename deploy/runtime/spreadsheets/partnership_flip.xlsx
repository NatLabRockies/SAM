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showInkAnnotation="0" codeName="ThisWorkbook" defaultThemeVersion="124226"/>
  <xr:revisionPtr revIDLastSave="0" documentId="13_ncr:1_{CB371C51-990D-4DD7-8919-1EE61CE99BEB}" xr6:coauthVersionLast="47" xr6:coauthVersionMax="47" xr10:uidLastSave="{00000000-0000-0000-0000-000000000000}"/>
  <bookViews>
    <workbookView xWindow="-120" yWindow="-120" windowWidth="29040" windowHeight="15720" tabRatio="734" xr2:uid="{00000000-000D-0000-FFFF-FFFF00000000}"/>
  </bookViews>
  <sheets>
    <sheet name="Inputs" sheetId="1" r:id="rId1"/>
    <sheet name="Cash Flow" sheetId="7" r:id="rId2"/>
    <sheet name="Depreciation Schedules" sheetId="4" r:id="rId3"/>
  </sheets>
  <definedNames>
    <definedName name="analysis_period">Inputs!$C$47</definedName>
    <definedName name="annual_fuel_usage">Inputs!$C$19</definedName>
    <definedName name="AnnualLandLease">Inputs!$D$225</definedName>
    <definedName name="AnnualOMCapacity">Inputs!$D$176</definedName>
    <definedName name="AnnualOMFixed">Inputs!$D$175</definedName>
    <definedName name="AnnualOMProduction">Inputs!$D$177</definedName>
    <definedName name="AnnualPBIFederal">Inputs!$D$189</definedName>
    <definedName name="AnnualPBIOther">Inputs!$D$192</definedName>
    <definedName name="AnnualPBIState">Inputs!$D$190</definedName>
    <definedName name="AnnualPBIUtility">Inputs!$D$191</definedName>
    <definedName name="AnnualPTCFederal">Inputs!$D$194</definedName>
    <definedName name="AnnualPTCState">Inputs!$D$195</definedName>
    <definedName name="AnnualTaxFederal">Inputs!$C$180</definedName>
    <definedName name="AnnualTaxState">Inputs!$C$179</definedName>
    <definedName name="batt_annual_discharge_energy">Inputs!$C$166</definedName>
    <definedName name="cbi_fed_amount">Inputs!$C$138</definedName>
    <definedName name="cbi_fed_deprbas_fed">Inputs!$G$138</definedName>
    <definedName name="cbi_fed_deprbas_sta">Inputs!$H$138</definedName>
    <definedName name="cbi_fed_maxvalue">Inputs!$D$138</definedName>
    <definedName name="cbi_fed_tax_fed">Inputs!$E$138</definedName>
    <definedName name="cbi_fed_tax_sta">Inputs!$F$138</definedName>
    <definedName name="cbi_oth_amount">Inputs!$C$141</definedName>
    <definedName name="cbi_oth_deprbas_fed">Inputs!$G$141</definedName>
    <definedName name="cbi_oth_deprbas_sta">Inputs!$H$141</definedName>
    <definedName name="cbi_oth_maxvalue">Inputs!$D$141</definedName>
    <definedName name="cbi_oth_tax_fed">Inputs!$E$141</definedName>
    <definedName name="cbi_oth_tax_sta">Inputs!$F$141</definedName>
    <definedName name="cbi_sta_amount">Inputs!$C$139</definedName>
    <definedName name="cbi_sta_deprbas_fed">Inputs!$G$139</definedName>
    <definedName name="cbi_sta_deprbas_sta">Inputs!$H$139</definedName>
    <definedName name="cbi_sta_maxvalue">Inputs!$D$139</definedName>
    <definedName name="cbi_sta_tax_fed">Inputs!$E$139</definedName>
    <definedName name="cbi_sta_tax_sta">Inputs!$F$139</definedName>
    <definedName name="cbi_uti_amount">Inputs!$C$140</definedName>
    <definedName name="cbi_uti_deprbas_fed">Inputs!$G$140</definedName>
    <definedName name="cbi_uti_deprbas_sta">Inputs!$H$140</definedName>
    <definedName name="cbi_uti_maxvalue">Inputs!$D$140</definedName>
    <definedName name="cbi_uti_tax_fed">Inputs!$E$140</definedName>
    <definedName name="cbi_uti_tax_sta">Inputs!$F$140</definedName>
    <definedName name="cf_annual_cost_lcos">Inputs!$C$222</definedName>
    <definedName name="cf_annual_discharge_lcos">Inputs!$C$223</definedName>
    <definedName name="cf_battery_replacement_cost">Inputs!$C$202</definedName>
    <definedName name="cf_capacity_payment">Inputs!$C$171</definedName>
    <definedName name="cf_curtailment_value">Inputs!$C$172</definedName>
    <definedName name="cf_disbursement_debtservice">Inputs!$C$217</definedName>
    <definedName name="cf_energy_net">Inputs!$C$164</definedName>
    <definedName name="cf_energy_purchases">Inputs!$C$163</definedName>
    <definedName name="cf_energy_sales">Inputs!$C$162</definedName>
    <definedName name="cf_energy_value">Inputs!$C$170</definedName>
    <definedName name="cf_energy_without_battery">Inputs!$C$165</definedName>
    <definedName name="cf_fuelcell_replacement_cost">Inputs!$C$207</definedName>
    <definedName name="cf_funding_debtservice">Inputs!$C$216</definedName>
    <definedName name="cf_om_capacity1_expense">Inputs!$C$200</definedName>
    <definedName name="cf_om_capacity2_expense">Inputs!$C$205</definedName>
    <definedName name="cf_om_fixed1_expense">Inputs!$C$199</definedName>
    <definedName name="cf_om_fixed2_expense">Inputs!$C$204</definedName>
    <definedName name="cf_om_fuel_expense">Inputs!$C$210</definedName>
    <definedName name="cf_om_opt_fuel_1_expense">Inputs!$C$211</definedName>
    <definedName name="cf_om_opt_fuel_2_expense">Inputs!$C$212</definedName>
    <definedName name="cf_om_production1_expense">Inputs!$C$201</definedName>
    <definedName name="cf_om_production2_expense">Inputs!$C$206</definedName>
    <definedName name="cf_ppa_price">Inputs!$C$169</definedName>
    <definedName name="cf_recapitalization">Inputs!$C$214</definedName>
    <definedName name="cf_reserve_debtservice">Inputs!$C$218</definedName>
    <definedName name="cf_thermal_value">Inputs!$C$173</definedName>
    <definedName name="cf_utility_bill">Inputs!$C$197</definedName>
    <definedName name="const_per_interest_rate1">Inputs!$F$93</definedName>
    <definedName name="const_per_interest_rate2">Inputs!$F$94</definedName>
    <definedName name="const_per_interest_rate3">Inputs!$F$95</definedName>
    <definedName name="const_per_interest_rate4">Inputs!$F$96</definedName>
    <definedName name="const_per_interest_rate5">Inputs!$F$97</definedName>
    <definedName name="const_per_months1">Inputs!$E$93</definedName>
    <definedName name="const_per_months2">Inputs!$E$94</definedName>
    <definedName name="const_per_months3">Inputs!$E$95</definedName>
    <definedName name="const_per_months4">Inputs!$E$96</definedName>
    <definedName name="const_per_months5">Inputs!$E$97</definedName>
    <definedName name="const_per_percent1">Inputs!$C$93</definedName>
    <definedName name="const_per_percent2">Inputs!$C$94</definedName>
    <definedName name="const_per_percent3">Inputs!$C$95</definedName>
    <definedName name="const_per_percent4">Inputs!$C$96</definedName>
    <definedName name="const_per_percent5">Inputs!$C$97</definedName>
    <definedName name="const_per_upfront_rate1">Inputs!$D$93</definedName>
    <definedName name="const_per_upfront_rate2">Inputs!$D$94</definedName>
    <definedName name="const_per_upfront_rate3">Inputs!$D$95</definedName>
    <definedName name="const_per_upfront_rate4">Inputs!$D$96</definedName>
    <definedName name="const_per_upfront_rate5">Inputs!$D$97</definedName>
    <definedName name="construction_financing_cost">Inputs!$C$89</definedName>
    <definedName name="cost_debt_closing">Inputs!$C$77</definedName>
    <definedName name="cost_debt_fee">Inputs!$C$78</definedName>
    <definedName name="cost_dev_fee_percent">Inputs!$C$84</definedName>
    <definedName name="cost_equity_closing">Inputs!$C$82</definedName>
    <definedName name="cost_other_financing">Inputs!$C$83</definedName>
    <definedName name="CostDebtUpfront">Inputs!$C$79</definedName>
    <definedName name="DebtPayment">Inputs!$C$72</definedName>
    <definedName name="DebtPercent">Inputs!$C$67</definedName>
    <definedName name="DebtServiceCoverageRatio">Inputs!$C$69</definedName>
    <definedName name="depr_alloc_custom_percent">Inputs!$C$156</definedName>
    <definedName name="depr_alloc_macrs_15_percent">Inputs!$C$151</definedName>
    <definedName name="depr_alloc_macrs_5_percent">Inputs!$C$150</definedName>
    <definedName name="depr_alloc_sl_15_percent">Inputs!$C$153</definedName>
    <definedName name="depr_alloc_sl_20_percent">Inputs!$C$154</definedName>
    <definedName name="depr_alloc_sl_39_percent">Inputs!$C$155</definedName>
    <definedName name="depr_alloc_sl_5_percent">Inputs!$C$152</definedName>
    <definedName name="depr_bonus_fed">Inputs!$D$157</definedName>
    <definedName name="depr_bonus_fed_custom">Inputs!$D$156</definedName>
    <definedName name="depr_bonus_fed_macrs_15">Inputs!$D$151</definedName>
    <definedName name="depr_bonus_fed_macrs_5">Inputs!$D$150</definedName>
    <definedName name="depr_bonus_fed_sl_15">Inputs!$D$153</definedName>
    <definedName name="depr_bonus_fed_sl_20">Inputs!$D$154</definedName>
    <definedName name="depr_bonus_fed_sl_39">Inputs!$D$155</definedName>
    <definedName name="depr_bonus_fed_sl_5">Inputs!$D$152</definedName>
    <definedName name="depr_bonus_sta">Inputs!$E$157</definedName>
    <definedName name="depr_bonus_sta_custom">Inputs!$E$156</definedName>
    <definedName name="depr_bonus_sta_macrs_15">Inputs!$E$151</definedName>
    <definedName name="depr_bonus_sta_macrs_5">Inputs!$E$150</definedName>
    <definedName name="depr_bonus_sta_sl_15">Inputs!$E$153</definedName>
    <definedName name="depr_bonus_sta_sl_20">Inputs!$E$154</definedName>
    <definedName name="depr_bonus_sta_sl_39">Inputs!$E$155</definedName>
    <definedName name="depr_bonus_sta_sl_5">Inputs!$E$152</definedName>
    <definedName name="depr_custom_schedule">Inputs!$D$220</definedName>
    <definedName name="depr_itc_fed_custom">Inputs!$F$156</definedName>
    <definedName name="depr_itc_fed_macrs_15">Inputs!$F$151</definedName>
    <definedName name="depr_itc_fed_macrs_5">Inputs!$F$150</definedName>
    <definedName name="depr_itc_fed_sl_15">Inputs!$F$153</definedName>
    <definedName name="depr_itc_fed_sl_20">Inputs!$F$154</definedName>
    <definedName name="depr_itc_fed_sl_39">Inputs!$F$155</definedName>
    <definedName name="depr_itc_fed_sl_5">Inputs!$F$152</definedName>
    <definedName name="depr_itc_sta_custom">Inputs!$G$156</definedName>
    <definedName name="depr_itc_sta_macrs_15">Inputs!$G$151</definedName>
    <definedName name="depr_itc_sta_macrs_5">Inputs!$G$150</definedName>
    <definedName name="depr_itc_sta_sl_15">Inputs!$G$153</definedName>
    <definedName name="depr_itc_sta_sl_20">Inputs!$G$154</definedName>
    <definedName name="depr_itc_sta_sl_39">Inputs!$G$155</definedName>
    <definedName name="depr_itc_sta_sl_5">Inputs!$G$152</definedName>
    <definedName name="developer_equity_percent">Inputs!$D$38</definedName>
    <definedName name="developer_postflip_cash_percent">Inputs!$D$40</definedName>
    <definedName name="developer_postflip_tax_percent">Inputs!$D$42</definedName>
    <definedName name="developer_preflip_cash_percent">Inputs!$D$39</definedName>
    <definedName name="developer_preflip_tax_percent">Inputs!$D$41</definedName>
    <definedName name="dscr_limit_debt_fraction">Inputs!$C$70</definedName>
    <definedName name="dscr_maximum_debt_fraction">Inputs!$C$71</definedName>
    <definedName name="dscr_reserve_months">Inputs!$C$103</definedName>
    <definedName name="equip_reserve_depr_fed">Inputs!$C$110</definedName>
    <definedName name="equip_reserve_depr_sta">Inputs!$C$111</definedName>
    <definedName name="equip1_reserve_cost">Inputs!$C$106</definedName>
    <definedName name="equip1_reserve_freq">Inputs!$E$106</definedName>
    <definedName name="equip2_reserve_cost">Inputs!$C$107</definedName>
    <definedName name="equip2_reserve_freq">Inputs!$E$107</definedName>
    <definedName name="equip3_reserve_cost">Inputs!$C$108</definedName>
    <definedName name="equip3_reserve_freq">Inputs!$E$108</definedName>
    <definedName name="federal_tax_rate">Inputs!$C$52</definedName>
    <definedName name="flip_actual_year">Inputs!$C$32</definedName>
    <definedName name="flip_target_year">Inputs!$C$33</definedName>
    <definedName name="fuelcell_annual_energy_discharged">Inputs!$C$167</definedName>
    <definedName name="FuelCellFuel">Inputs!$C$208</definedName>
    <definedName name="ibi_fed_amount">Inputs!$C$128</definedName>
    <definedName name="ibi_fed_amount_deprbas_fed">Inputs!$G$128</definedName>
    <definedName name="ibi_fed_amount_deprbas_sta">Inputs!$H$128</definedName>
    <definedName name="ibi_fed_amount_tax_fed">Inputs!$E$128</definedName>
    <definedName name="ibi_fed_amount_tax_sta">Inputs!$F$128</definedName>
    <definedName name="ibi_fed_percent">Inputs!$C$133</definedName>
    <definedName name="ibi_fed_percent_deprbas_fed">Inputs!$G$133</definedName>
    <definedName name="ibi_fed_percent_deprbas_sta">Inputs!$H$133</definedName>
    <definedName name="ibi_fed_percent_maxvalue">Inputs!$D$133</definedName>
    <definedName name="ibi_fed_percent_tax_fed">Inputs!$E$133</definedName>
    <definedName name="ibi_fed_percent_tax_sta">Inputs!$F$133</definedName>
    <definedName name="ibi_oth_amount">Inputs!$C$131</definedName>
    <definedName name="ibi_oth_amount_deprbas_fed">Inputs!$G$131</definedName>
    <definedName name="ibi_oth_amount_deprbas_sta">Inputs!$H$131</definedName>
    <definedName name="ibi_oth_amount_tax_fed">Inputs!$E$131</definedName>
    <definedName name="ibi_oth_amount_tax_sta">Inputs!$F$131</definedName>
    <definedName name="ibi_oth_percent">Inputs!$C$136</definedName>
    <definedName name="ibi_oth_percent_deprbas_fed">Inputs!$G$136</definedName>
    <definedName name="ibi_oth_percent_deprbas_sta">Inputs!$H$136</definedName>
    <definedName name="ibi_oth_percent_maxvalue">Inputs!$D$136</definedName>
    <definedName name="ibi_oth_percent_tax_fed">Inputs!$E$136</definedName>
    <definedName name="ibi_oth_percent_tax_sta">Inputs!$F$136</definedName>
    <definedName name="ibi_sta_amount">Inputs!$C$129</definedName>
    <definedName name="ibi_sta_amount_deprbas_fed">Inputs!$G$129</definedName>
    <definedName name="ibi_sta_amount_deprbas_sta">Inputs!$H$129</definedName>
    <definedName name="ibi_sta_amount_tax_fed">Inputs!$E$129</definedName>
    <definedName name="ibi_sta_amount_tax_sta">Inputs!$F$129</definedName>
    <definedName name="ibi_sta_percent">Inputs!$C$134</definedName>
    <definedName name="ibi_sta_percent_deprbas_fed">Inputs!$G$134</definedName>
    <definedName name="ibi_sta_percent_deprbas_sta">Inputs!$H$134</definedName>
    <definedName name="ibi_sta_percent_maxvalue">Inputs!$D$134</definedName>
    <definedName name="ibi_sta_percent_tax_fed">Inputs!$E$134</definedName>
    <definedName name="ibi_sta_percent_tax_sta">Inputs!$F$134</definedName>
    <definedName name="ibi_uti_amount">Inputs!$C$130</definedName>
    <definedName name="ibi_uti_amount_deprbas_fed">Inputs!$G$130</definedName>
    <definedName name="ibi_uti_amount_deprbas_sta">Inputs!$H$130</definedName>
    <definedName name="ibi_uti_amount_tax_fed">Inputs!$E$130</definedName>
    <definedName name="ibi_uti_amount_tax_sta">Inputs!$F$130</definedName>
    <definedName name="ibi_uti_percent">Inputs!$C$135</definedName>
    <definedName name="ibi_uti_percent_deprbas_fed">Inputs!$G$135</definedName>
    <definedName name="ibi_uti_percent_deprbas_sta">Inputs!$H$135</definedName>
    <definedName name="ibi_uti_percent_maxvalue">Inputs!$D$135</definedName>
    <definedName name="ibi_uti_percent_tax_fed">Inputs!$E$135</definedName>
    <definedName name="ibi_uti_percent_tax_sta">Inputs!$F$135</definedName>
    <definedName name="inflation_rate">Inputs!$C$48</definedName>
    <definedName name="insurance_rate">Inputs!$C$55</definedName>
    <definedName name="IRRTarget">Inputs!$C$31</definedName>
    <definedName name="itc_fed_amount">Inputs!$D$182</definedName>
    <definedName name="itc_fed_amount_deprbas_fed">Inputs!$E$116</definedName>
    <definedName name="itc_fed_amount_deprbas_sta">Inputs!$F$116</definedName>
    <definedName name="itc_fed_percent">Inputs!$D$184</definedName>
    <definedName name="itc_fed_percent_deprbas_fed">Inputs!$E$119</definedName>
    <definedName name="itc_fed_percent_deprbas_sta">Inputs!$F$119</definedName>
    <definedName name="itc_fed_percent_maxvalue">Inputs!$D$185</definedName>
    <definedName name="itc_sta_amount">Inputs!$D$183</definedName>
    <definedName name="itc_sta_amount_deprbas_fed">Inputs!$E$117</definedName>
    <definedName name="itc_sta_amount_deprbas_sta">Inputs!$F$117</definedName>
    <definedName name="itc_sta_percent">Inputs!$D$186</definedName>
    <definedName name="itc_sta_percent_deprbas_fed">Inputs!$E$120</definedName>
    <definedName name="itc_sta_percent_deprbas_sta">Inputs!$F$120</definedName>
    <definedName name="itc_sta_percent_maxvalue">Inputs!$D$187</definedName>
    <definedName name="loan_moratorium">Inputs!$C$75</definedName>
    <definedName name="months_receivables_reserve">Inputs!$C$104</definedName>
    <definedName name="months_working_reserve">Inputs!$C$102</definedName>
    <definedName name="MortgageSizeOfDebt">Inputs!$C$68</definedName>
    <definedName name="NominalDiscountRate">Inputs!$C$50</definedName>
    <definedName name="om_capacity">Inputs!$C$11</definedName>
    <definedName name="om_capacity_escal">Inputs!$C$12</definedName>
    <definedName name="om_fixed">Inputs!$C$9</definedName>
    <definedName name="om_fixed_escal">Inputs!$C$10</definedName>
    <definedName name="om_fuel_cost">Inputs!$C$21</definedName>
    <definedName name="om_fuel_cost_escal">Inputs!$C$22</definedName>
    <definedName name="om_land_lease">Inputs!$C$26</definedName>
    <definedName name="om_land_lease_escal">Inputs!$C$27</definedName>
    <definedName name="om_production">Inputs!$C$13</definedName>
    <definedName name="om_production_escal">Inputs!$C$14</definedName>
    <definedName name="pbi_fed_amount">Inputs!$C$143</definedName>
    <definedName name="pbi_fed_escal">Inputs!$E$143</definedName>
    <definedName name="pbi_fed_for_ds">Inputs!$H$143</definedName>
    <definedName name="pbi_fed_tax_fed">Inputs!$F$143</definedName>
    <definedName name="pbi_fed_tax_sta">Inputs!$G$143</definedName>
    <definedName name="pbi_fed_term">Inputs!$D$143</definedName>
    <definedName name="pbi_oth_amount">Inputs!$C$146</definedName>
    <definedName name="pbi_oth_escal">Inputs!$E$146</definedName>
    <definedName name="pbi_oth_for_ds">Inputs!$H$146</definedName>
    <definedName name="pbi_oth_tax_fed">Inputs!$F$146</definedName>
    <definedName name="pbi_oth_tax_sta">Inputs!$G$146</definedName>
    <definedName name="pbi_oth_term">Inputs!$D$146</definedName>
    <definedName name="pbi_sta_amount">Inputs!$C$144</definedName>
    <definedName name="pbi_sta_escal">Inputs!$E$144</definedName>
    <definedName name="pbi_sta_for_ds">Inputs!$H$144</definedName>
    <definedName name="pbi_sta_tax_fed">Inputs!$F$144</definedName>
    <definedName name="pbi_sta_tax_sta">Inputs!$G$144</definedName>
    <definedName name="pbi_sta_term">Inputs!$D$144</definedName>
    <definedName name="pbi_uti_amount">Inputs!$C$145</definedName>
    <definedName name="pbi_uti_escal">Inputs!$E$145</definedName>
    <definedName name="pbi_uti_for_ds">Inputs!$H$145</definedName>
    <definedName name="pbi_uti_tax_fed">Inputs!$F$145</definedName>
    <definedName name="pbi_uti_tax_sta">Inputs!$G$145</definedName>
    <definedName name="pbi_uti_term">Inputs!$D$145</definedName>
    <definedName name="ppa_escalation">Inputs!$C$35</definedName>
    <definedName name="PPAPriceInput">Inputs!$C$34</definedName>
    <definedName name="prop_tax_assessed_decline">Inputs!$C$59</definedName>
    <definedName name="prop_tax_cost_assessed_percent">Inputs!$C$57</definedName>
    <definedName name="property_tax_rate">Inputs!$C$60</definedName>
    <definedName name="PropertyTaxAssessedValue">Inputs!$C$58</definedName>
    <definedName name="ptc_fed_amount">Inputs!$C$122</definedName>
    <definedName name="ptc_fed_escal">Inputs!$E$122</definedName>
    <definedName name="ptc_fed_term">Inputs!$D$122</definedName>
    <definedName name="ptc_sta_amount">Inputs!$C$123</definedName>
    <definedName name="ptc_sta_escal">Inputs!$E$123</definedName>
    <definedName name="ptc_sta_term">Inputs!$D$123</definedName>
    <definedName name="real_discount_rate">Inputs!$C$49</definedName>
    <definedName name="reserves_interest">Inputs!$C$101</definedName>
    <definedName name="RevenueSelfConsumption">Inputs!#REF!</definedName>
    <definedName name="sales_tax_rate">Inputs!$C$54</definedName>
    <definedName name="salvage_percentage">Inputs!$C$62</definedName>
    <definedName name="solver_adj" localSheetId="0" hidden="1">Inputs!#REF!</definedName>
    <definedName name="solver_cvg" localSheetId="0" hidden="1">0.0001</definedName>
    <definedName name="solver_drv" localSheetId="0" hidden="1">1</definedName>
    <definedName name="solver_est" localSheetId="0" hidden="1">1</definedName>
    <definedName name="solver_itr" localSheetId="0" hidden="1">100</definedName>
    <definedName name="solver_lin" localSheetId="0" hidden="1">2</definedName>
    <definedName name="solver_neg" localSheetId="0" hidden="1">2</definedName>
    <definedName name="solver_num" localSheetId="0" hidden="1">0</definedName>
    <definedName name="solver_nwt" localSheetId="0" hidden="1">1</definedName>
    <definedName name="solver_opt" localSheetId="0" hidden="1">Inputs!#REF!</definedName>
    <definedName name="solver_pre" localSheetId="0" hidden="1">0.000001</definedName>
    <definedName name="solver_scl" localSheetId="0" hidden="1">2</definedName>
    <definedName name="solver_sho" localSheetId="0" hidden="1">2</definedName>
    <definedName name="solver_tim" localSheetId="0" hidden="1">100</definedName>
    <definedName name="solver_tol" localSheetId="0" hidden="1">0.05</definedName>
    <definedName name="solver_typ" localSheetId="0" hidden="1">3</definedName>
    <definedName name="solver_val" localSheetId="0" hidden="1">0.1</definedName>
    <definedName name="sponsor_cap_recovery_year">Inputs!$C$45</definedName>
    <definedName name="SponsorCapRecoveryMode">Inputs!$C$44</definedName>
    <definedName name="state_tax_rate">Inputs!$C$53</definedName>
    <definedName name="system_capacity">Inputs!$C$3</definedName>
    <definedName name="system_heat_rate">Inputs!$C$20</definedName>
    <definedName name="tax_investor_equity_percent">Inputs!$C$38</definedName>
    <definedName name="tax_investor_postflip_cash_percent">Inputs!$C$40</definedName>
    <definedName name="tax_investor_postflip_tax_percent">Inputs!$C$42</definedName>
    <definedName name="tax_investor_preflip_cash_percent">Inputs!$C$39</definedName>
    <definedName name="tax_investor_preflip_tax_percent">Inputs!$C$41</definedName>
    <definedName name="term_int_rate">Inputs!$C$76</definedName>
    <definedName name="term_tenor">Inputs!$C$74</definedName>
    <definedName name="TODMultipliersApply">Inputs!$C$36</definedName>
    <definedName name="total_installed_cost">Inputs!$C$6</definedName>
    <definedName name="total_land_area">Inputs!$C$25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08" i="1" l="1"/>
  <c r="D107" i="1"/>
  <c r="D106" i="1"/>
  <c r="C495" i="7"/>
  <c r="G304" i="7" l="1"/>
  <c r="B287" i="7"/>
  <c r="B291" i="7"/>
  <c r="B290" i="7"/>
  <c r="B289" i="7"/>
  <c r="B288" i="7"/>
  <c r="C582" i="7" a="1"/>
  <c r="C582" i="7" s="1"/>
  <c r="C581" i="7" a="1"/>
  <c r="F581" i="7" s="1"/>
  <c r="C580" i="7" a="1"/>
  <c r="D580" i="7" s="1"/>
  <c r="C576" i="7" a="1"/>
  <c r="F576" i="7" s="1"/>
  <c r="C575" i="7" a="1"/>
  <c r="C575" i="7" s="1"/>
  <c r="C574" i="7" a="1"/>
  <c r="E574" i="7" s="1"/>
  <c r="D120" i="1"/>
  <c r="D119" i="1"/>
  <c r="C120" i="1"/>
  <c r="C119" i="1"/>
  <c r="C117" i="1"/>
  <c r="C116" i="1"/>
  <c r="B649" i="7"/>
  <c r="AP684" i="7"/>
  <c r="B19" i="7" a="1"/>
  <c r="B19" i="7" s="1"/>
  <c r="B292" i="7" l="1"/>
  <c r="B293" i="7" s="1"/>
  <c r="AM574" i="7"/>
  <c r="AL574" i="7"/>
  <c r="AJ574" i="7"/>
  <c r="AI574" i="7"/>
  <c r="G574" i="7"/>
  <c r="F574" i="7"/>
  <c r="D574" i="7"/>
  <c r="C574" i="7"/>
  <c r="D581" i="7"/>
  <c r="C581" i="7"/>
  <c r="AG582" i="7"/>
  <c r="AD582" i="7"/>
  <c r="AC582" i="7"/>
  <c r="Z582" i="7"/>
  <c r="AH574" i="7"/>
  <c r="Y582" i="7"/>
  <c r="G576" i="7"/>
  <c r="AP582" i="7"/>
  <c r="AO582" i="7"/>
  <c r="AK582" i="7"/>
  <c r="U582" i="7"/>
  <c r="H576" i="7"/>
  <c r="D576" i="7"/>
  <c r="AL582" i="7"/>
  <c r="AH582" i="7"/>
  <c r="V582" i="7"/>
  <c r="C576" i="7"/>
  <c r="AF574" i="7"/>
  <c r="AE574" i="7"/>
  <c r="AP576" i="7"/>
  <c r="AN581" i="7"/>
  <c r="AD574" i="7"/>
  <c r="AN576" i="7"/>
  <c r="AM581" i="7"/>
  <c r="AB574" i="7"/>
  <c r="AM576" i="7"/>
  <c r="AJ581" i="7"/>
  <c r="AA574" i="7"/>
  <c r="AL576" i="7"/>
  <c r="AI581" i="7"/>
  <c r="Z574" i="7"/>
  <c r="AJ576" i="7"/>
  <c r="AF581" i="7"/>
  <c r="X574" i="7"/>
  <c r="AI576" i="7"/>
  <c r="AE581" i="7"/>
  <c r="W574" i="7"/>
  <c r="AF576" i="7"/>
  <c r="AB581" i="7"/>
  <c r="T574" i="7"/>
  <c r="AB576" i="7"/>
  <c r="X581" i="7"/>
  <c r="AP574" i="7"/>
  <c r="J574" i="7"/>
  <c r="L576" i="7"/>
  <c r="H581" i="7"/>
  <c r="V574" i="7"/>
  <c r="AE576" i="7"/>
  <c r="AA581" i="7"/>
  <c r="S574" i="7"/>
  <c r="AA576" i="7"/>
  <c r="W581" i="7"/>
  <c r="R582" i="7"/>
  <c r="R574" i="7"/>
  <c r="X576" i="7"/>
  <c r="T581" i="7"/>
  <c r="Q582" i="7"/>
  <c r="P574" i="7"/>
  <c r="W576" i="7"/>
  <c r="S581" i="7"/>
  <c r="N582" i="7"/>
  <c r="O574" i="7"/>
  <c r="T576" i="7"/>
  <c r="P581" i="7"/>
  <c r="M582" i="7"/>
  <c r="N574" i="7"/>
  <c r="S576" i="7"/>
  <c r="O581" i="7"/>
  <c r="J582" i="7"/>
  <c r="L574" i="7"/>
  <c r="P576" i="7"/>
  <c r="L581" i="7"/>
  <c r="F582" i="7"/>
  <c r="K574" i="7"/>
  <c r="O576" i="7"/>
  <c r="K581" i="7"/>
  <c r="AN574" i="7"/>
  <c r="H574" i="7"/>
  <c r="K576" i="7"/>
  <c r="G581" i="7"/>
  <c r="I582" i="7"/>
  <c r="AN582" i="7"/>
  <c r="AJ582" i="7"/>
  <c r="AF582" i="7"/>
  <c r="AB582" i="7"/>
  <c r="X582" i="7"/>
  <c r="T582" i="7"/>
  <c r="P582" i="7"/>
  <c r="L582" i="7"/>
  <c r="H582" i="7"/>
  <c r="D582" i="7"/>
  <c r="E582" i="7"/>
  <c r="AM582" i="7"/>
  <c r="AI582" i="7"/>
  <c r="AE582" i="7"/>
  <c r="AA582" i="7"/>
  <c r="W582" i="7"/>
  <c r="S582" i="7"/>
  <c r="O582" i="7"/>
  <c r="K582" i="7"/>
  <c r="G582" i="7"/>
  <c r="AO581" i="7"/>
  <c r="AK581" i="7"/>
  <c r="AG581" i="7"/>
  <c r="AC581" i="7"/>
  <c r="Y581" i="7"/>
  <c r="U581" i="7"/>
  <c r="Q581" i="7"/>
  <c r="M581" i="7"/>
  <c r="I581" i="7"/>
  <c r="E581" i="7"/>
  <c r="AP581" i="7"/>
  <c r="AL581" i="7"/>
  <c r="AH581" i="7"/>
  <c r="AD581" i="7"/>
  <c r="Z581" i="7"/>
  <c r="V581" i="7"/>
  <c r="R581" i="7"/>
  <c r="N581" i="7"/>
  <c r="J581" i="7"/>
  <c r="AM580" i="7"/>
  <c r="AI580" i="7"/>
  <c r="AE580" i="7"/>
  <c r="AA580" i="7"/>
  <c r="W580" i="7"/>
  <c r="S580" i="7"/>
  <c r="O580" i="7"/>
  <c r="K580" i="7"/>
  <c r="G580" i="7"/>
  <c r="C580" i="7"/>
  <c r="AP580" i="7"/>
  <c r="AL580" i="7"/>
  <c r="AH580" i="7"/>
  <c r="AD580" i="7"/>
  <c r="Z580" i="7"/>
  <c r="V580" i="7"/>
  <c r="R580" i="7"/>
  <c r="N580" i="7"/>
  <c r="J580" i="7"/>
  <c r="F580" i="7"/>
  <c r="AO580" i="7"/>
  <c r="AK580" i="7"/>
  <c r="AG580" i="7"/>
  <c r="AC580" i="7"/>
  <c r="Y580" i="7"/>
  <c r="U580" i="7"/>
  <c r="Q580" i="7"/>
  <c r="M580" i="7"/>
  <c r="I580" i="7"/>
  <c r="E580" i="7"/>
  <c r="AN580" i="7"/>
  <c r="AJ580" i="7"/>
  <c r="AF580" i="7"/>
  <c r="AB580" i="7"/>
  <c r="X580" i="7"/>
  <c r="T580" i="7"/>
  <c r="P580" i="7"/>
  <c r="L580" i="7"/>
  <c r="H580" i="7"/>
  <c r="AO576" i="7"/>
  <c r="AK576" i="7"/>
  <c r="AG576" i="7"/>
  <c r="AC576" i="7"/>
  <c r="Y576" i="7"/>
  <c r="U576" i="7"/>
  <c r="Q576" i="7"/>
  <c r="M576" i="7"/>
  <c r="I576" i="7"/>
  <c r="E576" i="7"/>
  <c r="AH576" i="7"/>
  <c r="AD576" i="7"/>
  <c r="Z576" i="7"/>
  <c r="V576" i="7"/>
  <c r="R576" i="7"/>
  <c r="N576" i="7"/>
  <c r="J576" i="7"/>
  <c r="AP575" i="7"/>
  <c r="AL575" i="7"/>
  <c r="AH575" i="7"/>
  <c r="AD575" i="7"/>
  <c r="Z575" i="7"/>
  <c r="V575" i="7"/>
  <c r="R575" i="7"/>
  <c r="N575" i="7"/>
  <c r="J575" i="7"/>
  <c r="F575" i="7"/>
  <c r="E575" i="7"/>
  <c r="AO575" i="7"/>
  <c r="AK575" i="7"/>
  <c r="AG575" i="7"/>
  <c r="AC575" i="7"/>
  <c r="Y575" i="7"/>
  <c r="U575" i="7"/>
  <c r="Q575" i="7"/>
  <c r="M575" i="7"/>
  <c r="I575" i="7"/>
  <c r="AN575" i="7"/>
  <c r="AJ575" i="7"/>
  <c r="AF575" i="7"/>
  <c r="AB575" i="7"/>
  <c r="X575" i="7"/>
  <c r="T575" i="7"/>
  <c r="P575" i="7"/>
  <c r="L575" i="7"/>
  <c r="H575" i="7"/>
  <c r="D575" i="7"/>
  <c r="AM575" i="7"/>
  <c r="AI575" i="7"/>
  <c r="AE575" i="7"/>
  <c r="AA575" i="7"/>
  <c r="W575" i="7"/>
  <c r="S575" i="7"/>
  <c r="O575" i="7"/>
  <c r="K575" i="7"/>
  <c r="G575" i="7"/>
  <c r="AO574" i="7"/>
  <c r="AK574" i="7"/>
  <c r="AG574" i="7"/>
  <c r="AC574" i="7"/>
  <c r="Y574" i="7"/>
  <c r="U574" i="7"/>
  <c r="Q574" i="7"/>
  <c r="M574" i="7"/>
  <c r="I574" i="7"/>
  <c r="AI21" i="7"/>
  <c r="AA21" i="7"/>
  <c r="S21" i="7"/>
  <c r="K21" i="7"/>
  <c r="C21" i="7"/>
  <c r="AJ20" i="7"/>
  <c r="AB20" i="7"/>
  <c r="T20" i="7"/>
  <c r="L20" i="7"/>
  <c r="D20" i="7"/>
  <c r="AK19" i="7"/>
  <c r="AC19" i="7"/>
  <c r="M19" i="7"/>
  <c r="AP21" i="7"/>
  <c r="V21" i="7"/>
  <c r="B21" i="7"/>
  <c r="AE20" i="7"/>
  <c r="S20" i="7"/>
  <c r="O20" i="7"/>
  <c r="K20" i="7"/>
  <c r="G20" i="7"/>
  <c r="C20" i="7"/>
  <c r="AN19" i="7"/>
  <c r="AJ19" i="7"/>
  <c r="AF19" i="7"/>
  <c r="AB19" i="7"/>
  <c r="X19" i="7"/>
  <c r="T19" i="7"/>
  <c r="P19" i="7"/>
  <c r="L19" i="7"/>
  <c r="H19" i="7"/>
  <c r="D19" i="7"/>
  <c r="AM21" i="7"/>
  <c r="AE21" i="7"/>
  <c r="W21" i="7"/>
  <c r="O21" i="7"/>
  <c r="G21" i="7"/>
  <c r="AN20" i="7"/>
  <c r="AF20" i="7"/>
  <c r="X20" i="7"/>
  <c r="P20" i="7"/>
  <c r="H20" i="7"/>
  <c r="AO19" i="7"/>
  <c r="AG19" i="7"/>
  <c r="Y19" i="7"/>
  <c r="U19" i="7"/>
  <c r="Q19" i="7"/>
  <c r="I19" i="7"/>
  <c r="E19" i="7"/>
  <c r="AL21" i="7"/>
  <c r="AD21" i="7"/>
  <c r="Z21" i="7"/>
  <c r="N21" i="7"/>
  <c r="F21" i="7"/>
  <c r="AI20" i="7"/>
  <c r="W20" i="7"/>
  <c r="AO21" i="7"/>
  <c r="AK21" i="7"/>
  <c r="AG21" i="7"/>
  <c r="AC21" i="7"/>
  <c r="Y21" i="7"/>
  <c r="U21" i="7"/>
  <c r="Q21" i="7"/>
  <c r="M21" i="7"/>
  <c r="I21" i="7"/>
  <c r="E21" i="7"/>
  <c r="AP20" i="7"/>
  <c r="AL20" i="7"/>
  <c r="AH20" i="7"/>
  <c r="AD20" i="7"/>
  <c r="Z20" i="7"/>
  <c r="V20" i="7"/>
  <c r="R20" i="7"/>
  <c r="N20" i="7"/>
  <c r="J20" i="7"/>
  <c r="F20" i="7"/>
  <c r="B20" i="7"/>
  <c r="AM19" i="7"/>
  <c r="AI19" i="7"/>
  <c r="AE19" i="7"/>
  <c r="AA19" i="7"/>
  <c r="W19" i="7"/>
  <c r="S19" i="7"/>
  <c r="O19" i="7"/>
  <c r="K19" i="7"/>
  <c r="G19" i="7"/>
  <c r="C19" i="7"/>
  <c r="AH21" i="7"/>
  <c r="R21" i="7"/>
  <c r="J21" i="7"/>
  <c r="AM20" i="7"/>
  <c r="AA20" i="7"/>
  <c r="AN21" i="7"/>
  <c r="AJ21" i="7"/>
  <c r="AF21" i="7"/>
  <c r="AB21" i="7"/>
  <c r="X21" i="7"/>
  <c r="T21" i="7"/>
  <c r="P21" i="7"/>
  <c r="L21" i="7"/>
  <c r="H21" i="7"/>
  <c r="D21" i="7"/>
  <c r="AO20" i="7"/>
  <c r="AK20" i="7"/>
  <c r="AG20" i="7"/>
  <c r="AC20" i="7"/>
  <c r="Y20" i="7"/>
  <c r="U20" i="7"/>
  <c r="Q20" i="7"/>
  <c r="M20" i="7"/>
  <c r="I20" i="7"/>
  <c r="E20" i="7"/>
  <c r="AP19" i="7"/>
  <c r="AL19" i="7"/>
  <c r="AH19" i="7"/>
  <c r="AD19" i="7"/>
  <c r="Z19" i="7"/>
  <c r="V19" i="7"/>
  <c r="R19" i="7"/>
  <c r="N19" i="7"/>
  <c r="J19" i="7"/>
  <c r="F19" i="7"/>
  <c r="B651" i="7"/>
  <c r="B155" i="7" a="1"/>
  <c r="C155" i="7" s="1"/>
  <c r="B59" i="7" a="1"/>
  <c r="E59" i="7" s="1"/>
  <c r="B56" i="7" a="1"/>
  <c r="B56" i="7" s="1"/>
  <c r="B51" i="7" a="1"/>
  <c r="B51" i="7" s="1"/>
  <c r="B46" i="7" a="1"/>
  <c r="B46" i="7" s="1"/>
  <c r="B17" i="7" a="1"/>
  <c r="B17" i="7" s="1"/>
  <c r="B16" i="7" a="1"/>
  <c r="D16" i="7" s="1"/>
  <c r="B8" i="7" a="1"/>
  <c r="B8" i="7" s="1"/>
  <c r="B5" i="7" a="1"/>
  <c r="D5" i="7" s="1"/>
  <c r="D15" i="7" s="1"/>
  <c r="K305" i="7" l="1"/>
  <c r="K443" i="7"/>
  <c r="AM156" i="7"/>
  <c r="AI156" i="7"/>
  <c r="AE156" i="7"/>
  <c r="AA156" i="7"/>
  <c r="W156" i="7"/>
  <c r="S156" i="7"/>
  <c r="O156" i="7"/>
  <c r="K156" i="7"/>
  <c r="G156" i="7"/>
  <c r="C156" i="7"/>
  <c r="AN155" i="7"/>
  <c r="AJ155" i="7"/>
  <c r="AF155" i="7"/>
  <c r="AB155" i="7"/>
  <c r="X155" i="7"/>
  <c r="T155" i="7"/>
  <c r="P155" i="7"/>
  <c r="L155" i="7"/>
  <c r="H155" i="7"/>
  <c r="D155" i="7"/>
  <c r="AO156" i="7"/>
  <c r="AK156" i="7"/>
  <c r="AG156" i="7"/>
  <c r="AC156" i="7"/>
  <c r="Y156" i="7"/>
  <c r="U156" i="7"/>
  <c r="Q156" i="7"/>
  <c r="M156" i="7"/>
  <c r="I156" i="7"/>
  <c r="E156" i="7"/>
  <c r="AP155" i="7"/>
  <c r="AL155" i="7"/>
  <c r="AH155" i="7"/>
  <c r="AD155" i="7"/>
  <c r="Z155" i="7"/>
  <c r="V155" i="7"/>
  <c r="R155" i="7"/>
  <c r="N155" i="7"/>
  <c r="J155" i="7"/>
  <c r="F155" i="7"/>
  <c r="B155" i="7"/>
  <c r="AN156" i="7"/>
  <c r="AJ156" i="7"/>
  <c r="AF156" i="7"/>
  <c r="AB156" i="7"/>
  <c r="X156" i="7"/>
  <c r="T156" i="7"/>
  <c r="P156" i="7"/>
  <c r="L156" i="7"/>
  <c r="H156" i="7"/>
  <c r="D156" i="7"/>
  <c r="AO155" i="7"/>
  <c r="AK155" i="7"/>
  <c r="AG155" i="7"/>
  <c r="AC155" i="7"/>
  <c r="Y155" i="7"/>
  <c r="U155" i="7"/>
  <c r="Q155" i="7"/>
  <c r="M155" i="7"/>
  <c r="I155" i="7"/>
  <c r="E155" i="7"/>
  <c r="AP156" i="7"/>
  <c r="AL156" i="7"/>
  <c r="AH156" i="7"/>
  <c r="AD156" i="7"/>
  <c r="Z156" i="7"/>
  <c r="V156" i="7"/>
  <c r="R156" i="7"/>
  <c r="N156" i="7"/>
  <c r="J156" i="7"/>
  <c r="F156" i="7"/>
  <c r="B156" i="7"/>
  <c r="AM155" i="7"/>
  <c r="AI155" i="7"/>
  <c r="AE155" i="7"/>
  <c r="AA155" i="7"/>
  <c r="W155" i="7"/>
  <c r="S155" i="7"/>
  <c r="O155" i="7"/>
  <c r="K155" i="7"/>
  <c r="G155" i="7"/>
  <c r="AG59" i="7"/>
  <c r="Y59" i="7"/>
  <c r="P59" i="7"/>
  <c r="AF59" i="7"/>
  <c r="M59" i="7"/>
  <c r="AO59" i="7"/>
  <c r="U59" i="7"/>
  <c r="AK59" i="7"/>
  <c r="X59" i="7"/>
  <c r="I59" i="7"/>
  <c r="D623" i="7"/>
  <c r="D590" i="7"/>
  <c r="AN59" i="7"/>
  <c r="AC59" i="7"/>
  <c r="Q59" i="7"/>
  <c r="D627" i="7"/>
  <c r="D596" i="7"/>
  <c r="D635" i="7"/>
  <c r="D631" i="7"/>
  <c r="D144" i="7"/>
  <c r="B59" i="7"/>
  <c r="L59" i="7"/>
  <c r="T59" i="7"/>
  <c r="AB59" i="7"/>
  <c r="AJ59" i="7"/>
  <c r="H59" i="7"/>
  <c r="D59" i="7"/>
  <c r="AM59" i="7"/>
  <c r="AI59" i="7"/>
  <c r="AE59" i="7"/>
  <c r="AA59" i="7"/>
  <c r="W59" i="7"/>
  <c r="S59" i="7"/>
  <c r="O59" i="7"/>
  <c r="K59" i="7"/>
  <c r="G59" i="7"/>
  <c r="C59" i="7"/>
  <c r="AP59" i="7"/>
  <c r="AL59" i="7"/>
  <c r="AH59" i="7"/>
  <c r="AD59" i="7"/>
  <c r="Z59" i="7"/>
  <c r="V59" i="7"/>
  <c r="R59" i="7"/>
  <c r="N59" i="7"/>
  <c r="J59" i="7"/>
  <c r="F59" i="7"/>
  <c r="AA58" i="7"/>
  <c r="AP55" i="7"/>
  <c r="Z55" i="7"/>
  <c r="J55" i="7"/>
  <c r="AI54" i="7"/>
  <c r="S54" i="7"/>
  <c r="AM58" i="7"/>
  <c r="W58" i="7"/>
  <c r="AP49" i="7"/>
  <c r="AL55" i="7"/>
  <c r="V55" i="7"/>
  <c r="F55" i="7"/>
  <c r="AE54" i="7"/>
  <c r="O54" i="7"/>
  <c r="AI58" i="7"/>
  <c r="S58" i="7"/>
  <c r="AD55" i="7"/>
  <c r="N55" i="7"/>
  <c r="AM54" i="7"/>
  <c r="W54" i="7"/>
  <c r="J49" i="7"/>
  <c r="AH55" i="7"/>
  <c r="R55" i="7"/>
  <c r="B55" i="7"/>
  <c r="AA54" i="7"/>
  <c r="K54" i="7"/>
  <c r="AE58" i="7"/>
  <c r="O58" i="7"/>
  <c r="AP58" i="7"/>
  <c r="AL58" i="7"/>
  <c r="AH58" i="7"/>
  <c r="AD58" i="7"/>
  <c r="Z58" i="7"/>
  <c r="V58" i="7"/>
  <c r="R58" i="7"/>
  <c r="N58" i="7"/>
  <c r="J58" i="7"/>
  <c r="F58" i="7"/>
  <c r="B58" i="7"/>
  <c r="AM57" i="7"/>
  <c r="AI57" i="7"/>
  <c r="AE57" i="7"/>
  <c r="AA57" i="7"/>
  <c r="W57" i="7"/>
  <c r="S57" i="7"/>
  <c r="O57" i="7"/>
  <c r="K57" i="7"/>
  <c r="G57" i="7"/>
  <c r="C57" i="7"/>
  <c r="AN56" i="7"/>
  <c r="AJ56" i="7"/>
  <c r="AF56" i="7"/>
  <c r="AB56" i="7"/>
  <c r="X56" i="7"/>
  <c r="T56" i="7"/>
  <c r="P56" i="7"/>
  <c r="L56" i="7"/>
  <c r="H56" i="7"/>
  <c r="D56" i="7"/>
  <c r="K58" i="7"/>
  <c r="G58" i="7"/>
  <c r="C58" i="7"/>
  <c r="AN57" i="7"/>
  <c r="AJ57" i="7"/>
  <c r="AF57" i="7"/>
  <c r="AB57" i="7"/>
  <c r="X57" i="7"/>
  <c r="T57" i="7"/>
  <c r="P57" i="7"/>
  <c r="L57" i="7"/>
  <c r="H57" i="7"/>
  <c r="D57" i="7"/>
  <c r="AO56" i="7"/>
  <c r="AK56" i="7"/>
  <c r="AG56" i="7"/>
  <c r="AC56" i="7"/>
  <c r="Y56" i="7"/>
  <c r="U56" i="7"/>
  <c r="Q56" i="7"/>
  <c r="M56" i="7"/>
  <c r="I56" i="7"/>
  <c r="E56" i="7"/>
  <c r="AO58" i="7"/>
  <c r="AK58" i="7"/>
  <c r="AG58" i="7"/>
  <c r="AC58" i="7"/>
  <c r="Y58" i="7"/>
  <c r="U58" i="7"/>
  <c r="Q58" i="7"/>
  <c r="M58" i="7"/>
  <c r="I58" i="7"/>
  <c r="E58" i="7"/>
  <c r="AP57" i="7"/>
  <c r="AL57" i="7"/>
  <c r="AH57" i="7"/>
  <c r="AD57" i="7"/>
  <c r="Z57" i="7"/>
  <c r="V57" i="7"/>
  <c r="R57" i="7"/>
  <c r="N57" i="7"/>
  <c r="J57" i="7"/>
  <c r="F57" i="7"/>
  <c r="B57" i="7"/>
  <c r="AM56" i="7"/>
  <c r="AI56" i="7"/>
  <c r="AE56" i="7"/>
  <c r="AA56" i="7"/>
  <c r="W56" i="7"/>
  <c r="S56" i="7"/>
  <c r="O56" i="7"/>
  <c r="K56" i="7"/>
  <c r="G56" i="7"/>
  <c r="C56" i="7"/>
  <c r="AN58" i="7"/>
  <c r="AJ58" i="7"/>
  <c r="AF58" i="7"/>
  <c r="AB58" i="7"/>
  <c r="X58" i="7"/>
  <c r="T58" i="7"/>
  <c r="P58" i="7"/>
  <c r="L58" i="7"/>
  <c r="H58" i="7"/>
  <c r="D58" i="7"/>
  <c r="AO57" i="7"/>
  <c r="AK57" i="7"/>
  <c r="AG57" i="7"/>
  <c r="AC57" i="7"/>
  <c r="Y57" i="7"/>
  <c r="U57" i="7"/>
  <c r="Q57" i="7"/>
  <c r="M57" i="7"/>
  <c r="I57" i="7"/>
  <c r="E57" i="7"/>
  <c r="AP56" i="7"/>
  <c r="AL56" i="7"/>
  <c r="AH56" i="7"/>
  <c r="AD56" i="7"/>
  <c r="Z56" i="7"/>
  <c r="V56" i="7"/>
  <c r="R56" i="7"/>
  <c r="N56" i="7"/>
  <c r="J56" i="7"/>
  <c r="F56" i="7"/>
  <c r="G54" i="7"/>
  <c r="AN53" i="7"/>
  <c r="AB53" i="7"/>
  <c r="T53" i="7"/>
  <c r="D53" i="7"/>
  <c r="Y52" i="7"/>
  <c r="AK55" i="7"/>
  <c r="AC55" i="7"/>
  <c r="U55" i="7"/>
  <c r="M55" i="7"/>
  <c r="E55" i="7"/>
  <c r="AH54" i="7"/>
  <c r="Z54" i="7"/>
  <c r="R54" i="7"/>
  <c r="J54" i="7"/>
  <c r="B54" i="7"/>
  <c r="AI53" i="7"/>
  <c r="AA53" i="7"/>
  <c r="S53" i="7"/>
  <c r="K53" i="7"/>
  <c r="C53" i="7"/>
  <c r="AF52" i="7"/>
  <c r="T52" i="7"/>
  <c r="H52" i="7"/>
  <c r="D52" i="7"/>
  <c r="AK51" i="7"/>
  <c r="AC51" i="7"/>
  <c r="U51" i="7"/>
  <c r="M51" i="7"/>
  <c r="E51" i="7"/>
  <c r="AN55" i="7"/>
  <c r="AJ55" i="7"/>
  <c r="AF55" i="7"/>
  <c r="AB55" i="7"/>
  <c r="X55" i="7"/>
  <c r="T55" i="7"/>
  <c r="P55" i="7"/>
  <c r="L55" i="7"/>
  <c r="H55" i="7"/>
  <c r="D55" i="7"/>
  <c r="AO54" i="7"/>
  <c r="AK54" i="7"/>
  <c r="AG54" i="7"/>
  <c r="AC54" i="7"/>
  <c r="Y54" i="7"/>
  <c r="U54" i="7"/>
  <c r="Q54" i="7"/>
  <c r="M54" i="7"/>
  <c r="I54" i="7"/>
  <c r="E54" i="7"/>
  <c r="AP53" i="7"/>
  <c r="AL53" i="7"/>
  <c r="AH53" i="7"/>
  <c r="AD53" i="7"/>
  <c r="Z53" i="7"/>
  <c r="V53" i="7"/>
  <c r="R53" i="7"/>
  <c r="N53" i="7"/>
  <c r="J53" i="7"/>
  <c r="F53" i="7"/>
  <c r="B53" i="7"/>
  <c r="AM52" i="7"/>
  <c r="AI52" i="7"/>
  <c r="AE52" i="7"/>
  <c r="AA52" i="7"/>
  <c r="W52" i="7"/>
  <c r="S52" i="7"/>
  <c r="O52" i="7"/>
  <c r="K52" i="7"/>
  <c r="G52" i="7"/>
  <c r="C52" i="7"/>
  <c r="AN51" i="7"/>
  <c r="AJ51" i="7"/>
  <c r="AF51" i="7"/>
  <c r="AB51" i="7"/>
  <c r="X51" i="7"/>
  <c r="T51" i="7"/>
  <c r="P51" i="7"/>
  <c r="L51" i="7"/>
  <c r="H51" i="7"/>
  <c r="D51" i="7"/>
  <c r="C54" i="7"/>
  <c r="AF53" i="7"/>
  <c r="X53" i="7"/>
  <c r="P53" i="7"/>
  <c r="H53" i="7"/>
  <c r="AO52" i="7"/>
  <c r="U52" i="7"/>
  <c r="AO55" i="7"/>
  <c r="AG55" i="7"/>
  <c r="Y55" i="7"/>
  <c r="Q55" i="7"/>
  <c r="I55" i="7"/>
  <c r="AP54" i="7"/>
  <c r="AL54" i="7"/>
  <c r="AD54" i="7"/>
  <c r="V54" i="7"/>
  <c r="N54" i="7"/>
  <c r="F54" i="7"/>
  <c r="AM53" i="7"/>
  <c r="AE53" i="7"/>
  <c r="W53" i="7"/>
  <c r="O53" i="7"/>
  <c r="G53" i="7"/>
  <c r="AN52" i="7"/>
  <c r="AJ52" i="7"/>
  <c r="AB52" i="7"/>
  <c r="X52" i="7"/>
  <c r="P52" i="7"/>
  <c r="L52" i="7"/>
  <c r="AO51" i="7"/>
  <c r="AG51" i="7"/>
  <c r="Y51" i="7"/>
  <c r="Q51" i="7"/>
  <c r="I51" i="7"/>
  <c r="AM55" i="7"/>
  <c r="AI55" i="7"/>
  <c r="AE55" i="7"/>
  <c r="AA55" i="7"/>
  <c r="W55" i="7"/>
  <c r="S55" i="7"/>
  <c r="O55" i="7"/>
  <c r="K55" i="7"/>
  <c r="G55" i="7"/>
  <c r="C55" i="7"/>
  <c r="AN54" i="7"/>
  <c r="AJ54" i="7"/>
  <c r="AF54" i="7"/>
  <c r="AB54" i="7"/>
  <c r="X54" i="7"/>
  <c r="T54" i="7"/>
  <c r="P54" i="7"/>
  <c r="L54" i="7"/>
  <c r="H54" i="7"/>
  <c r="D54" i="7"/>
  <c r="AO53" i="7"/>
  <c r="AK53" i="7"/>
  <c r="AG53" i="7"/>
  <c r="AC53" i="7"/>
  <c r="Y53" i="7"/>
  <c r="U53" i="7"/>
  <c r="Q53" i="7"/>
  <c r="M53" i="7"/>
  <c r="I53" i="7"/>
  <c r="E53" i="7"/>
  <c r="AP52" i="7"/>
  <c r="AL52" i="7"/>
  <c r="AH52" i="7"/>
  <c r="AD52" i="7"/>
  <c r="Z52" i="7"/>
  <c r="V52" i="7"/>
  <c r="R52" i="7"/>
  <c r="N52" i="7"/>
  <c r="J52" i="7"/>
  <c r="F52" i="7"/>
  <c r="B52" i="7"/>
  <c r="AM51" i="7"/>
  <c r="AI51" i="7"/>
  <c r="AE51" i="7"/>
  <c r="AA51" i="7"/>
  <c r="W51" i="7"/>
  <c r="S51" i="7"/>
  <c r="O51" i="7"/>
  <c r="K51" i="7"/>
  <c r="G51" i="7"/>
  <c r="C51" i="7"/>
  <c r="AJ53" i="7"/>
  <c r="L53" i="7"/>
  <c r="AK52" i="7"/>
  <c r="AG52" i="7"/>
  <c r="AC52" i="7"/>
  <c r="Q52" i="7"/>
  <c r="M52" i="7"/>
  <c r="I52" i="7"/>
  <c r="E52" i="7"/>
  <c r="AP51" i="7"/>
  <c r="AL51" i="7"/>
  <c r="AH51" i="7"/>
  <c r="AD51" i="7"/>
  <c r="Z51" i="7"/>
  <c r="V51" i="7"/>
  <c r="R51" i="7"/>
  <c r="N51" i="7"/>
  <c r="J51" i="7"/>
  <c r="F51" i="7"/>
  <c r="AM48" i="7"/>
  <c r="Z49" i="7"/>
  <c r="AE48" i="7"/>
  <c r="V49" i="7"/>
  <c r="W48" i="7"/>
  <c r="AD49" i="7"/>
  <c r="F49" i="7"/>
  <c r="S48" i="7"/>
  <c r="AL49" i="7"/>
  <c r="N49" i="7"/>
  <c r="AI48" i="7"/>
  <c r="O48" i="7"/>
  <c r="AH49" i="7"/>
  <c r="R49" i="7"/>
  <c r="B49" i="7"/>
  <c r="AA48" i="7"/>
  <c r="K48" i="7"/>
  <c r="G48" i="7"/>
  <c r="AN47" i="7"/>
  <c r="AF47" i="7"/>
  <c r="AB47" i="7"/>
  <c r="T47" i="7"/>
  <c r="P47" i="7"/>
  <c r="L47" i="7"/>
  <c r="H47" i="7"/>
  <c r="D47" i="7"/>
  <c r="AO46" i="7"/>
  <c r="AK46" i="7"/>
  <c r="AG46" i="7"/>
  <c r="AC46" i="7"/>
  <c r="Y46" i="7"/>
  <c r="U46" i="7"/>
  <c r="Q46" i="7"/>
  <c r="M46" i="7"/>
  <c r="I46" i="7"/>
  <c r="E46" i="7"/>
  <c r="AO49" i="7"/>
  <c r="AK49" i="7"/>
  <c r="AG49" i="7"/>
  <c r="AC49" i="7"/>
  <c r="Y49" i="7"/>
  <c r="U49" i="7"/>
  <c r="Q49" i="7"/>
  <c r="M49" i="7"/>
  <c r="I49" i="7"/>
  <c r="E49" i="7"/>
  <c r="AP48" i="7"/>
  <c r="AL48" i="7"/>
  <c r="AH48" i="7"/>
  <c r="AD48" i="7"/>
  <c r="Z48" i="7"/>
  <c r="V48" i="7"/>
  <c r="R48" i="7"/>
  <c r="N48" i="7"/>
  <c r="J48" i="7"/>
  <c r="F48" i="7"/>
  <c r="B48" i="7"/>
  <c r="AM47" i="7"/>
  <c r="AI47" i="7"/>
  <c r="AE47" i="7"/>
  <c r="AA47" i="7"/>
  <c r="W47" i="7"/>
  <c r="S47" i="7"/>
  <c r="O47" i="7"/>
  <c r="K47" i="7"/>
  <c r="G47" i="7"/>
  <c r="C47" i="7"/>
  <c r="AN46" i="7"/>
  <c r="AJ46" i="7"/>
  <c r="AF46" i="7"/>
  <c r="AB46" i="7"/>
  <c r="X46" i="7"/>
  <c r="T46" i="7"/>
  <c r="P46" i="7"/>
  <c r="L46" i="7"/>
  <c r="H46" i="7"/>
  <c r="D46" i="7"/>
  <c r="C48" i="7"/>
  <c r="AJ47" i="7"/>
  <c r="X47" i="7"/>
  <c r="AN49" i="7"/>
  <c r="AJ49" i="7"/>
  <c r="AF49" i="7"/>
  <c r="AB49" i="7"/>
  <c r="X49" i="7"/>
  <c r="T49" i="7"/>
  <c r="P49" i="7"/>
  <c r="L49" i="7"/>
  <c r="H49" i="7"/>
  <c r="D49" i="7"/>
  <c r="AO48" i="7"/>
  <c r="AK48" i="7"/>
  <c r="AG48" i="7"/>
  <c r="AC48" i="7"/>
  <c r="Y48" i="7"/>
  <c r="U48" i="7"/>
  <c r="Q48" i="7"/>
  <c r="M48" i="7"/>
  <c r="I48" i="7"/>
  <c r="E48" i="7"/>
  <c r="AP47" i="7"/>
  <c r="AL47" i="7"/>
  <c r="AH47" i="7"/>
  <c r="AD47" i="7"/>
  <c r="Z47" i="7"/>
  <c r="V47" i="7"/>
  <c r="R47" i="7"/>
  <c r="N47" i="7"/>
  <c r="J47" i="7"/>
  <c r="F47" i="7"/>
  <c r="B47" i="7"/>
  <c r="AM46" i="7"/>
  <c r="AI46" i="7"/>
  <c r="AE46" i="7"/>
  <c r="AA46" i="7"/>
  <c r="W46" i="7"/>
  <c r="S46" i="7"/>
  <c r="O46" i="7"/>
  <c r="K46" i="7"/>
  <c r="G46" i="7"/>
  <c r="C46" i="7"/>
  <c r="AM49" i="7"/>
  <c r="AI49" i="7"/>
  <c r="AE49" i="7"/>
  <c r="AA49" i="7"/>
  <c r="W49" i="7"/>
  <c r="S49" i="7"/>
  <c r="O49" i="7"/>
  <c r="K49" i="7"/>
  <c r="G49" i="7"/>
  <c r="C49" i="7"/>
  <c r="AN48" i="7"/>
  <c r="AJ48" i="7"/>
  <c r="AF48" i="7"/>
  <c r="AB48" i="7"/>
  <c r="X48" i="7"/>
  <c r="T48" i="7"/>
  <c r="P48" i="7"/>
  <c r="L48" i="7"/>
  <c r="H48" i="7"/>
  <c r="D48" i="7"/>
  <c r="AO47" i="7"/>
  <c r="AK47" i="7"/>
  <c r="AG47" i="7"/>
  <c r="AC47" i="7"/>
  <c r="Y47" i="7"/>
  <c r="U47" i="7"/>
  <c r="Q47" i="7"/>
  <c r="M47" i="7"/>
  <c r="I47" i="7"/>
  <c r="E47" i="7"/>
  <c r="AP46" i="7"/>
  <c r="AL46" i="7"/>
  <c r="AH46" i="7"/>
  <c r="AD46" i="7"/>
  <c r="Z46" i="7"/>
  <c r="V46" i="7"/>
  <c r="R46" i="7"/>
  <c r="N46" i="7"/>
  <c r="J46" i="7"/>
  <c r="F46" i="7"/>
  <c r="M16" i="7"/>
  <c r="AM16" i="7"/>
  <c r="AH16" i="7"/>
  <c r="R16" i="7"/>
  <c r="AN17" i="7"/>
  <c r="AM684" i="7" s="1"/>
  <c r="AG17" i="7"/>
  <c r="AF684" i="7" s="1"/>
  <c r="Y17" i="7"/>
  <c r="X684" i="7" s="1"/>
  <c r="M17" i="7"/>
  <c r="L684" i="7" s="1"/>
  <c r="D17" i="7"/>
  <c r="C684" i="7" s="1"/>
  <c r="AP17" i="7"/>
  <c r="AO684" i="7" s="1"/>
  <c r="AH17" i="7"/>
  <c r="AG684" i="7" s="1"/>
  <c r="AB17" i="7"/>
  <c r="AA684" i="7" s="1"/>
  <c r="Q17" i="7"/>
  <c r="P684" i="7" s="1"/>
  <c r="E17" i="7"/>
  <c r="D684" i="7" s="1"/>
  <c r="AL17" i="7"/>
  <c r="AK684" i="7" s="1"/>
  <c r="AF17" i="7"/>
  <c r="AE684" i="7" s="1"/>
  <c r="U17" i="7"/>
  <c r="T684" i="7" s="1"/>
  <c r="L17" i="7"/>
  <c r="K684" i="7" s="1"/>
  <c r="AK17" i="7"/>
  <c r="AJ684" i="7" s="1"/>
  <c r="AC17" i="7"/>
  <c r="AB684" i="7" s="1"/>
  <c r="T17" i="7"/>
  <c r="S684" i="7" s="1"/>
  <c r="I17" i="7"/>
  <c r="H684" i="7" s="1"/>
  <c r="AC16" i="7"/>
  <c r="G16" i="7"/>
  <c r="W16" i="7"/>
  <c r="B16" i="7"/>
  <c r="AP16" i="7"/>
  <c r="AK16" i="7"/>
  <c r="AE16" i="7"/>
  <c r="Z16" i="7"/>
  <c r="U16" i="7"/>
  <c r="O16" i="7"/>
  <c r="J16" i="7"/>
  <c r="E16" i="7"/>
  <c r="AL16" i="7"/>
  <c r="AG16" i="7"/>
  <c r="AA16" i="7"/>
  <c r="V16" i="7"/>
  <c r="Q16" i="7"/>
  <c r="K16" i="7"/>
  <c r="F16" i="7"/>
  <c r="AO16" i="7"/>
  <c r="AI16" i="7"/>
  <c r="AD16" i="7"/>
  <c r="Y16" i="7"/>
  <c r="S16" i="7"/>
  <c r="N16" i="7"/>
  <c r="I16" i="7"/>
  <c r="C16" i="7"/>
  <c r="AO17" i="7"/>
  <c r="AN684" i="7" s="1"/>
  <c r="AJ17" i="7"/>
  <c r="AI684" i="7" s="1"/>
  <c r="AD17" i="7"/>
  <c r="AC684" i="7" s="1"/>
  <c r="X17" i="7"/>
  <c r="W684" i="7" s="1"/>
  <c r="P17" i="7"/>
  <c r="O684" i="7" s="1"/>
  <c r="H17" i="7"/>
  <c r="G684" i="7" s="1"/>
  <c r="AM17" i="7"/>
  <c r="AL684" i="7" s="1"/>
  <c r="AI17" i="7"/>
  <c r="AH684" i="7" s="1"/>
  <c r="AE17" i="7"/>
  <c r="AD684" i="7" s="1"/>
  <c r="AA17" i="7"/>
  <c r="Z684" i="7" s="1"/>
  <c r="W17" i="7"/>
  <c r="V684" i="7" s="1"/>
  <c r="S17" i="7"/>
  <c r="R684" i="7" s="1"/>
  <c r="O17" i="7"/>
  <c r="N684" i="7" s="1"/>
  <c r="K17" i="7"/>
  <c r="J684" i="7" s="1"/>
  <c r="G17" i="7"/>
  <c r="F684" i="7" s="1"/>
  <c r="C17" i="7"/>
  <c r="B684" i="7" s="1"/>
  <c r="Z17" i="7"/>
  <c r="Y684" i="7" s="1"/>
  <c r="V17" i="7"/>
  <c r="U684" i="7" s="1"/>
  <c r="R17" i="7"/>
  <c r="Q684" i="7" s="1"/>
  <c r="N17" i="7"/>
  <c r="M684" i="7" s="1"/>
  <c r="J17" i="7"/>
  <c r="I684" i="7" s="1"/>
  <c r="F17" i="7"/>
  <c r="E684" i="7" s="1"/>
  <c r="AN16" i="7"/>
  <c r="AJ16" i="7"/>
  <c r="AF16" i="7"/>
  <c r="AB16" i="7"/>
  <c r="X16" i="7"/>
  <c r="T16" i="7"/>
  <c r="P16" i="7"/>
  <c r="L16" i="7"/>
  <c r="H16" i="7"/>
  <c r="AO6" i="7"/>
  <c r="Z6" i="7"/>
  <c r="M6" i="7"/>
  <c r="AM5" i="7"/>
  <c r="K5" i="7"/>
  <c r="AN6" i="7"/>
  <c r="Y6" i="7"/>
  <c r="J6" i="7"/>
  <c r="AG5" i="7"/>
  <c r="C5" i="7"/>
  <c r="AH6" i="7"/>
  <c r="T6" i="7"/>
  <c r="E6" i="7"/>
  <c r="Y5" i="7"/>
  <c r="AF6" i="7"/>
  <c r="R6" i="7"/>
  <c r="D6" i="7"/>
  <c r="D7" i="7" s="1"/>
  <c r="R5" i="7"/>
  <c r="AL5" i="7"/>
  <c r="AD5" i="7"/>
  <c r="W5" i="7"/>
  <c r="Q5" i="7"/>
  <c r="I5" i="7"/>
  <c r="B5" i="7"/>
  <c r="AK6" i="7"/>
  <c r="AD6" i="7"/>
  <c r="X6" i="7"/>
  <c r="P6" i="7"/>
  <c r="I6" i="7"/>
  <c r="B6" i="7"/>
  <c r="AI5" i="7"/>
  <c r="AC5" i="7"/>
  <c r="V5" i="7"/>
  <c r="N5" i="7"/>
  <c r="G5" i="7"/>
  <c r="AP6" i="7"/>
  <c r="AJ6" i="7"/>
  <c r="AC6" i="7"/>
  <c r="U6" i="7"/>
  <c r="N6" i="7"/>
  <c r="H6" i="7"/>
  <c r="AO5" i="7"/>
  <c r="AH5" i="7"/>
  <c r="AA5" i="7"/>
  <c r="S5" i="7"/>
  <c r="M5" i="7"/>
  <c r="F5" i="7"/>
  <c r="AL6" i="7"/>
  <c r="AG6" i="7"/>
  <c r="AB6" i="7"/>
  <c r="V6" i="7"/>
  <c r="Q6" i="7"/>
  <c r="L6" i="7"/>
  <c r="F6" i="7"/>
  <c r="AP5" i="7"/>
  <c r="AK5" i="7"/>
  <c r="AE5" i="7"/>
  <c r="Z5" i="7"/>
  <c r="U5" i="7"/>
  <c r="O5" i="7"/>
  <c r="J5" i="7"/>
  <c r="E5" i="7"/>
  <c r="AM10" i="7"/>
  <c r="AE10" i="7"/>
  <c r="W10" i="7"/>
  <c r="O10" i="7"/>
  <c r="C10" i="7"/>
  <c r="AF9" i="7"/>
  <c r="T9" i="7"/>
  <c r="L9" i="7"/>
  <c r="D9" i="7"/>
  <c r="AK8" i="7"/>
  <c r="AC8" i="7"/>
  <c r="U8" i="7"/>
  <c r="M8" i="7"/>
  <c r="I8" i="7"/>
  <c r="AP10" i="7"/>
  <c r="AH10" i="7"/>
  <c r="Z10" i="7"/>
  <c r="R10" i="7"/>
  <c r="N10" i="7"/>
  <c r="J10" i="7"/>
  <c r="F10" i="7"/>
  <c r="B10" i="7"/>
  <c r="AM9" i="7"/>
  <c r="AI9" i="7"/>
  <c r="AE9" i="7"/>
  <c r="AA9" i="7"/>
  <c r="W9" i="7"/>
  <c r="S9" i="7"/>
  <c r="O9" i="7"/>
  <c r="K9" i="7"/>
  <c r="G9" i="7"/>
  <c r="C9" i="7"/>
  <c r="AN8" i="7"/>
  <c r="AJ8" i="7"/>
  <c r="AF8" i="7"/>
  <c r="AB8" i="7"/>
  <c r="X8" i="7"/>
  <c r="T8" i="7"/>
  <c r="P8" i="7"/>
  <c r="L8" i="7"/>
  <c r="H8" i="7"/>
  <c r="D8" i="7"/>
  <c r="D41" i="7" s="1"/>
  <c r="AO10" i="7"/>
  <c r="AK10" i="7"/>
  <c r="AG10" i="7"/>
  <c r="AC10" i="7"/>
  <c r="Y10" i="7"/>
  <c r="U10" i="7"/>
  <c r="Q10" i="7"/>
  <c r="M10" i="7"/>
  <c r="I10" i="7"/>
  <c r="E10" i="7"/>
  <c r="AP9" i="7"/>
  <c r="AL9" i="7"/>
  <c r="AH9" i="7"/>
  <c r="AD9" i="7"/>
  <c r="Z9" i="7"/>
  <c r="V9" i="7"/>
  <c r="R9" i="7"/>
  <c r="N9" i="7"/>
  <c r="J9" i="7"/>
  <c r="F9" i="7"/>
  <c r="B9" i="7"/>
  <c r="AM8" i="7"/>
  <c r="AI8" i="7"/>
  <c r="AI41" i="7" s="1"/>
  <c r="AE8" i="7"/>
  <c r="AA8" i="7"/>
  <c r="W8" i="7"/>
  <c r="S8" i="7"/>
  <c r="O8" i="7"/>
  <c r="O41" i="7" s="1"/>
  <c r="K8" i="7"/>
  <c r="G8" i="7"/>
  <c r="C8" i="7"/>
  <c r="AI10" i="7"/>
  <c r="AA10" i="7"/>
  <c r="S10" i="7"/>
  <c r="K10" i="7"/>
  <c r="G10" i="7"/>
  <c r="AN9" i="7"/>
  <c r="AJ9" i="7"/>
  <c r="AB9" i="7"/>
  <c r="X9" i="7"/>
  <c r="P9" i="7"/>
  <c r="H9" i="7"/>
  <c r="AO8" i="7"/>
  <c r="AG8" i="7"/>
  <c r="Y8" i="7"/>
  <c r="Q8" i="7"/>
  <c r="E8" i="7"/>
  <c r="AL10" i="7"/>
  <c r="AD10" i="7"/>
  <c r="V10" i="7"/>
  <c r="AN10" i="7"/>
  <c r="AJ10" i="7"/>
  <c r="AF10" i="7"/>
  <c r="AB10" i="7"/>
  <c r="X10" i="7"/>
  <c r="T10" i="7"/>
  <c r="P10" i="7"/>
  <c r="L10" i="7"/>
  <c r="H10" i="7"/>
  <c r="D10" i="7"/>
  <c r="AO9" i="7"/>
  <c r="AK9" i="7"/>
  <c r="AG9" i="7"/>
  <c r="AC9" i="7"/>
  <c r="Y9" i="7"/>
  <c r="U9" i="7"/>
  <c r="Q9" i="7"/>
  <c r="M9" i="7"/>
  <c r="I9" i="7"/>
  <c r="E9" i="7"/>
  <c r="AP8" i="7"/>
  <c r="AP41" i="7" s="1"/>
  <c r="AL8" i="7"/>
  <c r="AH8" i="7"/>
  <c r="AD8" i="7"/>
  <c r="Z8" i="7"/>
  <c r="V8" i="7"/>
  <c r="R8" i="7"/>
  <c r="N8" i="7"/>
  <c r="J8" i="7"/>
  <c r="F8" i="7"/>
  <c r="AM6" i="7"/>
  <c r="AI6" i="7"/>
  <c r="AE6" i="7"/>
  <c r="AA6" i="7"/>
  <c r="W6" i="7"/>
  <c r="S6" i="7"/>
  <c r="O6" i="7"/>
  <c r="K6" i="7"/>
  <c r="G6" i="7"/>
  <c r="C6" i="7"/>
  <c r="AN5" i="7"/>
  <c r="AJ5" i="7"/>
  <c r="AF5" i="7"/>
  <c r="AB5" i="7"/>
  <c r="X5" i="7"/>
  <c r="T5" i="7"/>
  <c r="P5" i="7"/>
  <c r="L5" i="7"/>
  <c r="H5" i="7"/>
  <c r="F14" i="1"/>
  <c r="N41" i="7" l="1"/>
  <c r="K41" i="7"/>
  <c r="AK41" i="7"/>
  <c r="Q41" i="7"/>
  <c r="C7" i="7"/>
  <c r="J143" i="7"/>
  <c r="AE143" i="7"/>
  <c r="H143" i="7"/>
  <c r="AJ143" i="7"/>
  <c r="AK143" i="7"/>
  <c r="AL143" i="7"/>
  <c r="AH143" i="7"/>
  <c r="N143" i="7"/>
  <c r="S143" i="7"/>
  <c r="P143" i="7"/>
  <c r="AO143" i="7"/>
  <c r="I143" i="7"/>
  <c r="E143" i="7"/>
  <c r="AP143" i="7"/>
  <c r="AG143" i="7"/>
  <c r="C143" i="7"/>
  <c r="AI143" i="7"/>
  <c r="L143" i="7"/>
  <c r="R143" i="7"/>
  <c r="G143" i="7"/>
  <c r="W143" i="7"/>
  <c r="AM143" i="7"/>
  <c r="X143" i="7"/>
  <c r="T143" i="7"/>
  <c r="U143" i="7"/>
  <c r="Q143" i="7"/>
  <c r="D143" i="7"/>
  <c r="AN143" i="7"/>
  <c r="Z143" i="7"/>
  <c r="O143" i="7"/>
  <c r="Y143" i="7"/>
  <c r="F143" i="7"/>
  <c r="V143" i="7"/>
  <c r="K143" i="7"/>
  <c r="AA143" i="7"/>
  <c r="AD143" i="7"/>
  <c r="AC143" i="7"/>
  <c r="AF143" i="7"/>
  <c r="AB143" i="7"/>
  <c r="M143" i="7"/>
  <c r="U596" i="7"/>
  <c r="U635" i="7"/>
  <c r="U627" i="7"/>
  <c r="U144" i="7"/>
  <c r="U590" i="7"/>
  <c r="U631" i="7"/>
  <c r="U623" i="7"/>
  <c r="AP144" i="7"/>
  <c r="AP596" i="7"/>
  <c r="AP590" i="7"/>
  <c r="AP635" i="7"/>
  <c r="AP631" i="7"/>
  <c r="AP627" i="7"/>
  <c r="AP623" i="7"/>
  <c r="F144" i="7"/>
  <c r="F596" i="7"/>
  <c r="F590" i="7"/>
  <c r="F635" i="7"/>
  <c r="F631" i="7"/>
  <c r="F627" i="7"/>
  <c r="F623" i="7"/>
  <c r="AH144" i="7"/>
  <c r="AH596" i="7"/>
  <c r="AH590" i="7"/>
  <c r="AH635" i="7"/>
  <c r="AH631" i="7"/>
  <c r="AH627" i="7"/>
  <c r="AH623" i="7"/>
  <c r="G15" i="7"/>
  <c r="G596" i="7"/>
  <c r="G635" i="7"/>
  <c r="G144" i="7"/>
  <c r="G590" i="7"/>
  <c r="G631" i="7"/>
  <c r="G623" i="7"/>
  <c r="G627" i="7"/>
  <c r="AI15" i="7"/>
  <c r="AI144" i="7"/>
  <c r="AI590" i="7"/>
  <c r="AI631" i="7"/>
  <c r="AI623" i="7"/>
  <c r="AI596" i="7"/>
  <c r="AI635" i="7"/>
  <c r="AI627" i="7"/>
  <c r="I15" i="7"/>
  <c r="I144" i="7"/>
  <c r="I590" i="7"/>
  <c r="I623" i="7"/>
  <c r="I596" i="7"/>
  <c r="I635" i="7"/>
  <c r="I627" i="7"/>
  <c r="I631" i="7"/>
  <c r="AL15" i="7"/>
  <c r="AL144" i="7"/>
  <c r="AL596" i="7"/>
  <c r="AL590" i="7"/>
  <c r="AL635" i="7"/>
  <c r="AL631" i="7"/>
  <c r="AL627" i="7"/>
  <c r="AL623" i="7"/>
  <c r="Q15" i="7"/>
  <c r="Q596" i="7"/>
  <c r="Q635" i="7"/>
  <c r="Q627" i="7"/>
  <c r="Q144" i="7"/>
  <c r="Q590" i="7"/>
  <c r="Q631" i="7"/>
  <c r="Q623" i="7"/>
  <c r="W15" i="7"/>
  <c r="W596" i="7"/>
  <c r="W635" i="7"/>
  <c r="W627" i="7"/>
  <c r="W144" i="7"/>
  <c r="W590" i="7"/>
  <c r="W631" i="7"/>
  <c r="W623" i="7"/>
  <c r="H15" i="7"/>
  <c r="H144" i="7"/>
  <c r="H590" i="7"/>
  <c r="H631" i="7"/>
  <c r="H623" i="7"/>
  <c r="H596" i="7"/>
  <c r="H635" i="7"/>
  <c r="H627" i="7"/>
  <c r="X144" i="7"/>
  <c r="X590" i="7"/>
  <c r="X631" i="7"/>
  <c r="X623" i="7"/>
  <c r="X596" i="7"/>
  <c r="X635" i="7"/>
  <c r="X627" i="7"/>
  <c r="AN144" i="7"/>
  <c r="AN590" i="7"/>
  <c r="AN631" i="7"/>
  <c r="AN623" i="7"/>
  <c r="AN596" i="7"/>
  <c r="AN635" i="7"/>
  <c r="AN627" i="7"/>
  <c r="L596" i="7"/>
  <c r="L635" i="7"/>
  <c r="L144" i="7"/>
  <c r="L590" i="7"/>
  <c r="L631" i="7"/>
  <c r="L623" i="7"/>
  <c r="L627" i="7"/>
  <c r="AB596" i="7"/>
  <c r="AB635" i="7"/>
  <c r="AB144" i="7"/>
  <c r="AB590" i="7"/>
  <c r="AB631" i="7"/>
  <c r="AB623" i="7"/>
  <c r="AB627" i="7"/>
  <c r="E15" i="7"/>
  <c r="E596" i="7"/>
  <c r="E635" i="7"/>
  <c r="E627" i="7"/>
  <c r="E144" i="7"/>
  <c r="E590" i="7"/>
  <c r="E631" i="7"/>
  <c r="E623" i="7"/>
  <c r="Z144" i="7"/>
  <c r="Z596" i="7"/>
  <c r="Z590" i="7"/>
  <c r="Z635" i="7"/>
  <c r="Z631" i="7"/>
  <c r="Z627" i="7"/>
  <c r="Z623" i="7"/>
  <c r="M15" i="7"/>
  <c r="M144" i="7"/>
  <c r="M590" i="7"/>
  <c r="M631" i="7"/>
  <c r="M623" i="7"/>
  <c r="M596" i="7"/>
  <c r="M635" i="7"/>
  <c r="M627" i="7"/>
  <c r="AO15" i="7"/>
  <c r="AO144" i="7"/>
  <c r="AO590" i="7"/>
  <c r="AO631" i="7"/>
  <c r="AO623" i="7"/>
  <c r="AO596" i="7"/>
  <c r="AO635" i="7"/>
  <c r="AO627" i="7"/>
  <c r="N15" i="7"/>
  <c r="N144" i="7"/>
  <c r="N596" i="7"/>
  <c r="N590" i="7"/>
  <c r="N635" i="7"/>
  <c r="N631" i="7"/>
  <c r="N627" i="7"/>
  <c r="N623" i="7"/>
  <c r="R15" i="7"/>
  <c r="R144" i="7"/>
  <c r="R596" i="7"/>
  <c r="R590" i="7"/>
  <c r="R635" i="7"/>
  <c r="R631" i="7"/>
  <c r="R627" i="7"/>
  <c r="R623" i="7"/>
  <c r="Y15" i="7"/>
  <c r="Y144" i="7"/>
  <c r="Y590" i="7"/>
  <c r="Y631" i="7"/>
  <c r="Y596" i="7"/>
  <c r="Y635" i="7"/>
  <c r="Y627" i="7"/>
  <c r="Y623" i="7"/>
  <c r="C15" i="7"/>
  <c r="C144" i="7"/>
  <c r="C590" i="7"/>
  <c r="C631" i="7"/>
  <c r="C623" i="7"/>
  <c r="C596" i="7"/>
  <c r="C635" i="7"/>
  <c r="C627" i="7"/>
  <c r="P15" i="7"/>
  <c r="P596" i="7"/>
  <c r="P635" i="7"/>
  <c r="P627" i="7"/>
  <c r="P144" i="7"/>
  <c r="P590" i="7"/>
  <c r="P631" i="7"/>
  <c r="P623" i="7"/>
  <c r="AF15" i="7"/>
  <c r="AF596" i="7"/>
  <c r="AF635" i="7"/>
  <c r="AF627" i="7"/>
  <c r="AF144" i="7"/>
  <c r="AF590" i="7"/>
  <c r="AF623" i="7"/>
  <c r="AF631" i="7"/>
  <c r="J15" i="7"/>
  <c r="J144" i="7"/>
  <c r="J596" i="7"/>
  <c r="J590" i="7"/>
  <c r="J635" i="7"/>
  <c r="J631" i="7"/>
  <c r="J627" i="7"/>
  <c r="J623" i="7"/>
  <c r="AE15" i="7"/>
  <c r="AE144" i="7"/>
  <c r="AE590" i="7"/>
  <c r="AE623" i="7"/>
  <c r="AE596" i="7"/>
  <c r="AE635" i="7"/>
  <c r="AE627" i="7"/>
  <c r="AE631" i="7"/>
  <c r="S15" i="7"/>
  <c r="S144" i="7"/>
  <c r="S590" i="7"/>
  <c r="S631" i="7"/>
  <c r="S623" i="7"/>
  <c r="S596" i="7"/>
  <c r="S635" i="7"/>
  <c r="S627" i="7"/>
  <c r="V15" i="7"/>
  <c r="V144" i="7"/>
  <c r="V596" i="7"/>
  <c r="V590" i="7"/>
  <c r="V635" i="7"/>
  <c r="V631" i="7"/>
  <c r="V627" i="7"/>
  <c r="V623" i="7"/>
  <c r="AG15" i="7"/>
  <c r="AG596" i="7"/>
  <c r="AG635" i="7"/>
  <c r="AG627" i="7"/>
  <c r="AG144" i="7"/>
  <c r="AG590" i="7"/>
  <c r="AG631" i="7"/>
  <c r="AG623" i="7"/>
  <c r="K15" i="7"/>
  <c r="K596" i="7"/>
  <c r="K635" i="7"/>
  <c r="K627" i="7"/>
  <c r="K144" i="7"/>
  <c r="K590" i="7"/>
  <c r="K631" i="7"/>
  <c r="K623" i="7"/>
  <c r="T15" i="7"/>
  <c r="T144" i="7"/>
  <c r="T590" i="7"/>
  <c r="T631" i="7"/>
  <c r="T623" i="7"/>
  <c r="T596" i="7"/>
  <c r="T635" i="7"/>
  <c r="T627" i="7"/>
  <c r="AJ15" i="7"/>
  <c r="AJ144" i="7"/>
  <c r="AJ590" i="7"/>
  <c r="AJ631" i="7"/>
  <c r="AJ596" i="7"/>
  <c r="AJ635" i="7"/>
  <c r="AJ627" i="7"/>
  <c r="AJ623" i="7"/>
  <c r="O15" i="7"/>
  <c r="O144" i="7"/>
  <c r="O590" i="7"/>
  <c r="O631" i="7"/>
  <c r="O596" i="7"/>
  <c r="O635" i="7"/>
  <c r="O627" i="7"/>
  <c r="O623" i="7"/>
  <c r="AK15" i="7"/>
  <c r="AK596" i="7"/>
  <c r="AK635" i="7"/>
  <c r="AK627" i="7"/>
  <c r="AK144" i="7"/>
  <c r="AK590" i="7"/>
  <c r="AK631" i="7"/>
  <c r="AK623" i="7"/>
  <c r="AA15" i="7"/>
  <c r="AA596" i="7"/>
  <c r="AA635" i="7"/>
  <c r="AA627" i="7"/>
  <c r="AA144" i="7"/>
  <c r="AA590" i="7"/>
  <c r="AA631" i="7"/>
  <c r="AA623" i="7"/>
  <c r="AC15" i="7"/>
  <c r="AC144" i="7"/>
  <c r="AC590" i="7"/>
  <c r="AC631" i="7"/>
  <c r="AC623" i="7"/>
  <c r="AC596" i="7"/>
  <c r="AC635" i="7"/>
  <c r="AC627" i="7"/>
  <c r="AD15" i="7"/>
  <c r="AD144" i="7"/>
  <c r="AD596" i="7"/>
  <c r="AD590" i="7"/>
  <c r="AD635" i="7"/>
  <c r="AD631" i="7"/>
  <c r="AD627" i="7"/>
  <c r="AD623" i="7"/>
  <c r="AM15" i="7"/>
  <c r="AM596" i="7"/>
  <c r="AM144" i="7"/>
  <c r="AM590" i="7"/>
  <c r="AM631" i="7"/>
  <c r="AM623" i="7"/>
  <c r="AM635" i="7"/>
  <c r="AM627" i="7"/>
  <c r="F41" i="7"/>
  <c r="AL41" i="7"/>
  <c r="I41" i="7"/>
  <c r="AH41" i="7"/>
  <c r="AA41" i="7"/>
  <c r="AC41" i="7"/>
  <c r="R41" i="7"/>
  <c r="Z41" i="7"/>
  <c r="E41" i="7"/>
  <c r="AO41" i="7"/>
  <c r="C41" i="7"/>
  <c r="M41" i="7"/>
  <c r="Y41" i="7"/>
  <c r="P41" i="7"/>
  <c r="AF41" i="7"/>
  <c r="K7" i="7"/>
  <c r="V41" i="7"/>
  <c r="AG41" i="7"/>
  <c r="AE41" i="7"/>
  <c r="T41" i="7"/>
  <c r="AJ41" i="7"/>
  <c r="X7" i="7"/>
  <c r="X15" i="7"/>
  <c r="AN7" i="7"/>
  <c r="AN15" i="7"/>
  <c r="J41" i="7"/>
  <c r="S41" i="7"/>
  <c r="H41" i="7"/>
  <c r="X41" i="7"/>
  <c r="AN41" i="7"/>
  <c r="U7" i="7"/>
  <c r="U15" i="7"/>
  <c r="AP7" i="7"/>
  <c r="AP15" i="7"/>
  <c r="F7" i="7"/>
  <c r="F15" i="7"/>
  <c r="AH7" i="7"/>
  <c r="AH15" i="7"/>
  <c r="L7" i="7"/>
  <c r="L15" i="7"/>
  <c r="AB7" i="7"/>
  <c r="AB15" i="7"/>
  <c r="AD41" i="7"/>
  <c r="G41" i="7"/>
  <c r="W41" i="7"/>
  <c r="AM41" i="7"/>
  <c r="L41" i="7"/>
  <c r="AB41" i="7"/>
  <c r="U41" i="7"/>
  <c r="Z7" i="7"/>
  <c r="Z15" i="7"/>
  <c r="V7" i="7"/>
  <c r="S7" i="7"/>
  <c r="E7" i="7"/>
  <c r="I7" i="7"/>
  <c r="H7" i="7"/>
  <c r="W7" i="7"/>
  <c r="AG7" i="7"/>
  <c r="AO7" i="7"/>
  <c r="Q7" i="7"/>
  <c r="AI7" i="7"/>
  <c r="P7" i="7"/>
  <c r="AF7" i="7"/>
  <c r="AM7" i="7"/>
  <c r="J7" i="7"/>
  <c r="M7" i="7"/>
  <c r="N7" i="7"/>
  <c r="R7" i="7"/>
  <c r="Y7" i="7"/>
  <c r="T7" i="7"/>
  <c r="AA7" i="7"/>
  <c r="G7" i="7"/>
  <c r="AJ7" i="7"/>
  <c r="AK7" i="7"/>
  <c r="AL7" i="7"/>
  <c r="AC7" i="7"/>
  <c r="B7" i="7"/>
  <c r="AD7" i="7"/>
  <c r="AE7" i="7"/>
  <c r="O7" i="7"/>
  <c r="B86" i="7"/>
  <c r="B85" i="7"/>
  <c r="B125" i="7" l="1"/>
  <c r="B83" i="7" l="1"/>
  <c r="B282" i="7" l="1" a="1"/>
  <c r="D282" i="7" s="1"/>
  <c r="B242" i="7" a="1"/>
  <c r="D242" i="7" s="1"/>
  <c r="B682" i="7"/>
  <c r="B676" i="7"/>
  <c r="B650" i="7" l="1"/>
  <c r="B652" i="7" s="1"/>
  <c r="AL242" i="7"/>
  <c r="Q242" i="7"/>
  <c r="AG242" i="7"/>
  <c r="K242" i="7"/>
  <c r="AA242" i="7"/>
  <c r="V242" i="7"/>
  <c r="AL282" i="7"/>
  <c r="AG282" i="7"/>
  <c r="AA282" i="7"/>
  <c r="V282" i="7"/>
  <c r="Q282" i="7"/>
  <c r="K282" i="7"/>
  <c r="F282" i="7"/>
  <c r="AP242" i="7"/>
  <c r="AK242" i="7"/>
  <c r="AE242" i="7"/>
  <c r="Z242" i="7"/>
  <c r="U242" i="7"/>
  <c r="O242" i="7"/>
  <c r="J242" i="7"/>
  <c r="E242" i="7"/>
  <c r="AP282" i="7"/>
  <c r="AK282" i="7"/>
  <c r="AE282" i="7"/>
  <c r="Z282" i="7"/>
  <c r="U282" i="7"/>
  <c r="O282" i="7"/>
  <c r="J282" i="7"/>
  <c r="E282" i="7"/>
  <c r="AO242" i="7"/>
  <c r="AI242" i="7"/>
  <c r="AD242" i="7"/>
  <c r="Y242" i="7"/>
  <c r="S242" i="7"/>
  <c r="N242" i="7"/>
  <c r="I242" i="7"/>
  <c r="C242" i="7"/>
  <c r="AO282" i="7"/>
  <c r="AI282" i="7"/>
  <c r="AD282" i="7"/>
  <c r="Y282" i="7"/>
  <c r="S282" i="7"/>
  <c r="N282" i="7"/>
  <c r="I282" i="7"/>
  <c r="C282" i="7"/>
  <c r="AM242" i="7"/>
  <c r="AH242" i="7"/>
  <c r="AC242" i="7"/>
  <c r="W242" i="7"/>
  <c r="R242" i="7"/>
  <c r="M242" i="7"/>
  <c r="G242" i="7"/>
  <c r="B242" i="7"/>
  <c r="AM282" i="7"/>
  <c r="AH282" i="7"/>
  <c r="AC282" i="7"/>
  <c r="W282" i="7"/>
  <c r="R282" i="7"/>
  <c r="M282" i="7"/>
  <c r="G282" i="7"/>
  <c r="B282" i="7"/>
  <c r="F242" i="7"/>
  <c r="AN282" i="7"/>
  <c r="AJ282" i="7"/>
  <c r="AF282" i="7"/>
  <c r="AB282" i="7"/>
  <c r="X282" i="7"/>
  <c r="T282" i="7"/>
  <c r="P282" i="7"/>
  <c r="L282" i="7"/>
  <c r="H282" i="7"/>
  <c r="AN242" i="7"/>
  <c r="AJ242" i="7"/>
  <c r="AF242" i="7"/>
  <c r="AB242" i="7"/>
  <c r="X242" i="7"/>
  <c r="T242" i="7"/>
  <c r="P242" i="7"/>
  <c r="L242" i="7"/>
  <c r="H242" i="7"/>
  <c r="C53" i="1"/>
  <c r="C52" i="1"/>
  <c r="C85" i="1" l="1"/>
  <c r="D42" i="1"/>
  <c r="D41" i="1"/>
  <c r="D40" i="1"/>
  <c r="D39" i="1"/>
  <c r="D38" i="1"/>
  <c r="C86" i="1" l="1"/>
  <c r="C180" i="7" s="1"/>
  <c r="B84" i="7"/>
  <c r="B171" i="7" s="1"/>
  <c r="P304" i="7"/>
  <c r="P303" i="7"/>
  <c r="P302" i="7"/>
  <c r="P301" i="7"/>
  <c r="P300" i="7"/>
  <c r="P299" i="7"/>
  <c r="P298" i="7"/>
  <c r="P442" i="7"/>
  <c r="P441" i="7"/>
  <c r="P440" i="7"/>
  <c r="P439" i="7"/>
  <c r="P438" i="7"/>
  <c r="P437" i="7"/>
  <c r="G442" i="7"/>
  <c r="G441" i="7"/>
  <c r="G440" i="7"/>
  <c r="G439" i="7"/>
  <c r="G438" i="7"/>
  <c r="G437" i="7"/>
  <c r="G436" i="7"/>
  <c r="G303" i="7"/>
  <c r="G302" i="7"/>
  <c r="G301" i="7"/>
  <c r="G300" i="7"/>
  <c r="G299" i="7"/>
  <c r="G298" i="7"/>
  <c r="G443" i="7" l="1"/>
  <c r="B445" i="7" s="1"/>
  <c r="P305" i="7"/>
  <c r="G305" i="7"/>
  <c r="B307" i="7" s="1"/>
  <c r="C158" i="1"/>
  <c r="B304" i="7" s="1"/>
  <c r="AI577" i="7" l="1"/>
  <c r="AI578" i="7" s="1"/>
  <c r="AI123" i="7" s="1"/>
  <c r="K577" i="7"/>
  <c r="K578" i="7" s="1"/>
  <c r="K123" i="7" s="1"/>
  <c r="AF577" i="7"/>
  <c r="AF578" i="7" s="1"/>
  <c r="AF123" i="7" s="1"/>
  <c r="H577" i="7"/>
  <c r="H578" i="7" s="1"/>
  <c r="H123" i="7" s="1"/>
  <c r="AD577" i="7"/>
  <c r="AD578" i="7" s="1"/>
  <c r="AD123" i="7" s="1"/>
  <c r="AC577" i="7"/>
  <c r="AC578" i="7" s="1"/>
  <c r="AC123" i="7" s="1"/>
  <c r="AA577" i="7"/>
  <c r="AA578" i="7" s="1"/>
  <c r="AA123" i="7" s="1"/>
  <c r="C577" i="7"/>
  <c r="Q577" i="7"/>
  <c r="Q578" i="7" s="1"/>
  <c r="Q123" i="7" s="1"/>
  <c r="AK577" i="7"/>
  <c r="AK578" i="7" s="1"/>
  <c r="AK123" i="7" s="1"/>
  <c r="AJ577" i="7"/>
  <c r="AJ578" i="7" s="1"/>
  <c r="AJ123" i="7" s="1"/>
  <c r="AH577" i="7"/>
  <c r="AH578" i="7" s="1"/>
  <c r="AH123" i="7" s="1"/>
  <c r="J577" i="7"/>
  <c r="J578" i="7" s="1"/>
  <c r="J123" i="7" s="1"/>
  <c r="AE577" i="7"/>
  <c r="AE578" i="7" s="1"/>
  <c r="AE123" i="7" s="1"/>
  <c r="F577" i="7"/>
  <c r="F578" i="7" s="1"/>
  <c r="F123" i="7" s="1"/>
  <c r="AB577" i="7"/>
  <c r="AB578" i="7" s="1"/>
  <c r="AB123" i="7" s="1"/>
  <c r="D577" i="7"/>
  <c r="D578" i="7" s="1"/>
  <c r="D123" i="7" s="1"/>
  <c r="T577" i="7"/>
  <c r="T578" i="7" s="1"/>
  <c r="T123" i="7" s="1"/>
  <c r="AP577" i="7"/>
  <c r="AP578" i="7" s="1"/>
  <c r="AP123" i="7" s="1"/>
  <c r="O577" i="7"/>
  <c r="O578" i="7" s="1"/>
  <c r="O123" i="7" s="1"/>
  <c r="L577" i="7"/>
  <c r="L578" i="7" s="1"/>
  <c r="L123" i="7" s="1"/>
  <c r="AG577" i="7"/>
  <c r="AG578" i="7" s="1"/>
  <c r="AG123" i="7" s="1"/>
  <c r="I577" i="7"/>
  <c r="I578" i="7" s="1"/>
  <c r="I123" i="7" s="1"/>
  <c r="G577" i="7"/>
  <c r="G578" i="7" s="1"/>
  <c r="G123" i="7" s="1"/>
  <c r="E577" i="7"/>
  <c r="E578" i="7" s="1"/>
  <c r="E123" i="7" s="1"/>
  <c r="AO577" i="7"/>
  <c r="AO578" i="7" s="1"/>
  <c r="AO123" i="7" s="1"/>
  <c r="P577" i="7"/>
  <c r="P578" i="7" s="1"/>
  <c r="P123" i="7" s="1"/>
  <c r="AL577" i="7"/>
  <c r="AL578" i="7" s="1"/>
  <c r="AL123" i="7" s="1"/>
  <c r="M577" i="7"/>
  <c r="M578" i="7" s="1"/>
  <c r="M123" i="7" s="1"/>
  <c r="Z577" i="7"/>
  <c r="Z578" i="7" s="1"/>
  <c r="Z123" i="7" s="1"/>
  <c r="Y577" i="7"/>
  <c r="Y578" i="7" s="1"/>
  <c r="Y123" i="7" s="1"/>
  <c r="X577" i="7"/>
  <c r="X578" i="7" s="1"/>
  <c r="X123" i="7" s="1"/>
  <c r="W577" i="7"/>
  <c r="W578" i="7" s="1"/>
  <c r="W123" i="7" s="1"/>
  <c r="V577" i="7"/>
  <c r="V578" i="7" s="1"/>
  <c r="V123" i="7" s="1"/>
  <c r="U577" i="7"/>
  <c r="U578" i="7" s="1"/>
  <c r="U123" i="7" s="1"/>
  <c r="S577" i="7"/>
  <c r="S578" i="7" s="1"/>
  <c r="S123" i="7" s="1"/>
  <c r="R577" i="7"/>
  <c r="R578" i="7" s="1"/>
  <c r="R123" i="7" s="1"/>
  <c r="AN577" i="7"/>
  <c r="AN578" i="7" s="1"/>
  <c r="AN123" i="7" s="1"/>
  <c r="AM577" i="7"/>
  <c r="AM578" i="7" s="1"/>
  <c r="AM123" i="7" s="1"/>
  <c r="N577" i="7"/>
  <c r="N578" i="7" s="1"/>
  <c r="N123" i="7" s="1"/>
  <c r="S583" i="7"/>
  <c r="S584" i="7" s="1"/>
  <c r="S124" i="7" s="1"/>
  <c r="AM583" i="7"/>
  <c r="AM584" i="7" s="1"/>
  <c r="AM124" i="7" s="1"/>
  <c r="AJ583" i="7"/>
  <c r="AJ584" i="7" s="1"/>
  <c r="AJ124" i="7" s="1"/>
  <c r="E583" i="7"/>
  <c r="E584" i="7" s="1"/>
  <c r="E124" i="7" s="1"/>
  <c r="Z583" i="7"/>
  <c r="Z584" i="7" s="1"/>
  <c r="Z124" i="7" s="1"/>
  <c r="X583" i="7"/>
  <c r="X584" i="7" s="1"/>
  <c r="X124" i="7" s="1"/>
  <c r="V583" i="7"/>
  <c r="V584" i="7" s="1"/>
  <c r="V124" i="7" s="1"/>
  <c r="AP583" i="7"/>
  <c r="AP584" i="7" s="1"/>
  <c r="AP124" i="7" s="1"/>
  <c r="R583" i="7"/>
  <c r="R584" i="7" s="1"/>
  <c r="R124" i="7" s="1"/>
  <c r="P583" i="7"/>
  <c r="P584" i="7" s="1"/>
  <c r="P124" i="7" s="1"/>
  <c r="O583" i="7"/>
  <c r="O584" i="7" s="1"/>
  <c r="O124" i="7" s="1"/>
  <c r="N583" i="7"/>
  <c r="N584" i="7" s="1"/>
  <c r="N124" i="7" s="1"/>
  <c r="AK583" i="7"/>
  <c r="AK584" i="7" s="1"/>
  <c r="AK124" i="7" s="1"/>
  <c r="AI583" i="7"/>
  <c r="AI584" i="7" s="1"/>
  <c r="AI124" i="7" s="1"/>
  <c r="AA583" i="7"/>
  <c r="AA584" i="7" s="1"/>
  <c r="AA124" i="7" s="1"/>
  <c r="Y583" i="7"/>
  <c r="Y584" i="7" s="1"/>
  <c r="Y124" i="7" s="1"/>
  <c r="U583" i="7"/>
  <c r="U584" i="7" s="1"/>
  <c r="U124" i="7" s="1"/>
  <c r="AO583" i="7"/>
  <c r="AO584" i="7" s="1"/>
  <c r="AO124" i="7" s="1"/>
  <c r="Q583" i="7"/>
  <c r="Q584" i="7" s="1"/>
  <c r="Q124" i="7" s="1"/>
  <c r="AN583" i="7"/>
  <c r="AN584" i="7" s="1"/>
  <c r="AN124" i="7" s="1"/>
  <c r="AL583" i="7"/>
  <c r="AL584" i="7" s="1"/>
  <c r="AL124" i="7" s="1"/>
  <c r="M583" i="7"/>
  <c r="M584" i="7" s="1"/>
  <c r="M124" i="7" s="1"/>
  <c r="L583" i="7"/>
  <c r="L584" i="7" s="1"/>
  <c r="L124" i="7" s="1"/>
  <c r="K583" i="7"/>
  <c r="K584" i="7" s="1"/>
  <c r="K124" i="7" s="1"/>
  <c r="AB583" i="7"/>
  <c r="AB584" i="7" s="1"/>
  <c r="AB124" i="7" s="1"/>
  <c r="C583" i="7"/>
  <c r="W583" i="7"/>
  <c r="W584" i="7" s="1"/>
  <c r="W124" i="7" s="1"/>
  <c r="AH583" i="7"/>
  <c r="AH584" i="7" s="1"/>
  <c r="AH124" i="7" s="1"/>
  <c r="J583" i="7"/>
  <c r="J584" i="7" s="1"/>
  <c r="J124" i="7" s="1"/>
  <c r="AG583" i="7"/>
  <c r="AG584" i="7" s="1"/>
  <c r="AG124" i="7" s="1"/>
  <c r="I583" i="7"/>
  <c r="I584" i="7" s="1"/>
  <c r="I124" i="7" s="1"/>
  <c r="AF583" i="7"/>
  <c r="AF584" i="7" s="1"/>
  <c r="AF124" i="7" s="1"/>
  <c r="H583" i="7"/>
  <c r="H584" i="7" s="1"/>
  <c r="H124" i="7" s="1"/>
  <c r="AE583" i="7"/>
  <c r="AE584" i="7" s="1"/>
  <c r="AE124" i="7" s="1"/>
  <c r="G583" i="7"/>
  <c r="G584" i="7" s="1"/>
  <c r="G124" i="7" s="1"/>
  <c r="AD583" i="7"/>
  <c r="AD584" i="7" s="1"/>
  <c r="AD124" i="7" s="1"/>
  <c r="F583" i="7"/>
  <c r="F584" i="7" s="1"/>
  <c r="F124" i="7" s="1"/>
  <c r="AC583" i="7"/>
  <c r="AC584" i="7" s="1"/>
  <c r="AC124" i="7" s="1"/>
  <c r="D583" i="7"/>
  <c r="D584" i="7" s="1"/>
  <c r="D124" i="7" s="1"/>
  <c r="T583" i="7"/>
  <c r="T584" i="7" s="1"/>
  <c r="T124" i="7" s="1"/>
  <c r="B484" i="7"/>
  <c r="B483" i="7"/>
  <c r="C476" i="7" a="1"/>
  <c r="D476" i="7" s="1"/>
  <c r="M442" i="7"/>
  <c r="M441" i="7"/>
  <c r="B442" i="7"/>
  <c r="B347" i="7"/>
  <c r="B346" i="7"/>
  <c r="C339" i="7" a="1"/>
  <c r="D339" i="7" s="1"/>
  <c r="B339" i="7"/>
  <c r="B338" i="7"/>
  <c r="M304" i="7"/>
  <c r="M303" i="7"/>
  <c r="B303" i="7"/>
  <c r="G125" i="7" l="1"/>
  <c r="N125" i="7"/>
  <c r="U125" i="7"/>
  <c r="AN125" i="7"/>
  <c r="AE125" i="7"/>
  <c r="R125" i="7"/>
  <c r="L125" i="7"/>
  <c r="F125" i="7"/>
  <c r="AA125" i="7"/>
  <c r="O125" i="7"/>
  <c r="H125" i="7"/>
  <c r="T125" i="7"/>
  <c r="AK125" i="7"/>
  <c r="D125" i="7"/>
  <c r="I125" i="7"/>
  <c r="AD125" i="7"/>
  <c r="P125" i="7"/>
  <c r="AH125" i="7"/>
  <c r="W125" i="7"/>
  <c r="AB125" i="7"/>
  <c r="X125" i="7"/>
  <c r="Y125" i="7"/>
  <c r="AC125" i="7"/>
  <c r="AF125" i="7"/>
  <c r="C584" i="7"/>
  <c r="C124" i="7" s="1"/>
  <c r="I443" i="7"/>
  <c r="M125" i="7"/>
  <c r="AO125" i="7"/>
  <c r="K125" i="7"/>
  <c r="AG125" i="7"/>
  <c r="AP125" i="7"/>
  <c r="AM125" i="7"/>
  <c r="J125" i="7"/>
  <c r="S125" i="7"/>
  <c r="AJ125" i="7"/>
  <c r="V125" i="7"/>
  <c r="Q125" i="7"/>
  <c r="C578" i="7"/>
  <c r="C123" i="7" s="1"/>
  <c r="I305" i="7"/>
  <c r="Z125" i="7"/>
  <c r="AL125" i="7"/>
  <c r="E125" i="7"/>
  <c r="AI125" i="7"/>
  <c r="AM476" i="7"/>
  <c r="AI476" i="7"/>
  <c r="AE476" i="7"/>
  <c r="AA476" i="7"/>
  <c r="W476" i="7"/>
  <c r="S476" i="7"/>
  <c r="O476" i="7"/>
  <c r="K476" i="7"/>
  <c r="G476" i="7"/>
  <c r="C476" i="7"/>
  <c r="AP476" i="7"/>
  <c r="AL476" i="7"/>
  <c r="AH476" i="7"/>
  <c r="AD476" i="7"/>
  <c r="Z476" i="7"/>
  <c r="V476" i="7"/>
  <c r="R476" i="7"/>
  <c r="N476" i="7"/>
  <c r="J476" i="7"/>
  <c r="F476" i="7"/>
  <c r="AO476" i="7"/>
  <c r="AK476" i="7"/>
  <c r="AG476" i="7"/>
  <c r="AC476" i="7"/>
  <c r="Y476" i="7"/>
  <c r="U476" i="7"/>
  <c r="Q476" i="7"/>
  <c r="M476" i="7"/>
  <c r="I476" i="7"/>
  <c r="E476" i="7"/>
  <c r="AN476" i="7"/>
  <c r="AJ476" i="7"/>
  <c r="AF476" i="7"/>
  <c r="AB476" i="7"/>
  <c r="X476" i="7"/>
  <c r="T476" i="7"/>
  <c r="P476" i="7"/>
  <c r="L476" i="7"/>
  <c r="H476" i="7"/>
  <c r="AO339" i="7"/>
  <c r="AK339" i="7"/>
  <c r="AG339" i="7"/>
  <c r="AC339" i="7"/>
  <c r="Y339" i="7"/>
  <c r="U339" i="7"/>
  <c r="Q339" i="7"/>
  <c r="M339" i="7"/>
  <c r="I339" i="7"/>
  <c r="E339" i="7"/>
  <c r="AM339" i="7"/>
  <c r="AI339" i="7"/>
  <c r="AE339" i="7"/>
  <c r="AA339" i="7"/>
  <c r="W339" i="7"/>
  <c r="S339" i="7"/>
  <c r="O339" i="7"/>
  <c r="K339" i="7"/>
  <c r="G339" i="7"/>
  <c r="C339" i="7"/>
  <c r="AP339" i="7"/>
  <c r="AL339" i="7"/>
  <c r="AH339" i="7"/>
  <c r="AD339" i="7"/>
  <c r="Z339" i="7"/>
  <c r="V339" i="7"/>
  <c r="R339" i="7"/>
  <c r="N339" i="7"/>
  <c r="J339" i="7"/>
  <c r="F339" i="7"/>
  <c r="AN339" i="7"/>
  <c r="AJ339" i="7"/>
  <c r="AF339" i="7"/>
  <c r="AB339" i="7"/>
  <c r="X339" i="7"/>
  <c r="T339" i="7"/>
  <c r="P339" i="7"/>
  <c r="L339" i="7"/>
  <c r="H339" i="7"/>
  <c r="C44" i="7" a="1"/>
  <c r="E44" i="7" s="1"/>
  <c r="B476" i="7" l="1" a="1"/>
  <c r="B476" i="7" s="1"/>
  <c r="AM44" i="7"/>
  <c r="AH44" i="7"/>
  <c r="AB44" i="7"/>
  <c r="W44" i="7"/>
  <c r="R44" i="7"/>
  <c r="L44" i="7"/>
  <c r="G44" i="7"/>
  <c r="AL44" i="7"/>
  <c r="AF44" i="7"/>
  <c r="AA44" i="7"/>
  <c r="V44" i="7"/>
  <c r="P44" i="7"/>
  <c r="K44" i="7"/>
  <c r="F44" i="7"/>
  <c r="AP44" i="7"/>
  <c r="AJ44" i="7"/>
  <c r="AE44" i="7"/>
  <c r="Z44" i="7"/>
  <c r="T44" i="7"/>
  <c r="O44" i="7"/>
  <c r="J44" i="7"/>
  <c r="D44" i="7"/>
  <c r="AN44" i="7"/>
  <c r="AI44" i="7"/>
  <c r="AD44" i="7"/>
  <c r="X44" i="7"/>
  <c r="S44" i="7"/>
  <c r="N44" i="7"/>
  <c r="H44" i="7"/>
  <c r="C44" i="7"/>
  <c r="AO44" i="7"/>
  <c r="AK44" i="7"/>
  <c r="AG44" i="7"/>
  <c r="AC44" i="7"/>
  <c r="Y44" i="7"/>
  <c r="U44" i="7"/>
  <c r="Q44" i="7"/>
  <c r="M44" i="7"/>
  <c r="I44" i="7"/>
  <c r="B672" i="7" l="1" a="1"/>
  <c r="C672" i="7" s="1"/>
  <c r="B671" i="7" a="1"/>
  <c r="C671" i="7" s="1"/>
  <c r="B670" i="7" a="1"/>
  <c r="B670" i="7" s="1"/>
  <c r="C442" i="7" l="1"/>
  <c r="C300" i="7"/>
  <c r="C298" i="7"/>
  <c r="C441" i="7"/>
  <c r="C440" i="7"/>
  <c r="C439" i="7"/>
  <c r="C438" i="7"/>
  <c r="C436" i="7"/>
  <c r="C304" i="7"/>
  <c r="C303" i="7"/>
  <c r="C302" i="7"/>
  <c r="C301" i="7"/>
  <c r="C299" i="7"/>
  <c r="C437" i="7"/>
  <c r="AO671" i="7"/>
  <c r="AG671" i="7"/>
  <c r="Y671" i="7"/>
  <c r="Q671" i="7"/>
  <c r="AL671" i="7"/>
  <c r="AD671" i="7"/>
  <c r="V671" i="7"/>
  <c r="N671" i="7"/>
  <c r="F671" i="7"/>
  <c r="AK671" i="7"/>
  <c r="AC671" i="7"/>
  <c r="U671" i="7"/>
  <c r="M671" i="7"/>
  <c r="E671" i="7"/>
  <c r="AP671" i="7"/>
  <c r="AH671" i="7"/>
  <c r="Z671" i="7"/>
  <c r="R671" i="7"/>
  <c r="J671" i="7"/>
  <c r="B671" i="7"/>
  <c r="I671" i="7"/>
  <c r="AL672" i="7"/>
  <c r="AD672" i="7"/>
  <c r="V672" i="7"/>
  <c r="N672" i="7"/>
  <c r="F672" i="7"/>
  <c r="AK672" i="7"/>
  <c r="AC672" i="7"/>
  <c r="U672" i="7"/>
  <c r="M672" i="7"/>
  <c r="E672" i="7"/>
  <c r="AN672" i="7"/>
  <c r="AJ672" i="7"/>
  <c r="AF672" i="7"/>
  <c r="AB672" i="7"/>
  <c r="X672" i="7"/>
  <c r="T672" i="7"/>
  <c r="P672" i="7"/>
  <c r="L672" i="7"/>
  <c r="H672" i="7"/>
  <c r="D672" i="7"/>
  <c r="AP672" i="7"/>
  <c r="AH672" i="7"/>
  <c r="Z672" i="7"/>
  <c r="R672" i="7"/>
  <c r="J672" i="7"/>
  <c r="B672" i="7"/>
  <c r="C669" i="7" s="1"/>
  <c r="AO672" i="7"/>
  <c r="AG672" i="7"/>
  <c r="Y672" i="7"/>
  <c r="Q672" i="7"/>
  <c r="I672" i="7"/>
  <c r="AM672" i="7"/>
  <c r="AI672" i="7"/>
  <c r="AE672" i="7"/>
  <c r="AA672" i="7"/>
  <c r="W672" i="7"/>
  <c r="S672" i="7"/>
  <c r="O672" i="7"/>
  <c r="K672" i="7"/>
  <c r="G672" i="7"/>
  <c r="AN671" i="7"/>
  <c r="AJ671" i="7"/>
  <c r="AF671" i="7"/>
  <c r="AB671" i="7"/>
  <c r="X671" i="7"/>
  <c r="T671" i="7"/>
  <c r="P671" i="7"/>
  <c r="L671" i="7"/>
  <c r="H671" i="7"/>
  <c r="D671" i="7"/>
  <c r="AM671" i="7"/>
  <c r="AI671" i="7"/>
  <c r="AE671" i="7"/>
  <c r="AA671" i="7"/>
  <c r="W671" i="7"/>
  <c r="S671" i="7"/>
  <c r="O671" i="7"/>
  <c r="K671" i="7"/>
  <c r="G671" i="7"/>
  <c r="AN670" i="7"/>
  <c r="AF670" i="7"/>
  <c r="X670" i="7"/>
  <c r="P670" i="7"/>
  <c r="H670" i="7"/>
  <c r="AM670" i="7"/>
  <c r="AE670" i="7"/>
  <c r="AA670" i="7"/>
  <c r="W670" i="7"/>
  <c r="S670" i="7"/>
  <c r="O670" i="7"/>
  <c r="K670" i="7"/>
  <c r="G670" i="7"/>
  <c r="C670" i="7"/>
  <c r="AO670" i="7"/>
  <c r="AK670" i="7"/>
  <c r="AG670" i="7"/>
  <c r="AC670" i="7"/>
  <c r="Y670" i="7"/>
  <c r="U670" i="7"/>
  <c r="Q670" i="7"/>
  <c r="M670" i="7"/>
  <c r="I670" i="7"/>
  <c r="E670" i="7"/>
  <c r="AJ670" i="7"/>
  <c r="AB670" i="7"/>
  <c r="T670" i="7"/>
  <c r="L670" i="7"/>
  <c r="D670" i="7"/>
  <c r="AI670" i="7"/>
  <c r="AP670" i="7"/>
  <c r="AL670" i="7"/>
  <c r="AH670" i="7"/>
  <c r="AD670" i="7"/>
  <c r="Z670" i="7"/>
  <c r="V670" i="7"/>
  <c r="R670" i="7"/>
  <c r="N670" i="7"/>
  <c r="J670" i="7"/>
  <c r="F670" i="7"/>
  <c r="B95" i="7" l="1"/>
  <c r="D160" i="1" l="1"/>
  <c r="E160" i="1" l="1"/>
  <c r="F160" i="1" l="1"/>
  <c r="G160" i="1" l="1"/>
  <c r="H160" i="1" s="1"/>
  <c r="I160" i="1" l="1"/>
  <c r="J160" i="1" l="1"/>
  <c r="M436" i="7"/>
  <c r="B465" i="7"/>
  <c r="B464" i="7"/>
  <c r="B462" i="7"/>
  <c r="B324" i="7"/>
  <c r="B459" i="7"/>
  <c r="B458" i="7"/>
  <c r="B457" i="7"/>
  <c r="B456" i="7"/>
  <c r="B321" i="7"/>
  <c r="B320" i="7"/>
  <c r="B319" i="7"/>
  <c r="B327" i="7"/>
  <c r="B326" i="7"/>
  <c r="K160" i="1" l="1"/>
  <c r="F9" i="1"/>
  <c r="L160" i="1" l="1"/>
  <c r="B690" i="7"/>
  <c r="B96" i="7"/>
  <c r="M160" i="1" l="1"/>
  <c r="F10" i="1"/>
  <c r="B87" i="7"/>
  <c r="B82" i="7"/>
  <c r="N160" i="1" l="1"/>
  <c r="G97" i="1"/>
  <c r="G96" i="1"/>
  <c r="G95" i="1"/>
  <c r="G94" i="1"/>
  <c r="G93" i="1"/>
  <c r="O160" i="1" l="1"/>
  <c r="B440" i="7"/>
  <c r="B439" i="7"/>
  <c r="B302" i="7"/>
  <c r="B301" i="7"/>
  <c r="B437" i="7"/>
  <c r="B300" i="7"/>
  <c r="B436" i="7"/>
  <c r="B299" i="7"/>
  <c r="B298" i="7"/>
  <c r="B438" i="7"/>
  <c r="B441" i="7"/>
  <c r="C157" i="1"/>
  <c r="H93" i="1"/>
  <c r="I93" i="1" s="1"/>
  <c r="H95" i="1"/>
  <c r="I95" i="1" s="1"/>
  <c r="H96" i="1"/>
  <c r="I96" i="1" s="1"/>
  <c r="H97" i="1"/>
  <c r="I97" i="1" s="1"/>
  <c r="H94" i="1"/>
  <c r="I94" i="1" s="1"/>
  <c r="G98" i="1"/>
  <c r="B305" i="7" l="1"/>
  <c r="B443" i="7"/>
  <c r="P160" i="1"/>
  <c r="H98" i="1"/>
  <c r="I98" i="1"/>
  <c r="B88" i="7" s="1"/>
  <c r="C50" i="1"/>
  <c r="B159" i="7" l="1"/>
  <c r="B160" i="7" s="1"/>
  <c r="B158" i="7"/>
  <c r="B150" i="7"/>
  <c r="Q160" i="1"/>
  <c r="B341" i="7"/>
  <c r="G42" i="4"/>
  <c r="G3" i="4"/>
  <c r="R160" i="1" l="1"/>
  <c r="C614" i="7"/>
  <c r="C615" i="7"/>
  <c r="C616" i="7"/>
  <c r="C617" i="7"/>
  <c r="C607" i="7"/>
  <c r="C608" i="7"/>
  <c r="C609" i="7"/>
  <c r="C610" i="7"/>
  <c r="C269" i="7" l="1"/>
  <c r="C229" i="7"/>
  <c r="C228" i="7"/>
  <c r="C268" i="7"/>
  <c r="C271" i="7"/>
  <c r="C231" i="7"/>
  <c r="C223" i="7"/>
  <c r="C263" i="7"/>
  <c r="B318" i="7"/>
  <c r="C262" i="7"/>
  <c r="C225" i="7"/>
  <c r="C265" i="7"/>
  <c r="C224" i="7"/>
  <c r="C264" i="7"/>
  <c r="C270" i="7"/>
  <c r="C230" i="7"/>
  <c r="S160" i="1"/>
  <c r="B325" i="7"/>
  <c r="B328" i="7" s="1"/>
  <c r="B463" i="7"/>
  <c r="C611" i="7"/>
  <c r="C618" i="7"/>
  <c r="B90" i="7" s="1"/>
  <c r="C222" i="7"/>
  <c r="E304" i="7" l="1"/>
  <c r="E303" i="7"/>
  <c r="E299" i="7"/>
  <c r="E301" i="7"/>
  <c r="E298" i="7"/>
  <c r="E302" i="7"/>
  <c r="E300" i="7"/>
  <c r="T160" i="1"/>
  <c r="C272" i="7"/>
  <c r="C63" i="1"/>
  <c r="C58" i="1"/>
  <c r="C31" i="7" s="1"/>
  <c r="E305" i="7" l="1"/>
  <c r="U160" i="1"/>
  <c r="B453" i="7"/>
  <c r="B452" i="7"/>
  <c r="B451" i="7"/>
  <c r="B450" i="7"/>
  <c r="B315" i="7"/>
  <c r="B314" i="7"/>
  <c r="B313" i="7"/>
  <c r="B312" i="7"/>
  <c r="AP25" i="7"/>
  <c r="AO25" i="7"/>
  <c r="AN25" i="7"/>
  <c r="AM25" i="7"/>
  <c r="AL25" i="7"/>
  <c r="AK25" i="7"/>
  <c r="AJ25" i="7"/>
  <c r="AI25" i="7"/>
  <c r="AH25" i="7"/>
  <c r="AG25" i="7"/>
  <c r="AF25" i="7"/>
  <c r="AE25" i="7"/>
  <c r="AD25" i="7"/>
  <c r="AC25" i="7"/>
  <c r="AB25" i="7"/>
  <c r="AA25" i="7"/>
  <c r="Z25" i="7"/>
  <c r="Y25" i="7"/>
  <c r="X25" i="7"/>
  <c r="W25" i="7"/>
  <c r="V25" i="7"/>
  <c r="U25" i="7"/>
  <c r="T25" i="7"/>
  <c r="S25" i="7"/>
  <c r="R25" i="7"/>
  <c r="Q25" i="7"/>
  <c r="P25" i="7"/>
  <c r="O25" i="7"/>
  <c r="N25" i="7"/>
  <c r="M25" i="7"/>
  <c r="L25" i="7"/>
  <c r="K25" i="7"/>
  <c r="J25" i="7"/>
  <c r="I25" i="7"/>
  <c r="H25" i="7"/>
  <c r="G25" i="7"/>
  <c r="F25" i="7"/>
  <c r="E25" i="7"/>
  <c r="D25" i="7"/>
  <c r="C25" i="7"/>
  <c r="AP24" i="7"/>
  <c r="AO24" i="7"/>
  <c r="AN24" i="7"/>
  <c r="AM24" i="7"/>
  <c r="AL24" i="7"/>
  <c r="AK24" i="7"/>
  <c r="AJ24" i="7"/>
  <c r="AI24" i="7"/>
  <c r="AH24" i="7"/>
  <c r="AG24" i="7"/>
  <c r="AF24" i="7"/>
  <c r="AE24" i="7"/>
  <c r="AD24" i="7"/>
  <c r="AC24" i="7"/>
  <c r="AB24" i="7"/>
  <c r="AA24" i="7"/>
  <c r="Z24" i="7"/>
  <c r="Y24" i="7"/>
  <c r="X24" i="7"/>
  <c r="W24" i="7"/>
  <c r="V24" i="7"/>
  <c r="U24" i="7"/>
  <c r="T24" i="7"/>
  <c r="S24" i="7"/>
  <c r="R24" i="7"/>
  <c r="Q24" i="7"/>
  <c r="P24" i="7"/>
  <c r="O24" i="7"/>
  <c r="N24" i="7"/>
  <c r="M24" i="7"/>
  <c r="L24" i="7"/>
  <c r="K24" i="7"/>
  <c r="J24" i="7"/>
  <c r="I24" i="7"/>
  <c r="H24" i="7"/>
  <c r="G24" i="7"/>
  <c r="F24" i="7"/>
  <c r="E24" i="7"/>
  <c r="D24" i="7"/>
  <c r="C24" i="7"/>
  <c r="AP23" i="7"/>
  <c r="AO23" i="7"/>
  <c r="AN23" i="7"/>
  <c r="AM23" i="7"/>
  <c r="AL23" i="7"/>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F23" i="7"/>
  <c r="E23" i="7"/>
  <c r="D23" i="7"/>
  <c r="C23" i="7"/>
  <c r="V160" i="1" l="1"/>
  <c r="C2" i="7"/>
  <c r="C649" i="7" l="1"/>
  <c r="C29" i="7"/>
  <c r="C60" i="7"/>
  <c r="C655" i="7"/>
  <c r="C656" i="7" s="1"/>
  <c r="C664" i="7"/>
  <c r="C665" i="7" s="1"/>
  <c r="C662" i="7"/>
  <c r="C644" i="7" s="1"/>
  <c r="C661" i="7"/>
  <c r="C660" i="7"/>
  <c r="C642" i="7" s="1"/>
  <c r="D196" i="7"/>
  <c r="C643" i="7"/>
  <c r="C648" i="7"/>
  <c r="C651" i="7"/>
  <c r="C676" i="7"/>
  <c r="C682" i="7"/>
  <c r="C61" i="7"/>
  <c r="C484" i="7"/>
  <c r="C347" i="7"/>
  <c r="W160" i="1"/>
  <c r="C683" i="7"/>
  <c r="C594" i="7"/>
  <c r="C588" i="7"/>
  <c r="C634" i="7"/>
  <c r="C630" i="7"/>
  <c r="C626" i="7"/>
  <c r="C622" i="7"/>
  <c r="C38" i="7"/>
  <c r="C42" i="7"/>
  <c r="C35" i="7"/>
  <c r="C758" i="7"/>
  <c r="C726" i="7"/>
  <c r="C694" i="7"/>
  <c r="C28" i="7"/>
  <c r="C62" i="7"/>
  <c r="D2" i="7"/>
  <c r="D649" i="7" l="1"/>
  <c r="D29" i="7"/>
  <c r="D60" i="7"/>
  <c r="D655" i="7"/>
  <c r="D656" i="7" s="1"/>
  <c r="D664" i="7"/>
  <c r="D665" i="7" s="1"/>
  <c r="D662" i="7"/>
  <c r="D644" i="7" s="1"/>
  <c r="D661" i="7"/>
  <c r="D660" i="7"/>
  <c r="D643" i="7"/>
  <c r="D31" i="7"/>
  <c r="D61" i="7" s="1"/>
  <c r="C650" i="7"/>
  <c r="D651" i="7"/>
  <c r="E196" i="7"/>
  <c r="D648" i="7"/>
  <c r="D676" i="7"/>
  <c r="D682" i="7"/>
  <c r="D484" i="7"/>
  <c r="D347" i="7"/>
  <c r="C95" i="7"/>
  <c r="X160" i="1"/>
  <c r="D683" i="7"/>
  <c r="D634" i="7"/>
  <c r="D630" i="7"/>
  <c r="D626" i="7"/>
  <c r="D622" i="7"/>
  <c r="D594" i="7"/>
  <c r="D588" i="7"/>
  <c r="D38" i="7"/>
  <c r="D42" i="7"/>
  <c r="D35" i="7"/>
  <c r="D758" i="7"/>
  <c r="D726" i="7"/>
  <c r="D694" i="7"/>
  <c r="D28" i="7"/>
  <c r="D62" i="7"/>
  <c r="E2" i="7"/>
  <c r="E29" i="7" l="1"/>
  <c r="E649" i="7"/>
  <c r="E60" i="7"/>
  <c r="E655" i="7"/>
  <c r="E656" i="7" s="1"/>
  <c r="E664" i="7"/>
  <c r="E665" i="7" s="1"/>
  <c r="E662" i="7"/>
  <c r="E644" i="7" s="1"/>
  <c r="E661" i="7"/>
  <c r="E660" i="7"/>
  <c r="E643" i="7"/>
  <c r="E31" i="7"/>
  <c r="E61" i="7" s="1"/>
  <c r="E651" i="7"/>
  <c r="F196" i="7"/>
  <c r="D650" i="7"/>
  <c r="D642" i="7" s="1"/>
  <c r="E648" i="7"/>
  <c r="E682" i="7"/>
  <c r="E676" i="7"/>
  <c r="E484" i="7"/>
  <c r="E347" i="7"/>
  <c r="D95" i="7"/>
  <c r="Y160" i="1"/>
  <c r="E683" i="7"/>
  <c r="E594" i="7"/>
  <c r="E588" i="7"/>
  <c r="E634" i="7"/>
  <c r="E630" i="7"/>
  <c r="E626" i="7"/>
  <c r="E622" i="7"/>
  <c r="E38" i="7"/>
  <c r="E42" i="7"/>
  <c r="E35" i="7"/>
  <c r="E758" i="7"/>
  <c r="E726" i="7"/>
  <c r="E694" i="7"/>
  <c r="E62" i="7"/>
  <c r="E28" i="7"/>
  <c r="F2" i="7"/>
  <c r="F649" i="7" l="1"/>
  <c r="F29" i="7"/>
  <c r="F60" i="7"/>
  <c r="F655" i="7"/>
  <c r="F656" i="7" s="1"/>
  <c r="F664" i="7"/>
  <c r="F665" i="7" s="1"/>
  <c r="F662" i="7"/>
  <c r="F644" i="7" s="1"/>
  <c r="F661" i="7"/>
  <c r="F660" i="7"/>
  <c r="F643" i="7"/>
  <c r="F31" i="7"/>
  <c r="F61" i="7" s="1"/>
  <c r="F651" i="7"/>
  <c r="G196" i="7"/>
  <c r="E650" i="7"/>
  <c r="E642" i="7" s="1"/>
  <c r="F648" i="7"/>
  <c r="F682" i="7"/>
  <c r="F676" i="7"/>
  <c r="F484" i="7"/>
  <c r="F347" i="7"/>
  <c r="Z160" i="1"/>
  <c r="E95" i="7"/>
  <c r="F683" i="7"/>
  <c r="F588" i="7"/>
  <c r="F634" i="7"/>
  <c r="F630" i="7"/>
  <c r="F626" i="7"/>
  <c r="F622" i="7"/>
  <c r="F594" i="7"/>
  <c r="F38" i="7"/>
  <c r="F42" i="7"/>
  <c r="F35" i="7"/>
  <c r="F726" i="7"/>
  <c r="F758" i="7"/>
  <c r="F694" i="7"/>
  <c r="F62" i="7"/>
  <c r="F28" i="7"/>
  <c r="G2" i="7"/>
  <c r="AP678" i="7"/>
  <c r="G649" i="7" l="1"/>
  <c r="G29" i="7"/>
  <c r="G60" i="7"/>
  <c r="G655" i="7"/>
  <c r="G656" i="7" s="1"/>
  <c r="G664" i="7"/>
  <c r="G665" i="7" s="1"/>
  <c r="G662" i="7"/>
  <c r="G644" i="7" s="1"/>
  <c r="G661" i="7"/>
  <c r="G660" i="7"/>
  <c r="G31" i="7"/>
  <c r="G61" i="7" s="1"/>
  <c r="G643" i="7"/>
  <c r="G651" i="7"/>
  <c r="H196" i="7"/>
  <c r="G648" i="7"/>
  <c r="F650" i="7"/>
  <c r="F642" i="7" s="1"/>
  <c r="G676" i="7"/>
  <c r="G682" i="7"/>
  <c r="G484" i="7"/>
  <c r="G347" i="7"/>
  <c r="F95" i="7"/>
  <c r="AA160" i="1"/>
  <c r="G683" i="7"/>
  <c r="G594" i="7"/>
  <c r="G588" i="7"/>
  <c r="G626" i="7"/>
  <c r="G634" i="7"/>
  <c r="G630" i="7"/>
  <c r="G622" i="7"/>
  <c r="G38" i="7"/>
  <c r="G42" i="7"/>
  <c r="G35" i="7"/>
  <c r="G758" i="7"/>
  <c r="G726" i="7"/>
  <c r="G694" i="7"/>
  <c r="G28" i="7"/>
  <c r="G62" i="7"/>
  <c r="H2" i="7"/>
  <c r="AP251" i="7"/>
  <c r="AO251" i="7"/>
  <c r="AN251" i="7"/>
  <c r="AM251" i="7"/>
  <c r="AL251" i="7"/>
  <c r="AK251" i="7"/>
  <c r="AJ251" i="7"/>
  <c r="AI251" i="7"/>
  <c r="AH251" i="7"/>
  <c r="AG251" i="7"/>
  <c r="AF251" i="7"/>
  <c r="AE251" i="7"/>
  <c r="AD251" i="7"/>
  <c r="AC251" i="7"/>
  <c r="AB251" i="7"/>
  <c r="AA251" i="7"/>
  <c r="Z251" i="7"/>
  <c r="Y251" i="7"/>
  <c r="X251" i="7"/>
  <c r="W251" i="7"/>
  <c r="V251" i="7"/>
  <c r="U251" i="7"/>
  <c r="T251" i="7"/>
  <c r="S251" i="7"/>
  <c r="R251" i="7"/>
  <c r="Q251" i="7"/>
  <c r="P251" i="7"/>
  <c r="O251" i="7"/>
  <c r="N251" i="7"/>
  <c r="M251" i="7"/>
  <c r="L251" i="7"/>
  <c r="K251" i="7"/>
  <c r="J251" i="7"/>
  <c r="I251" i="7"/>
  <c r="H251" i="7"/>
  <c r="G251" i="7"/>
  <c r="F251" i="7"/>
  <c r="E251" i="7"/>
  <c r="D251" i="7"/>
  <c r="H649" i="7" l="1"/>
  <c r="H29" i="7"/>
  <c r="H60" i="7"/>
  <c r="H655" i="7"/>
  <c r="H656" i="7" s="1"/>
  <c r="H664" i="7"/>
  <c r="H665" i="7" s="1"/>
  <c r="H662" i="7"/>
  <c r="H644" i="7" s="1"/>
  <c r="H661" i="7"/>
  <c r="H660" i="7"/>
  <c r="G642" i="7"/>
  <c r="H31" i="7"/>
  <c r="H61" i="7" s="1"/>
  <c r="H643" i="7"/>
  <c r="H651" i="7"/>
  <c r="I196" i="7"/>
  <c r="G650" i="7"/>
  <c r="H648" i="7"/>
  <c r="H682" i="7"/>
  <c r="H676" i="7"/>
  <c r="H484" i="7"/>
  <c r="H347" i="7"/>
  <c r="G95" i="7"/>
  <c r="AB160" i="1"/>
  <c r="H683" i="7"/>
  <c r="H626" i="7"/>
  <c r="H594" i="7"/>
  <c r="H588" i="7"/>
  <c r="H634" i="7"/>
  <c r="H630" i="7"/>
  <c r="H622" i="7"/>
  <c r="H38" i="7"/>
  <c r="H42" i="7"/>
  <c r="H35" i="7"/>
  <c r="H758" i="7"/>
  <c r="H694" i="7"/>
  <c r="H726" i="7"/>
  <c r="H28" i="7"/>
  <c r="H62" i="7"/>
  <c r="I2" i="7"/>
  <c r="A771" i="7"/>
  <c r="A772" i="7" s="1"/>
  <c r="A773" i="7" s="1"/>
  <c r="A774" i="7" s="1"/>
  <c r="A775" i="7" s="1"/>
  <c r="A776" i="7" s="1"/>
  <c r="A777" i="7" s="1"/>
  <c r="A778" i="7" s="1"/>
  <c r="A779" i="7" s="1"/>
  <c r="A759" i="7"/>
  <c r="H759" i="7" s="1"/>
  <c r="B754" i="7"/>
  <c r="C751" i="7" s="1"/>
  <c r="A739" i="7"/>
  <c r="A740" i="7" s="1"/>
  <c r="A741" i="7" s="1"/>
  <c r="A742" i="7" s="1"/>
  <c r="A743" i="7" s="1"/>
  <c r="A744" i="7" s="1"/>
  <c r="A745" i="7" s="1"/>
  <c r="A746" i="7" s="1"/>
  <c r="A747" i="7" s="1"/>
  <c r="A727" i="7"/>
  <c r="H727" i="7" s="1"/>
  <c r="B722" i="7"/>
  <c r="C719" i="7" s="1"/>
  <c r="A707" i="7"/>
  <c r="A708" i="7" s="1"/>
  <c r="A709" i="7" s="1"/>
  <c r="A710" i="7" s="1"/>
  <c r="A711" i="7" s="1"/>
  <c r="A712" i="7" s="1"/>
  <c r="A713" i="7" s="1"/>
  <c r="A714" i="7" s="1"/>
  <c r="A715" i="7" s="1"/>
  <c r="A695" i="7"/>
  <c r="H695" i="7" s="1"/>
  <c r="C687" i="7"/>
  <c r="A633" i="7"/>
  <c r="A629" i="7"/>
  <c r="A625" i="7"/>
  <c r="A621" i="7"/>
  <c r="A617" i="7"/>
  <c r="A327" i="7" s="1"/>
  <c r="A616" i="7"/>
  <c r="A326" i="7" s="1"/>
  <c r="A615" i="7"/>
  <c r="A325" i="7" s="1"/>
  <c r="A614" i="7"/>
  <c r="A324" i="7" s="1"/>
  <c r="A610" i="7"/>
  <c r="A321" i="7" s="1"/>
  <c r="A609" i="7"/>
  <c r="A320" i="7" s="1"/>
  <c r="A608" i="7"/>
  <c r="A319" i="7" s="1"/>
  <c r="A607" i="7"/>
  <c r="A318" i="7" s="1"/>
  <c r="A606" i="7"/>
  <c r="A317" i="7" s="1"/>
  <c r="C604" i="7"/>
  <c r="A604" i="7"/>
  <c r="A315" i="7" s="1"/>
  <c r="C603" i="7"/>
  <c r="A603" i="7"/>
  <c r="A314" i="7" s="1"/>
  <c r="C602" i="7"/>
  <c r="A602" i="7"/>
  <c r="A313" i="7" s="1"/>
  <c r="C601" i="7"/>
  <c r="A601" i="7"/>
  <c r="A312" i="7" s="1"/>
  <c r="A600" i="7"/>
  <c r="A311" i="7" s="1"/>
  <c r="A560" i="7"/>
  <c r="A561" i="7" s="1"/>
  <c r="A562" i="7" s="1"/>
  <c r="A563" i="7" s="1"/>
  <c r="A564" i="7" s="1"/>
  <c r="A565" i="7" s="1"/>
  <c r="A566" i="7" s="1"/>
  <c r="A567" i="7" s="1"/>
  <c r="A568" i="7" s="1"/>
  <c r="A548" i="7"/>
  <c r="A549" i="7" s="1"/>
  <c r="A550" i="7" s="1"/>
  <c r="A551" i="7" s="1"/>
  <c r="A552" i="7" s="1"/>
  <c r="A553" i="7" s="1"/>
  <c r="A554" i="7" s="1"/>
  <c r="A555" i="7" s="1"/>
  <c r="A556" i="7" s="1"/>
  <c r="A534" i="7"/>
  <c r="A535" i="7" s="1"/>
  <c r="A536" i="7" s="1"/>
  <c r="A537" i="7" s="1"/>
  <c r="A538" i="7" s="1"/>
  <c r="A539" i="7" s="1"/>
  <c r="A540" i="7" s="1"/>
  <c r="A541" i="7" s="1"/>
  <c r="A542" i="7" s="1"/>
  <c r="A522" i="7"/>
  <c r="A523" i="7" s="1"/>
  <c r="A524" i="7" s="1"/>
  <c r="A525" i="7" s="1"/>
  <c r="A526" i="7" s="1"/>
  <c r="A527" i="7" s="1"/>
  <c r="A528" i="7" s="1"/>
  <c r="A529" i="7" s="1"/>
  <c r="A530" i="7" s="1"/>
  <c r="A508" i="7"/>
  <c r="A509" i="7" s="1"/>
  <c r="A510" i="7" s="1"/>
  <c r="A511" i="7" s="1"/>
  <c r="A512" i="7" s="1"/>
  <c r="A513" i="7" s="1"/>
  <c r="A514" i="7" s="1"/>
  <c r="A515" i="7" s="1"/>
  <c r="A516" i="7" s="1"/>
  <c r="A496" i="7"/>
  <c r="A497" i="7" s="1"/>
  <c r="A498" i="7" s="1"/>
  <c r="A499" i="7" s="1"/>
  <c r="A500" i="7" s="1"/>
  <c r="A501" i="7" s="1"/>
  <c r="A502" i="7" s="1"/>
  <c r="A503" i="7" s="1"/>
  <c r="A504" i="7" s="1"/>
  <c r="B490" i="7"/>
  <c r="B489" i="7"/>
  <c r="A422" i="7"/>
  <c r="A423" i="7" s="1"/>
  <c r="A424" i="7" s="1"/>
  <c r="A425" i="7" s="1"/>
  <c r="A426" i="7" s="1"/>
  <c r="A427" i="7" s="1"/>
  <c r="A428" i="7" s="1"/>
  <c r="A429" i="7" s="1"/>
  <c r="A430" i="7" s="1"/>
  <c r="A410" i="7"/>
  <c r="A411" i="7" s="1"/>
  <c r="A412" i="7" s="1"/>
  <c r="A413" i="7" s="1"/>
  <c r="A414" i="7" s="1"/>
  <c r="A415" i="7" s="1"/>
  <c r="A416" i="7" s="1"/>
  <c r="A417" i="7" s="1"/>
  <c r="A418" i="7" s="1"/>
  <c r="A396" i="7"/>
  <c r="A397" i="7" s="1"/>
  <c r="A398" i="7" s="1"/>
  <c r="A399" i="7" s="1"/>
  <c r="A400" i="7" s="1"/>
  <c r="A401" i="7" s="1"/>
  <c r="A402" i="7" s="1"/>
  <c r="A403" i="7" s="1"/>
  <c r="A404" i="7" s="1"/>
  <c r="A384" i="7"/>
  <c r="A385" i="7" s="1"/>
  <c r="A386" i="7" s="1"/>
  <c r="A387" i="7" s="1"/>
  <c r="A388" i="7" s="1"/>
  <c r="A389" i="7" s="1"/>
  <c r="A390" i="7" s="1"/>
  <c r="A391" i="7" s="1"/>
  <c r="A392" i="7" s="1"/>
  <c r="A370" i="7"/>
  <c r="A371" i="7" s="1"/>
  <c r="A372" i="7" s="1"/>
  <c r="A373" i="7" s="1"/>
  <c r="A374" i="7" s="1"/>
  <c r="A375" i="7" s="1"/>
  <c r="A376" i="7" s="1"/>
  <c r="A377" i="7" s="1"/>
  <c r="A378" i="7" s="1"/>
  <c r="A359" i="7"/>
  <c r="A360" i="7" s="1"/>
  <c r="A361" i="7" s="1"/>
  <c r="A362" i="7" s="1"/>
  <c r="A363" i="7" s="1"/>
  <c r="A364" i="7" s="1"/>
  <c r="A365" i="7" s="1"/>
  <c r="A366" i="7" s="1"/>
  <c r="A367" i="7" s="1"/>
  <c r="B353" i="7"/>
  <c r="B352" i="7"/>
  <c r="A323" i="7"/>
  <c r="A310" i="7"/>
  <c r="A303" i="7"/>
  <c r="A441" i="7" s="1"/>
  <c r="A302" i="7"/>
  <c r="A440" i="7" s="1"/>
  <c r="A301" i="7"/>
  <c r="A439" i="7" s="1"/>
  <c r="A300" i="7"/>
  <c r="A438" i="7" s="1"/>
  <c r="A299" i="7"/>
  <c r="A437" i="7" s="1"/>
  <c r="A298" i="7"/>
  <c r="A436" i="7" s="1"/>
  <c r="A273" i="7"/>
  <c r="A267" i="7"/>
  <c r="A261" i="7"/>
  <c r="A255" i="7"/>
  <c r="A254" i="7"/>
  <c r="A233" i="7"/>
  <c r="A227" i="7"/>
  <c r="A221" i="7"/>
  <c r="A215" i="7"/>
  <c r="A214" i="7"/>
  <c r="B132" i="7"/>
  <c r="B131" i="7"/>
  <c r="B128" i="7"/>
  <c r="B127" i="7"/>
  <c r="AP117" i="7"/>
  <c r="AO117" i="7"/>
  <c r="AN117" i="7"/>
  <c r="AM117" i="7"/>
  <c r="AL117" i="7"/>
  <c r="AK117" i="7"/>
  <c r="AJ117" i="7"/>
  <c r="AI117" i="7"/>
  <c r="AH117" i="7"/>
  <c r="AG117" i="7"/>
  <c r="AF117" i="7"/>
  <c r="AE117" i="7"/>
  <c r="AD117" i="7"/>
  <c r="AC117" i="7"/>
  <c r="AB117" i="7"/>
  <c r="AA117" i="7"/>
  <c r="Z117" i="7"/>
  <c r="Y117" i="7"/>
  <c r="X117" i="7"/>
  <c r="W117" i="7"/>
  <c r="V117" i="7"/>
  <c r="U117" i="7"/>
  <c r="T117" i="7"/>
  <c r="S117" i="7"/>
  <c r="R117" i="7"/>
  <c r="Q117" i="7"/>
  <c r="P117" i="7"/>
  <c r="O117" i="7"/>
  <c r="N117" i="7"/>
  <c r="M117" i="7"/>
  <c r="L117" i="7"/>
  <c r="K117" i="7"/>
  <c r="J117" i="7"/>
  <c r="I117" i="7"/>
  <c r="H117" i="7"/>
  <c r="G117" i="7"/>
  <c r="F117" i="7"/>
  <c r="E117" i="7"/>
  <c r="D117" i="7"/>
  <c r="C117" i="7"/>
  <c r="B103" i="7"/>
  <c r="B102" i="7"/>
  <c r="B101" i="7"/>
  <c r="B98" i="7"/>
  <c r="B97" i="7"/>
  <c r="B78" i="7"/>
  <c r="A74" i="7"/>
  <c r="A73" i="7"/>
  <c r="A72" i="7"/>
  <c r="A71" i="7"/>
  <c r="I29" i="7" l="1"/>
  <c r="I649" i="7"/>
  <c r="I60" i="7"/>
  <c r="I655" i="7"/>
  <c r="I656" i="7" s="1"/>
  <c r="I664" i="7"/>
  <c r="I665" i="7" s="1"/>
  <c r="I662" i="7"/>
  <c r="I644" i="7" s="1"/>
  <c r="I661" i="7"/>
  <c r="I660" i="7"/>
  <c r="I643" i="7"/>
  <c r="I31" i="7"/>
  <c r="I61" i="7" s="1"/>
  <c r="H650" i="7"/>
  <c r="H642" i="7" s="1"/>
  <c r="I651" i="7"/>
  <c r="J196" i="7"/>
  <c r="I648" i="7"/>
  <c r="I676" i="7"/>
  <c r="I682" i="7"/>
  <c r="I484" i="7"/>
  <c r="I347" i="7"/>
  <c r="AC160" i="1"/>
  <c r="I683" i="7"/>
  <c r="H95" i="7"/>
  <c r="I594" i="7"/>
  <c r="I588" i="7"/>
  <c r="I634" i="7"/>
  <c r="I630" i="7"/>
  <c r="I626" i="7"/>
  <c r="I622" i="7"/>
  <c r="I38" i="7"/>
  <c r="I42" i="7"/>
  <c r="I35" i="7"/>
  <c r="A760" i="7"/>
  <c r="C772" i="7" s="1"/>
  <c r="C759" i="7"/>
  <c r="C410" i="7" s="1"/>
  <c r="D759" i="7"/>
  <c r="E759" i="7"/>
  <c r="F759" i="7"/>
  <c r="G759" i="7"/>
  <c r="A696" i="7"/>
  <c r="C708" i="7" s="1"/>
  <c r="C695" i="7"/>
  <c r="D695" i="7"/>
  <c r="E695" i="7"/>
  <c r="F695" i="7"/>
  <c r="G695" i="7"/>
  <c r="A728" i="7"/>
  <c r="I728" i="7" s="1"/>
  <c r="C727" i="7"/>
  <c r="C384" i="7" s="1"/>
  <c r="D727" i="7"/>
  <c r="E727" i="7"/>
  <c r="F727" i="7"/>
  <c r="G727" i="7"/>
  <c r="I759" i="7"/>
  <c r="I758" i="7"/>
  <c r="I760" i="7"/>
  <c r="I726" i="7"/>
  <c r="I727" i="7"/>
  <c r="I694" i="7"/>
  <c r="I695" i="7"/>
  <c r="I62" i="7"/>
  <c r="I28" i="7"/>
  <c r="C256" i="7"/>
  <c r="C216" i="7"/>
  <c r="C258" i="7"/>
  <c r="C218" i="7"/>
  <c r="C257" i="7"/>
  <c r="C217" i="7"/>
  <c r="C259" i="7"/>
  <c r="C219" i="7"/>
  <c r="J2" i="7"/>
  <c r="C677" i="7"/>
  <c r="C605" i="7"/>
  <c r="B89" i="7" s="1"/>
  <c r="B91" i="7" s="1"/>
  <c r="B322" i="7"/>
  <c r="B316" i="7"/>
  <c r="B104" i="7"/>
  <c r="B454" i="7"/>
  <c r="B460" i="7"/>
  <c r="D707" i="7"/>
  <c r="D473" i="7"/>
  <c r="D338" i="7"/>
  <c r="C771" i="7"/>
  <c r="C409" i="7"/>
  <c r="C739" i="7"/>
  <c r="C707" i="7"/>
  <c r="C358" i="7"/>
  <c r="C595" i="7"/>
  <c r="C589" i="7"/>
  <c r="C474" i="7"/>
  <c r="C473" i="7"/>
  <c r="C472" i="7"/>
  <c r="C471" i="7"/>
  <c r="C470" i="7"/>
  <c r="C490" i="7"/>
  <c r="C353" i="7"/>
  <c r="C337" i="7"/>
  <c r="C336" i="7"/>
  <c r="C335" i="7"/>
  <c r="C334" i="7"/>
  <c r="C333" i="7"/>
  <c r="B133" i="7"/>
  <c r="C37" i="7"/>
  <c r="D37" i="7"/>
  <c r="B129" i="7"/>
  <c r="A471" i="7"/>
  <c r="A479" i="7" s="1"/>
  <c r="A473" i="7"/>
  <c r="A481" i="7" s="1"/>
  <c r="A475" i="7"/>
  <c r="A483" i="7" s="1"/>
  <c r="A449" i="7"/>
  <c r="A460" i="7"/>
  <c r="A461" i="7"/>
  <c r="A333" i="7"/>
  <c r="A341" i="7" s="1"/>
  <c r="A334" i="7"/>
  <c r="A342" i="7" s="1"/>
  <c r="A335" i="7"/>
  <c r="A343" i="7" s="1"/>
  <c r="A336" i="7"/>
  <c r="A344" i="7" s="1"/>
  <c r="A337" i="7"/>
  <c r="A345" i="7" s="1"/>
  <c r="A338" i="7"/>
  <c r="A346" i="7" s="1"/>
  <c r="A470" i="7"/>
  <c r="A478" i="7" s="1"/>
  <c r="A472" i="7"/>
  <c r="A480" i="7" s="1"/>
  <c r="A474" i="7"/>
  <c r="A482" i="7" s="1"/>
  <c r="A448" i="7"/>
  <c r="A454" i="7"/>
  <c r="A455" i="7"/>
  <c r="A466" i="7"/>
  <c r="D442" i="7" l="1"/>
  <c r="D441" i="7"/>
  <c r="D438" i="7"/>
  <c r="D436" i="7"/>
  <c r="D437" i="7"/>
  <c r="D439" i="7"/>
  <c r="D440" i="7"/>
  <c r="D304" i="7"/>
  <c r="D303" i="7"/>
  <c r="D299" i="7"/>
  <c r="D300" i="7"/>
  <c r="D301" i="7"/>
  <c r="D298" i="7"/>
  <c r="D302" i="7"/>
  <c r="J649" i="7"/>
  <c r="J29" i="7"/>
  <c r="J60" i="7"/>
  <c r="J655" i="7"/>
  <c r="J656" i="7" s="1"/>
  <c r="J664" i="7"/>
  <c r="J665" i="7" s="1"/>
  <c r="J662" i="7"/>
  <c r="J644" i="7" s="1"/>
  <c r="J661" i="7"/>
  <c r="J660" i="7"/>
  <c r="J643" i="7"/>
  <c r="J31" i="7"/>
  <c r="J61" i="7" s="1"/>
  <c r="I650" i="7"/>
  <c r="I642" i="7" s="1"/>
  <c r="J651" i="7"/>
  <c r="K196" i="7"/>
  <c r="J648" i="7"/>
  <c r="J682" i="7"/>
  <c r="J676" i="7"/>
  <c r="J484" i="7"/>
  <c r="J347" i="7"/>
  <c r="I95" i="7"/>
  <c r="AD160" i="1"/>
  <c r="J683" i="7"/>
  <c r="J594" i="7"/>
  <c r="J622" i="7"/>
  <c r="J588" i="7"/>
  <c r="J634" i="7"/>
  <c r="J630" i="7"/>
  <c r="J626" i="7"/>
  <c r="J38" i="7"/>
  <c r="J42" i="7"/>
  <c r="J35" i="7"/>
  <c r="I696" i="7"/>
  <c r="D740" i="7"/>
  <c r="C740" i="7"/>
  <c r="C354" i="7"/>
  <c r="A697" i="7"/>
  <c r="D709" i="7" s="1"/>
  <c r="C696" i="7"/>
  <c r="C360" i="7" s="1"/>
  <c r="D696" i="7"/>
  <c r="E696" i="7"/>
  <c r="F696" i="7"/>
  <c r="G696" i="7"/>
  <c r="H696" i="7"/>
  <c r="A729" i="7"/>
  <c r="D741" i="7" s="1"/>
  <c r="C728" i="7"/>
  <c r="C385" i="7" s="1"/>
  <c r="D728" i="7"/>
  <c r="E728" i="7"/>
  <c r="F728" i="7"/>
  <c r="G728" i="7"/>
  <c r="H728" i="7"/>
  <c r="A761" i="7"/>
  <c r="J761" i="7" s="1"/>
  <c r="C760" i="7"/>
  <c r="C411" i="7" s="1"/>
  <c r="D760" i="7"/>
  <c r="E760" i="7"/>
  <c r="F760" i="7"/>
  <c r="G760" i="7"/>
  <c r="H760" i="7"/>
  <c r="J758" i="7"/>
  <c r="J729" i="7"/>
  <c r="J728" i="7"/>
  <c r="J727" i="7"/>
  <c r="J726" i="7"/>
  <c r="J760" i="7"/>
  <c r="J759" i="7"/>
  <c r="J695" i="7"/>
  <c r="J696" i="7"/>
  <c r="J694" i="7"/>
  <c r="C220" i="7"/>
  <c r="J62" i="7"/>
  <c r="J28" i="7"/>
  <c r="K2" i="7"/>
  <c r="D589" i="7"/>
  <c r="D334" i="7"/>
  <c r="D335" i="7"/>
  <c r="D470" i="7"/>
  <c r="D474" i="7"/>
  <c r="D595" i="7"/>
  <c r="D708" i="7"/>
  <c r="D383" i="7"/>
  <c r="D410" i="7"/>
  <c r="D353" i="7"/>
  <c r="D336" i="7"/>
  <c r="D471" i="7"/>
  <c r="D475" i="7"/>
  <c r="D358" i="7"/>
  <c r="D771" i="7"/>
  <c r="D39" i="7"/>
  <c r="D333" i="7"/>
  <c r="D337" i="7"/>
  <c r="D472" i="7"/>
  <c r="D490" i="7"/>
  <c r="D359" i="7"/>
  <c r="D739" i="7"/>
  <c r="D772" i="7"/>
  <c r="D677" i="7"/>
  <c r="C260" i="7"/>
  <c r="C491" i="7"/>
  <c r="C383" i="7"/>
  <c r="C39" i="7"/>
  <c r="E771" i="7"/>
  <c r="E772" i="7"/>
  <c r="E740" i="7"/>
  <c r="E739" i="7"/>
  <c r="E707" i="7"/>
  <c r="E595" i="7"/>
  <c r="E475" i="7"/>
  <c r="E474" i="7"/>
  <c r="E473" i="7"/>
  <c r="E471" i="7"/>
  <c r="E470" i="7"/>
  <c r="E490" i="7"/>
  <c r="E338" i="7"/>
  <c r="E337" i="7"/>
  <c r="E336" i="7"/>
  <c r="E334" i="7"/>
  <c r="E333" i="7"/>
  <c r="E37" i="7"/>
  <c r="C548" i="7"/>
  <c r="C359" i="7"/>
  <c r="C522" i="7"/>
  <c r="C547" i="7"/>
  <c r="D409" i="7"/>
  <c r="D443" i="7" l="1"/>
  <c r="D305" i="7"/>
  <c r="K649" i="7"/>
  <c r="K29" i="7"/>
  <c r="K60" i="7"/>
  <c r="K655" i="7"/>
  <c r="K656" i="7" s="1"/>
  <c r="K664" i="7"/>
  <c r="K665" i="7" s="1"/>
  <c r="K662" i="7"/>
  <c r="K644" i="7" s="1"/>
  <c r="K661" i="7"/>
  <c r="K660" i="7"/>
  <c r="K31" i="7"/>
  <c r="K61" i="7" s="1"/>
  <c r="K643" i="7"/>
  <c r="K651" i="7"/>
  <c r="L196" i="7"/>
  <c r="K648" i="7"/>
  <c r="J650" i="7"/>
  <c r="J642" i="7" s="1"/>
  <c r="K676" i="7"/>
  <c r="K682" i="7"/>
  <c r="K484" i="7"/>
  <c r="K347" i="7"/>
  <c r="J95" i="7"/>
  <c r="AE160" i="1"/>
  <c r="K683" i="7"/>
  <c r="K594" i="7"/>
  <c r="K588" i="7"/>
  <c r="K634" i="7"/>
  <c r="K630" i="7"/>
  <c r="K626" i="7"/>
  <c r="K622" i="7"/>
  <c r="K38" i="7"/>
  <c r="K42" i="7"/>
  <c r="K35" i="7"/>
  <c r="D521" i="7"/>
  <c r="C497" i="7"/>
  <c r="C523" i="7"/>
  <c r="D496" i="7"/>
  <c r="C549" i="7"/>
  <c r="C521" i="7"/>
  <c r="E741" i="7"/>
  <c r="E709" i="7"/>
  <c r="D360" i="7"/>
  <c r="D411" i="7"/>
  <c r="D773" i="7"/>
  <c r="J697" i="7"/>
  <c r="A762" i="7"/>
  <c r="C774" i="7" s="1"/>
  <c r="C761" i="7"/>
  <c r="D761" i="7"/>
  <c r="E761" i="7"/>
  <c r="F761" i="7"/>
  <c r="G761" i="7"/>
  <c r="H761" i="7"/>
  <c r="C773" i="7"/>
  <c r="I761" i="7"/>
  <c r="A698" i="7"/>
  <c r="F710" i="7" s="1"/>
  <c r="C697" i="7"/>
  <c r="D697" i="7"/>
  <c r="E697" i="7"/>
  <c r="F697" i="7"/>
  <c r="G697" i="7"/>
  <c r="H697" i="7"/>
  <c r="I697" i="7"/>
  <c r="C709" i="7"/>
  <c r="D385" i="7"/>
  <c r="A730" i="7"/>
  <c r="K730" i="7" s="1"/>
  <c r="C729" i="7"/>
  <c r="D729" i="7"/>
  <c r="E729" i="7"/>
  <c r="F729" i="7"/>
  <c r="G729" i="7"/>
  <c r="H729" i="7"/>
  <c r="C741" i="7"/>
  <c r="I729" i="7"/>
  <c r="K761" i="7"/>
  <c r="K760" i="7"/>
  <c r="K758" i="7"/>
  <c r="K729" i="7"/>
  <c r="K759" i="7"/>
  <c r="K727" i="7"/>
  <c r="K697" i="7"/>
  <c r="K695" i="7"/>
  <c r="K728" i="7"/>
  <c r="K696" i="7"/>
  <c r="K694" i="7"/>
  <c r="K726" i="7"/>
  <c r="D354" i="7"/>
  <c r="D491" i="7"/>
  <c r="K28" i="7"/>
  <c r="K62" i="7"/>
  <c r="L2" i="7"/>
  <c r="E335" i="7"/>
  <c r="E353" i="7"/>
  <c r="E472" i="7"/>
  <c r="E589" i="7"/>
  <c r="E708" i="7"/>
  <c r="E773" i="7"/>
  <c r="E385" i="7"/>
  <c r="E358" i="7"/>
  <c r="E411" i="7"/>
  <c r="E410" i="7"/>
  <c r="D384" i="7"/>
  <c r="E359" i="7"/>
  <c r="E384" i="7"/>
  <c r="F677" i="7"/>
  <c r="E677" i="7"/>
  <c r="E409" i="7"/>
  <c r="E39" i="7"/>
  <c r="D548" i="7"/>
  <c r="D547" i="7"/>
  <c r="C496" i="7"/>
  <c r="D495" i="7"/>
  <c r="F773" i="7"/>
  <c r="F772" i="7"/>
  <c r="F411" i="7"/>
  <c r="F410" i="7"/>
  <c r="F409" i="7"/>
  <c r="F741" i="7"/>
  <c r="F740" i="7"/>
  <c r="F739" i="7"/>
  <c r="F385" i="7"/>
  <c r="F384" i="7"/>
  <c r="F383" i="7"/>
  <c r="F709" i="7"/>
  <c r="F708" i="7"/>
  <c r="F707" i="7"/>
  <c r="F359" i="7"/>
  <c r="F358" i="7"/>
  <c r="F595" i="7"/>
  <c r="F589" i="7"/>
  <c r="F490" i="7"/>
  <c r="F475" i="7"/>
  <c r="F474" i="7"/>
  <c r="F473" i="7"/>
  <c r="F472" i="7"/>
  <c r="F471" i="7"/>
  <c r="F470" i="7"/>
  <c r="F338" i="7"/>
  <c r="F337" i="7"/>
  <c r="F336" i="7"/>
  <c r="F335" i="7"/>
  <c r="F334" i="7"/>
  <c r="F333" i="7"/>
  <c r="F353" i="7"/>
  <c r="F37" i="7"/>
  <c r="E354" i="7"/>
  <c r="E491" i="7"/>
  <c r="C742" i="7" l="1"/>
  <c r="L649" i="7"/>
  <c r="L29" i="7"/>
  <c r="L60" i="7"/>
  <c r="L655" i="7"/>
  <c r="L656" i="7" s="1"/>
  <c r="L664" i="7"/>
  <c r="L665" i="7" s="1"/>
  <c r="L662" i="7"/>
  <c r="L644" i="7" s="1"/>
  <c r="L661" i="7"/>
  <c r="L660" i="7"/>
  <c r="K642" i="7"/>
  <c r="K650" i="7"/>
  <c r="L643" i="7"/>
  <c r="L31" i="7"/>
  <c r="L61" i="7" s="1"/>
  <c r="L651" i="7"/>
  <c r="M196" i="7"/>
  <c r="L648" i="7"/>
  <c r="L676" i="7"/>
  <c r="L682" i="7"/>
  <c r="L484" i="7"/>
  <c r="L347" i="7"/>
  <c r="K95" i="7"/>
  <c r="AF160" i="1"/>
  <c r="L683" i="7"/>
  <c r="L630" i="7"/>
  <c r="L622" i="7"/>
  <c r="L594" i="7"/>
  <c r="L588" i="7"/>
  <c r="L634" i="7"/>
  <c r="L626" i="7"/>
  <c r="L38" i="7"/>
  <c r="L42" i="7"/>
  <c r="L35" i="7"/>
  <c r="D523" i="7"/>
  <c r="E522" i="7"/>
  <c r="E496" i="7"/>
  <c r="D522" i="7"/>
  <c r="E548" i="7"/>
  <c r="E547" i="7"/>
  <c r="E549" i="7"/>
  <c r="D549" i="7"/>
  <c r="E495" i="7"/>
  <c r="D497" i="7"/>
  <c r="E523" i="7"/>
  <c r="F774" i="7"/>
  <c r="F742" i="7"/>
  <c r="F361" i="7"/>
  <c r="E386" i="7"/>
  <c r="F386" i="7"/>
  <c r="K698" i="7"/>
  <c r="E361" i="7"/>
  <c r="E412" i="7"/>
  <c r="C386" i="7"/>
  <c r="D386" i="7"/>
  <c r="C361" i="7"/>
  <c r="D361" i="7"/>
  <c r="A731" i="7"/>
  <c r="C743" i="7" s="1"/>
  <c r="C730" i="7"/>
  <c r="D730" i="7"/>
  <c r="E730" i="7"/>
  <c r="F730" i="7"/>
  <c r="G730" i="7"/>
  <c r="H730" i="7"/>
  <c r="I730" i="7"/>
  <c r="J730" i="7"/>
  <c r="D742" i="7"/>
  <c r="A699" i="7"/>
  <c r="E711" i="7" s="1"/>
  <c r="C698" i="7"/>
  <c r="D698" i="7"/>
  <c r="E698" i="7"/>
  <c r="F698" i="7"/>
  <c r="G698" i="7"/>
  <c r="H698" i="7"/>
  <c r="I698" i="7"/>
  <c r="J698" i="7"/>
  <c r="E710" i="7"/>
  <c r="D710" i="7"/>
  <c r="E742" i="7"/>
  <c r="K762" i="7"/>
  <c r="C710" i="7"/>
  <c r="C412" i="7"/>
  <c r="D412" i="7"/>
  <c r="A763" i="7"/>
  <c r="C775" i="7" s="1"/>
  <c r="C762" i="7"/>
  <c r="D762" i="7"/>
  <c r="E762" i="7"/>
  <c r="F762" i="7"/>
  <c r="G762" i="7"/>
  <c r="H762" i="7"/>
  <c r="I762" i="7"/>
  <c r="D775" i="7"/>
  <c r="E774" i="7"/>
  <c r="J762" i="7"/>
  <c r="D774" i="7"/>
  <c r="E775" i="7"/>
  <c r="L761" i="7"/>
  <c r="L759" i="7"/>
  <c r="L762" i="7"/>
  <c r="L760" i="7"/>
  <c r="L758" i="7"/>
  <c r="L729" i="7"/>
  <c r="L727" i="7"/>
  <c r="L698" i="7"/>
  <c r="L697" i="7"/>
  <c r="L696" i="7"/>
  <c r="L695" i="7"/>
  <c r="L694" i="7"/>
  <c r="L730" i="7"/>
  <c r="L728" i="7"/>
  <c r="L726" i="7"/>
  <c r="L28" i="7"/>
  <c r="L62" i="7"/>
  <c r="M2" i="7"/>
  <c r="E360" i="7"/>
  <c r="E383" i="7"/>
  <c r="F412" i="7"/>
  <c r="F360" i="7"/>
  <c r="G677" i="7"/>
  <c r="F39" i="7"/>
  <c r="F495" i="7"/>
  <c r="F523" i="7"/>
  <c r="F547" i="7"/>
  <c r="F548" i="7"/>
  <c r="G774" i="7"/>
  <c r="G773" i="7"/>
  <c r="G772" i="7"/>
  <c r="G412" i="7"/>
  <c r="G411" i="7"/>
  <c r="G410" i="7"/>
  <c r="G409" i="7"/>
  <c r="G742" i="7"/>
  <c r="G741" i="7"/>
  <c r="G740" i="7"/>
  <c r="G739" i="7"/>
  <c r="G386" i="7"/>
  <c r="G385" i="7"/>
  <c r="G384" i="7"/>
  <c r="G383" i="7"/>
  <c r="G710" i="7"/>
  <c r="G709" i="7"/>
  <c r="G708" i="7"/>
  <c r="G707" i="7"/>
  <c r="G361" i="7"/>
  <c r="G360" i="7"/>
  <c r="G359" i="7"/>
  <c r="G358" i="7"/>
  <c r="G595" i="7"/>
  <c r="G589" i="7"/>
  <c r="G475" i="7"/>
  <c r="G474" i="7"/>
  <c r="G473" i="7"/>
  <c r="G472" i="7"/>
  <c r="G471" i="7"/>
  <c r="G470" i="7"/>
  <c r="G490" i="7"/>
  <c r="G353" i="7"/>
  <c r="G338" i="7"/>
  <c r="G337" i="7"/>
  <c r="G336" i="7"/>
  <c r="G335" i="7"/>
  <c r="G334" i="7"/>
  <c r="G333" i="7"/>
  <c r="G37" i="7"/>
  <c r="F354" i="7"/>
  <c r="F496" i="7"/>
  <c r="F521" i="7"/>
  <c r="F549" i="7"/>
  <c r="F491" i="7"/>
  <c r="F522" i="7"/>
  <c r="C711" i="7" l="1"/>
  <c r="M29" i="7"/>
  <c r="M649" i="7"/>
  <c r="M60" i="7"/>
  <c r="M655" i="7"/>
  <c r="M656" i="7" s="1"/>
  <c r="M664" i="7"/>
  <c r="M665" i="7" s="1"/>
  <c r="M662" i="7"/>
  <c r="M644" i="7" s="1"/>
  <c r="M661" i="7"/>
  <c r="M660" i="7"/>
  <c r="M31" i="7"/>
  <c r="M61" i="7" s="1"/>
  <c r="M643" i="7"/>
  <c r="M651" i="7"/>
  <c r="N196" i="7"/>
  <c r="L650" i="7"/>
  <c r="L642" i="7" s="1"/>
  <c r="M648" i="7"/>
  <c r="M682" i="7"/>
  <c r="M676" i="7"/>
  <c r="M484" i="7"/>
  <c r="M347" i="7"/>
  <c r="L95" i="7"/>
  <c r="AG160" i="1"/>
  <c r="M683" i="7"/>
  <c r="M594" i="7"/>
  <c r="M588" i="7"/>
  <c r="M634" i="7"/>
  <c r="M630" i="7"/>
  <c r="M626" i="7"/>
  <c r="M622" i="7"/>
  <c r="M38" i="7"/>
  <c r="M42" i="7"/>
  <c r="M35" i="7"/>
  <c r="E521" i="7"/>
  <c r="F524" i="7"/>
  <c r="D498" i="7"/>
  <c r="E524" i="7"/>
  <c r="C498" i="7"/>
  <c r="F498" i="7"/>
  <c r="D524" i="7"/>
  <c r="F497" i="7"/>
  <c r="C524" i="7"/>
  <c r="F550" i="7"/>
  <c r="E550" i="7"/>
  <c r="D550" i="7"/>
  <c r="E498" i="7"/>
  <c r="E497" i="7"/>
  <c r="C550" i="7"/>
  <c r="G743" i="7"/>
  <c r="E743" i="7"/>
  <c r="L731" i="7"/>
  <c r="G387" i="7"/>
  <c r="D711" i="7"/>
  <c r="G362" i="7"/>
  <c r="G711" i="7"/>
  <c r="L699" i="7"/>
  <c r="G413" i="7"/>
  <c r="D743" i="7"/>
  <c r="G775" i="7"/>
  <c r="L763" i="7"/>
  <c r="F743" i="7"/>
  <c r="C362" i="7"/>
  <c r="D362" i="7"/>
  <c r="F362" i="7"/>
  <c r="E362" i="7"/>
  <c r="D413" i="7"/>
  <c r="C413" i="7"/>
  <c r="F413" i="7"/>
  <c r="E413" i="7"/>
  <c r="A700" i="7"/>
  <c r="C712" i="7" s="1"/>
  <c r="C699" i="7"/>
  <c r="D699" i="7"/>
  <c r="E699" i="7"/>
  <c r="F699" i="7"/>
  <c r="G699" i="7"/>
  <c r="H699" i="7"/>
  <c r="I699" i="7"/>
  <c r="J699" i="7"/>
  <c r="K699" i="7"/>
  <c r="F711" i="7"/>
  <c r="C387" i="7"/>
  <c r="D387" i="7"/>
  <c r="F387" i="7"/>
  <c r="E387" i="7"/>
  <c r="A764" i="7"/>
  <c r="E776" i="7" s="1"/>
  <c r="C763" i="7"/>
  <c r="D763" i="7"/>
  <c r="E763" i="7"/>
  <c r="F763" i="7"/>
  <c r="G763" i="7"/>
  <c r="H763" i="7"/>
  <c r="I763" i="7"/>
  <c r="J763" i="7"/>
  <c r="K763" i="7"/>
  <c r="F775" i="7"/>
  <c r="A732" i="7"/>
  <c r="D744" i="7" s="1"/>
  <c r="C731" i="7"/>
  <c r="D731" i="7"/>
  <c r="E731" i="7"/>
  <c r="F731" i="7"/>
  <c r="G731" i="7"/>
  <c r="H731" i="7"/>
  <c r="I731" i="7"/>
  <c r="J731" i="7"/>
  <c r="K731" i="7"/>
  <c r="M762" i="7"/>
  <c r="M760" i="7"/>
  <c r="M759" i="7"/>
  <c r="M758" i="7"/>
  <c r="M763" i="7"/>
  <c r="M726" i="7"/>
  <c r="M731" i="7"/>
  <c r="M729" i="7"/>
  <c r="M761" i="7"/>
  <c r="M730" i="7"/>
  <c r="M728" i="7"/>
  <c r="M698" i="7"/>
  <c r="M696" i="7"/>
  <c r="M694" i="7"/>
  <c r="M727" i="7"/>
  <c r="M699" i="7"/>
  <c r="M697" i="7"/>
  <c r="M695" i="7"/>
  <c r="M62" i="7"/>
  <c r="M28" i="7"/>
  <c r="N2" i="7"/>
  <c r="H677" i="7"/>
  <c r="G39" i="7"/>
  <c r="G495" i="7"/>
  <c r="G498" i="7"/>
  <c r="G522" i="7"/>
  <c r="G550" i="7"/>
  <c r="G523" i="7"/>
  <c r="G547" i="7"/>
  <c r="H775" i="7"/>
  <c r="H774" i="7"/>
  <c r="H773" i="7"/>
  <c r="H772" i="7"/>
  <c r="H413" i="7"/>
  <c r="H412" i="7"/>
  <c r="H411" i="7"/>
  <c r="H410" i="7"/>
  <c r="H409" i="7"/>
  <c r="H743" i="7"/>
  <c r="H742" i="7"/>
  <c r="H741" i="7"/>
  <c r="H740" i="7"/>
  <c r="H739" i="7"/>
  <c r="H387" i="7"/>
  <c r="H386" i="7"/>
  <c r="H385" i="7"/>
  <c r="H384" i="7"/>
  <c r="H383" i="7"/>
  <c r="H711" i="7"/>
  <c r="H710" i="7"/>
  <c r="H709" i="7"/>
  <c r="H708" i="7"/>
  <c r="H707" i="7"/>
  <c r="H362" i="7"/>
  <c r="H361" i="7"/>
  <c r="H360" i="7"/>
  <c r="H359" i="7"/>
  <c r="H358" i="7"/>
  <c r="H595" i="7"/>
  <c r="H589" i="7"/>
  <c r="H490" i="7"/>
  <c r="H475" i="7"/>
  <c r="H474" i="7"/>
  <c r="H473" i="7"/>
  <c r="H472" i="7"/>
  <c r="H471" i="7"/>
  <c r="H470" i="7"/>
  <c r="H338" i="7"/>
  <c r="H337" i="7"/>
  <c r="H336" i="7"/>
  <c r="H335" i="7"/>
  <c r="H334" i="7"/>
  <c r="H333" i="7"/>
  <c r="H353" i="7"/>
  <c r="H37" i="7"/>
  <c r="G354" i="7"/>
  <c r="G497" i="7"/>
  <c r="G496" i="7"/>
  <c r="G524" i="7"/>
  <c r="G548" i="7"/>
  <c r="G521" i="7"/>
  <c r="G549" i="7"/>
  <c r="G491" i="7"/>
  <c r="N649" i="7" l="1"/>
  <c r="N29" i="7"/>
  <c r="N60" i="7"/>
  <c r="N655" i="7"/>
  <c r="N656" i="7" s="1"/>
  <c r="N664" i="7"/>
  <c r="N665" i="7" s="1"/>
  <c r="N662" i="7"/>
  <c r="N644" i="7" s="1"/>
  <c r="N661" i="7"/>
  <c r="N660" i="7"/>
  <c r="N643" i="7"/>
  <c r="N31" i="7"/>
  <c r="N61" i="7" s="1"/>
  <c r="N651" i="7"/>
  <c r="O196" i="7"/>
  <c r="M650" i="7"/>
  <c r="M642" i="7" s="1"/>
  <c r="N648" i="7"/>
  <c r="N682" i="7"/>
  <c r="N676" i="7"/>
  <c r="N484" i="7"/>
  <c r="N347" i="7"/>
  <c r="M95" i="7"/>
  <c r="AH160" i="1"/>
  <c r="N683" i="7"/>
  <c r="N588" i="7"/>
  <c r="N634" i="7"/>
  <c r="N630" i="7"/>
  <c r="N626" i="7"/>
  <c r="N622" i="7"/>
  <c r="N594" i="7"/>
  <c r="N38" i="7"/>
  <c r="N42" i="7"/>
  <c r="N35" i="7"/>
  <c r="C499" i="7"/>
  <c r="G499" i="7"/>
  <c r="E551" i="7"/>
  <c r="E525" i="7"/>
  <c r="F551" i="7"/>
  <c r="G525" i="7"/>
  <c r="F525" i="7"/>
  <c r="C551" i="7"/>
  <c r="D499" i="7"/>
  <c r="D525" i="7"/>
  <c r="D551" i="7"/>
  <c r="F499" i="7"/>
  <c r="C525" i="7"/>
  <c r="E499" i="7"/>
  <c r="G551" i="7"/>
  <c r="H744" i="7"/>
  <c r="H776" i="7"/>
  <c r="H712" i="7"/>
  <c r="F712" i="7"/>
  <c r="M732" i="7"/>
  <c r="E744" i="7"/>
  <c r="F744" i="7"/>
  <c r="H363" i="7"/>
  <c r="D712" i="7"/>
  <c r="C744" i="7"/>
  <c r="E712" i="7"/>
  <c r="M700" i="7"/>
  <c r="H388" i="7"/>
  <c r="M764" i="7"/>
  <c r="F776" i="7"/>
  <c r="D776" i="7"/>
  <c r="C776" i="7"/>
  <c r="H414" i="7"/>
  <c r="A733" i="7"/>
  <c r="E745" i="7" s="1"/>
  <c r="C732" i="7"/>
  <c r="D732" i="7"/>
  <c r="E732" i="7"/>
  <c r="F732" i="7"/>
  <c r="G732" i="7"/>
  <c r="H732" i="7"/>
  <c r="I732" i="7"/>
  <c r="J732" i="7"/>
  <c r="K732" i="7"/>
  <c r="L732" i="7"/>
  <c r="G744" i="7"/>
  <c r="C414" i="7"/>
  <c r="D414" i="7"/>
  <c r="E414" i="7"/>
  <c r="F414" i="7"/>
  <c r="G414" i="7"/>
  <c r="C363" i="7"/>
  <c r="D363" i="7"/>
  <c r="E363" i="7"/>
  <c r="G363" i="7"/>
  <c r="F363" i="7"/>
  <c r="C388" i="7"/>
  <c r="D388" i="7"/>
  <c r="E388" i="7"/>
  <c r="F388" i="7"/>
  <c r="G388" i="7"/>
  <c r="A765" i="7"/>
  <c r="G777" i="7" s="1"/>
  <c r="C764" i="7"/>
  <c r="D764" i="7"/>
  <c r="E764" i="7"/>
  <c r="F764" i="7"/>
  <c r="G764" i="7"/>
  <c r="H764" i="7"/>
  <c r="I764" i="7"/>
  <c r="J764" i="7"/>
  <c r="K764" i="7"/>
  <c r="G776" i="7"/>
  <c r="L764" i="7"/>
  <c r="A701" i="7"/>
  <c r="G713" i="7" s="1"/>
  <c r="C700" i="7"/>
  <c r="D700" i="7"/>
  <c r="E700" i="7"/>
  <c r="F700" i="7"/>
  <c r="G700" i="7"/>
  <c r="H700" i="7"/>
  <c r="I700" i="7"/>
  <c r="J700" i="7"/>
  <c r="K700" i="7"/>
  <c r="L700" i="7"/>
  <c r="G712" i="7"/>
  <c r="N764" i="7"/>
  <c r="N762" i="7"/>
  <c r="N760" i="7"/>
  <c r="N732" i="7"/>
  <c r="N731" i="7"/>
  <c r="N730" i="7"/>
  <c r="N729" i="7"/>
  <c r="N728" i="7"/>
  <c r="N727" i="7"/>
  <c r="N726" i="7"/>
  <c r="N759" i="7"/>
  <c r="N763" i="7"/>
  <c r="N758" i="7"/>
  <c r="N761" i="7"/>
  <c r="N700" i="7"/>
  <c r="N698" i="7"/>
  <c r="N696" i="7"/>
  <c r="N694" i="7"/>
  <c r="N699" i="7"/>
  <c r="N697" i="7"/>
  <c r="N695" i="7"/>
  <c r="N62" i="7"/>
  <c r="N28" i="7"/>
  <c r="O2" i="7"/>
  <c r="I677" i="7"/>
  <c r="H39" i="7"/>
  <c r="H496" i="7"/>
  <c r="H497" i="7"/>
  <c r="H521" i="7"/>
  <c r="H525" i="7"/>
  <c r="H549" i="7"/>
  <c r="H491" i="7"/>
  <c r="H522" i="7"/>
  <c r="H550" i="7"/>
  <c r="I776" i="7"/>
  <c r="I775" i="7"/>
  <c r="I774" i="7"/>
  <c r="I773" i="7"/>
  <c r="I414" i="7"/>
  <c r="I413" i="7"/>
  <c r="I412" i="7"/>
  <c r="I411" i="7"/>
  <c r="I410" i="7"/>
  <c r="I388" i="7"/>
  <c r="I387" i="7"/>
  <c r="I409" i="7"/>
  <c r="I744" i="7"/>
  <c r="I743" i="7"/>
  <c r="I742" i="7"/>
  <c r="I741" i="7"/>
  <c r="I740" i="7"/>
  <c r="I739" i="7"/>
  <c r="I363" i="7"/>
  <c r="I362" i="7"/>
  <c r="I386" i="7"/>
  <c r="I384" i="7"/>
  <c r="I383" i="7"/>
  <c r="I712" i="7"/>
  <c r="I711" i="7"/>
  <c r="I710" i="7"/>
  <c r="I709" i="7"/>
  <c r="I708" i="7"/>
  <c r="I707" i="7"/>
  <c r="I361" i="7"/>
  <c r="I360" i="7"/>
  <c r="I359" i="7"/>
  <c r="I358" i="7"/>
  <c r="I595" i="7"/>
  <c r="I589" i="7"/>
  <c r="I475" i="7"/>
  <c r="I474" i="7"/>
  <c r="I473" i="7"/>
  <c r="I472" i="7"/>
  <c r="I471" i="7"/>
  <c r="I470" i="7"/>
  <c r="I385" i="7"/>
  <c r="I490" i="7"/>
  <c r="I353" i="7"/>
  <c r="I338" i="7"/>
  <c r="I337" i="7"/>
  <c r="I336" i="7"/>
  <c r="I335" i="7"/>
  <c r="I334" i="7"/>
  <c r="I333" i="7"/>
  <c r="I37" i="7"/>
  <c r="H354" i="7"/>
  <c r="H498" i="7"/>
  <c r="H495" i="7"/>
  <c r="H499" i="7"/>
  <c r="H523" i="7"/>
  <c r="H547" i="7"/>
  <c r="H551" i="7"/>
  <c r="H524" i="7"/>
  <c r="H548" i="7"/>
  <c r="C713" i="7" l="1"/>
  <c r="O649" i="7"/>
  <c r="O29" i="7"/>
  <c r="O60" i="7"/>
  <c r="O655" i="7"/>
  <c r="O656" i="7" s="1"/>
  <c r="O664" i="7"/>
  <c r="O665" i="7" s="1"/>
  <c r="O662" i="7"/>
  <c r="O644" i="7" s="1"/>
  <c r="O661" i="7"/>
  <c r="O660" i="7"/>
  <c r="O31" i="7"/>
  <c r="O61" i="7" s="1"/>
  <c r="O643" i="7"/>
  <c r="O651" i="7"/>
  <c r="P196" i="7"/>
  <c r="N650" i="7"/>
  <c r="N642" i="7" s="1"/>
  <c r="O648" i="7"/>
  <c r="O676" i="7"/>
  <c r="O682" i="7"/>
  <c r="O484" i="7"/>
  <c r="O347" i="7"/>
  <c r="AI160" i="1"/>
  <c r="O683" i="7"/>
  <c r="N95" i="7"/>
  <c r="O594" i="7"/>
  <c r="O634" i="7"/>
  <c r="O630" i="7"/>
  <c r="O622" i="7"/>
  <c r="O588" i="7"/>
  <c r="O626" i="7"/>
  <c r="O38" i="7"/>
  <c r="O42" i="7"/>
  <c r="O35" i="7"/>
  <c r="G526" i="7"/>
  <c r="D500" i="7"/>
  <c r="H526" i="7"/>
  <c r="E526" i="7"/>
  <c r="G552" i="7"/>
  <c r="D526" i="7"/>
  <c r="F552" i="7"/>
  <c r="H552" i="7"/>
  <c r="C500" i="7"/>
  <c r="C526" i="7"/>
  <c r="E552" i="7"/>
  <c r="F500" i="7"/>
  <c r="D552" i="7"/>
  <c r="H500" i="7"/>
  <c r="G500" i="7"/>
  <c r="C552" i="7"/>
  <c r="F526" i="7"/>
  <c r="E500" i="7"/>
  <c r="C777" i="7"/>
  <c r="F777" i="7"/>
  <c r="I745" i="7"/>
  <c r="N733" i="7"/>
  <c r="F745" i="7"/>
  <c r="C745" i="7"/>
  <c r="I777" i="7"/>
  <c r="E777" i="7"/>
  <c r="D777" i="7"/>
  <c r="I713" i="7"/>
  <c r="N765" i="7"/>
  <c r="I389" i="7"/>
  <c r="D745" i="7"/>
  <c r="D713" i="7"/>
  <c r="G745" i="7"/>
  <c r="N701" i="7"/>
  <c r="F713" i="7"/>
  <c r="I415" i="7"/>
  <c r="A766" i="7"/>
  <c r="D778" i="7" s="1"/>
  <c r="C765" i="7"/>
  <c r="D765" i="7"/>
  <c r="E765" i="7"/>
  <c r="F765" i="7"/>
  <c r="G765" i="7"/>
  <c r="H765" i="7"/>
  <c r="I765" i="7"/>
  <c r="J765" i="7"/>
  <c r="K765" i="7"/>
  <c r="L765" i="7"/>
  <c r="H777" i="7"/>
  <c r="M765" i="7"/>
  <c r="C364" i="7"/>
  <c r="E364" i="7"/>
  <c r="D364" i="7"/>
  <c r="F364" i="7"/>
  <c r="G364" i="7"/>
  <c r="H364" i="7"/>
  <c r="C389" i="7"/>
  <c r="D389" i="7"/>
  <c r="F389" i="7"/>
  <c r="E389" i="7"/>
  <c r="G389" i="7"/>
  <c r="H389" i="7"/>
  <c r="A702" i="7"/>
  <c r="E714" i="7" s="1"/>
  <c r="C701" i="7"/>
  <c r="D701" i="7"/>
  <c r="E701" i="7"/>
  <c r="F701" i="7"/>
  <c r="G701" i="7"/>
  <c r="H701" i="7"/>
  <c r="I701" i="7"/>
  <c r="J701" i="7"/>
  <c r="K701" i="7"/>
  <c r="L701" i="7"/>
  <c r="M701" i="7"/>
  <c r="H713" i="7"/>
  <c r="A734" i="7"/>
  <c r="F746" i="7" s="1"/>
  <c r="C733" i="7"/>
  <c r="D733" i="7"/>
  <c r="E733" i="7"/>
  <c r="F733" i="7"/>
  <c r="G733" i="7"/>
  <c r="H733" i="7"/>
  <c r="I733" i="7"/>
  <c r="J733" i="7"/>
  <c r="K733" i="7"/>
  <c r="L733" i="7"/>
  <c r="M733" i="7"/>
  <c r="H745" i="7"/>
  <c r="I364" i="7"/>
  <c r="E713" i="7"/>
  <c r="C415" i="7"/>
  <c r="D415" i="7"/>
  <c r="E415" i="7"/>
  <c r="F415" i="7"/>
  <c r="G415" i="7"/>
  <c r="H415" i="7"/>
  <c r="O765" i="7"/>
  <c r="O764" i="7"/>
  <c r="O763" i="7"/>
  <c r="O762" i="7"/>
  <c r="O761" i="7"/>
  <c r="O760" i="7"/>
  <c r="O758" i="7"/>
  <c r="O733" i="7"/>
  <c r="O731" i="7"/>
  <c r="O759" i="7"/>
  <c r="O732" i="7"/>
  <c r="O730" i="7"/>
  <c r="O728" i="7"/>
  <c r="O726" i="7"/>
  <c r="O699" i="7"/>
  <c r="O697" i="7"/>
  <c r="O695" i="7"/>
  <c r="O727" i="7"/>
  <c r="O701" i="7"/>
  <c r="O729" i="7"/>
  <c r="O700" i="7"/>
  <c r="O698" i="7"/>
  <c r="O696" i="7"/>
  <c r="O694" i="7"/>
  <c r="O28" i="7"/>
  <c r="O62" i="7"/>
  <c r="P2" i="7"/>
  <c r="J677" i="7"/>
  <c r="I499" i="7"/>
  <c r="I498" i="7"/>
  <c r="I522" i="7"/>
  <c r="I526" i="7"/>
  <c r="I550" i="7"/>
  <c r="I523" i="7"/>
  <c r="I547" i="7"/>
  <c r="I551" i="7"/>
  <c r="I39" i="7"/>
  <c r="J777" i="7"/>
  <c r="J776" i="7"/>
  <c r="J775" i="7"/>
  <c r="J774" i="7"/>
  <c r="J773" i="7"/>
  <c r="J415" i="7"/>
  <c r="J414" i="7"/>
  <c r="J413" i="7"/>
  <c r="J412" i="7"/>
  <c r="J411" i="7"/>
  <c r="J410" i="7"/>
  <c r="J409" i="7"/>
  <c r="J745" i="7"/>
  <c r="J744" i="7"/>
  <c r="J743" i="7"/>
  <c r="J742" i="7"/>
  <c r="J741" i="7"/>
  <c r="J740" i="7"/>
  <c r="J739" i="7"/>
  <c r="J389" i="7"/>
  <c r="J388" i="7"/>
  <c r="J387" i="7"/>
  <c r="J386" i="7"/>
  <c r="J385" i="7"/>
  <c r="J384" i="7"/>
  <c r="J383" i="7"/>
  <c r="J713" i="7"/>
  <c r="J712" i="7"/>
  <c r="J711" i="7"/>
  <c r="J710" i="7"/>
  <c r="J709" i="7"/>
  <c r="J708" i="7"/>
  <c r="J707" i="7"/>
  <c r="J364" i="7"/>
  <c r="J363" i="7"/>
  <c r="J362" i="7"/>
  <c r="J361" i="7"/>
  <c r="J360" i="7"/>
  <c r="J359" i="7"/>
  <c r="J358" i="7"/>
  <c r="J595" i="7"/>
  <c r="J589" i="7"/>
  <c r="J490" i="7"/>
  <c r="J475" i="7"/>
  <c r="J474" i="7"/>
  <c r="J473" i="7"/>
  <c r="J472" i="7"/>
  <c r="J471" i="7"/>
  <c r="J470" i="7"/>
  <c r="J338" i="7"/>
  <c r="J337" i="7"/>
  <c r="J336" i="7"/>
  <c r="J335" i="7"/>
  <c r="J334" i="7"/>
  <c r="J333" i="7"/>
  <c r="J353" i="7"/>
  <c r="J37" i="7"/>
  <c r="I354" i="7"/>
  <c r="I495" i="7"/>
  <c r="I497" i="7"/>
  <c r="I496" i="7"/>
  <c r="I500" i="7"/>
  <c r="I524" i="7"/>
  <c r="I548" i="7"/>
  <c r="I552" i="7"/>
  <c r="I521" i="7"/>
  <c r="I525" i="7"/>
  <c r="I549" i="7"/>
  <c r="I491" i="7"/>
  <c r="C714" i="7" l="1"/>
  <c r="C778" i="7"/>
  <c r="P649" i="7"/>
  <c r="P29" i="7"/>
  <c r="P60" i="7"/>
  <c r="P655" i="7"/>
  <c r="P656" i="7" s="1"/>
  <c r="C746" i="7"/>
  <c r="P664" i="7"/>
  <c r="P665" i="7" s="1"/>
  <c r="P662" i="7"/>
  <c r="P644" i="7" s="1"/>
  <c r="P661" i="7"/>
  <c r="P660" i="7"/>
  <c r="P31" i="7"/>
  <c r="P61" i="7" s="1"/>
  <c r="P643" i="7"/>
  <c r="P651" i="7"/>
  <c r="Q196" i="7"/>
  <c r="P648" i="7"/>
  <c r="O650" i="7"/>
  <c r="O642" i="7" s="1"/>
  <c r="P682" i="7"/>
  <c r="P676" i="7"/>
  <c r="P484" i="7"/>
  <c r="P347" i="7"/>
  <c r="AJ160" i="1"/>
  <c r="O95" i="7"/>
  <c r="P683" i="7"/>
  <c r="P634" i="7"/>
  <c r="P626" i="7"/>
  <c r="P594" i="7"/>
  <c r="P588" i="7"/>
  <c r="P630" i="7"/>
  <c r="P622" i="7"/>
  <c r="P38" i="7"/>
  <c r="P42" i="7"/>
  <c r="P35" i="7"/>
  <c r="O702" i="7"/>
  <c r="C501" i="7"/>
  <c r="H553" i="7"/>
  <c r="D527" i="7"/>
  <c r="I501" i="7"/>
  <c r="G553" i="7"/>
  <c r="C527" i="7"/>
  <c r="F553" i="7"/>
  <c r="H501" i="7"/>
  <c r="F527" i="7"/>
  <c r="E553" i="7"/>
  <c r="G501" i="7"/>
  <c r="D553" i="7"/>
  <c r="H527" i="7"/>
  <c r="F501" i="7"/>
  <c r="I527" i="7"/>
  <c r="C553" i="7"/>
  <c r="G527" i="7"/>
  <c r="D501" i="7"/>
  <c r="E527" i="7"/>
  <c r="E501" i="7"/>
  <c r="I553" i="7"/>
  <c r="E746" i="7"/>
  <c r="G714" i="7"/>
  <c r="D714" i="7"/>
  <c r="J714" i="7"/>
  <c r="H714" i="7"/>
  <c r="F714" i="7"/>
  <c r="J778" i="7"/>
  <c r="F778" i="7"/>
  <c r="O734" i="7"/>
  <c r="H746" i="7"/>
  <c r="G746" i="7"/>
  <c r="J365" i="7"/>
  <c r="H778" i="7"/>
  <c r="J746" i="7"/>
  <c r="D746" i="7"/>
  <c r="E778" i="7"/>
  <c r="O766" i="7"/>
  <c r="G778" i="7"/>
  <c r="J390" i="7"/>
  <c r="A735" i="7"/>
  <c r="D747" i="7" s="1"/>
  <c r="C734" i="7"/>
  <c r="D734" i="7"/>
  <c r="E734" i="7"/>
  <c r="F734" i="7"/>
  <c r="G734" i="7"/>
  <c r="H734" i="7"/>
  <c r="I734" i="7"/>
  <c r="J734" i="7"/>
  <c r="K734" i="7"/>
  <c r="L734" i="7"/>
  <c r="M734" i="7"/>
  <c r="I746" i="7"/>
  <c r="N734" i="7"/>
  <c r="D416" i="7"/>
  <c r="C416" i="7"/>
  <c r="E416" i="7"/>
  <c r="F416" i="7"/>
  <c r="G416" i="7"/>
  <c r="H416" i="7"/>
  <c r="I416" i="7"/>
  <c r="C365" i="7"/>
  <c r="D365" i="7"/>
  <c r="F365" i="7"/>
  <c r="E365" i="7"/>
  <c r="G365" i="7"/>
  <c r="H365" i="7"/>
  <c r="I365" i="7"/>
  <c r="A767" i="7"/>
  <c r="I779" i="7" s="1"/>
  <c r="C766" i="7"/>
  <c r="D766" i="7"/>
  <c r="E766" i="7"/>
  <c r="F766" i="7"/>
  <c r="G766" i="7"/>
  <c r="H766" i="7"/>
  <c r="I766" i="7"/>
  <c r="C779" i="7"/>
  <c r="J766" i="7"/>
  <c r="K766" i="7"/>
  <c r="L766" i="7"/>
  <c r="M766" i="7"/>
  <c r="I778" i="7"/>
  <c r="N766" i="7"/>
  <c r="J416" i="7"/>
  <c r="C390" i="7"/>
  <c r="E390" i="7"/>
  <c r="D390" i="7"/>
  <c r="F390" i="7"/>
  <c r="G390" i="7"/>
  <c r="H390" i="7"/>
  <c r="I390" i="7"/>
  <c r="A703" i="7"/>
  <c r="F715" i="7" s="1"/>
  <c r="C702" i="7"/>
  <c r="D702" i="7"/>
  <c r="E702" i="7"/>
  <c r="F702" i="7"/>
  <c r="G702" i="7"/>
  <c r="H702" i="7"/>
  <c r="I702" i="7"/>
  <c r="C715" i="7"/>
  <c r="J702" i="7"/>
  <c r="K702" i="7"/>
  <c r="L702" i="7"/>
  <c r="M702" i="7"/>
  <c r="N702" i="7"/>
  <c r="I714" i="7"/>
  <c r="P765" i="7"/>
  <c r="P763" i="7"/>
  <c r="P761" i="7"/>
  <c r="P764" i="7"/>
  <c r="P760" i="7"/>
  <c r="P762" i="7"/>
  <c r="P733" i="7"/>
  <c r="P731" i="7"/>
  <c r="P727" i="7"/>
  <c r="P758" i="7"/>
  <c r="P759" i="7"/>
  <c r="P734" i="7"/>
  <c r="P732" i="7"/>
  <c r="P730" i="7"/>
  <c r="P766" i="7"/>
  <c r="P700" i="7"/>
  <c r="P699" i="7"/>
  <c r="P698" i="7"/>
  <c r="P697" i="7"/>
  <c r="P696" i="7"/>
  <c r="P695" i="7"/>
  <c r="P694" i="7"/>
  <c r="P729" i="7"/>
  <c r="P726" i="7"/>
  <c r="P701" i="7"/>
  <c r="P728" i="7"/>
  <c r="P702" i="7"/>
  <c r="P28" i="7"/>
  <c r="P62" i="7"/>
  <c r="Q2" i="7"/>
  <c r="K677" i="7"/>
  <c r="J500" i="7"/>
  <c r="J495" i="7"/>
  <c r="J499" i="7"/>
  <c r="J523" i="7"/>
  <c r="J527" i="7"/>
  <c r="J547" i="7"/>
  <c r="J551" i="7"/>
  <c r="J524" i="7"/>
  <c r="J548" i="7"/>
  <c r="J552" i="7"/>
  <c r="J39" i="7"/>
  <c r="K779" i="7"/>
  <c r="K778" i="7"/>
  <c r="K777" i="7"/>
  <c r="K776" i="7"/>
  <c r="K775" i="7"/>
  <c r="K774" i="7"/>
  <c r="K773" i="7"/>
  <c r="K416" i="7"/>
  <c r="K415" i="7"/>
  <c r="K414" i="7"/>
  <c r="K413" i="7"/>
  <c r="K412" i="7"/>
  <c r="K411" i="7"/>
  <c r="K390" i="7"/>
  <c r="K389" i="7"/>
  <c r="K388" i="7"/>
  <c r="K387" i="7"/>
  <c r="K410" i="7"/>
  <c r="K746" i="7"/>
  <c r="K745" i="7"/>
  <c r="K744" i="7"/>
  <c r="K743" i="7"/>
  <c r="K742" i="7"/>
  <c r="K741" i="7"/>
  <c r="K740" i="7"/>
  <c r="K739" i="7"/>
  <c r="K386" i="7"/>
  <c r="K365" i="7"/>
  <c r="K364" i="7"/>
  <c r="K363" i="7"/>
  <c r="K362" i="7"/>
  <c r="K385" i="7"/>
  <c r="K384" i="7"/>
  <c r="K383" i="7"/>
  <c r="K714" i="7"/>
  <c r="K713" i="7"/>
  <c r="K712" i="7"/>
  <c r="K711" i="7"/>
  <c r="K710" i="7"/>
  <c r="K709" i="7"/>
  <c r="K708" i="7"/>
  <c r="K707" i="7"/>
  <c r="K360" i="7"/>
  <c r="K361" i="7"/>
  <c r="K359" i="7"/>
  <c r="K595" i="7"/>
  <c r="K589" i="7"/>
  <c r="K475" i="7"/>
  <c r="K474" i="7"/>
  <c r="K473" i="7"/>
  <c r="K472" i="7"/>
  <c r="K471" i="7"/>
  <c r="K470" i="7"/>
  <c r="K490" i="7"/>
  <c r="K353" i="7"/>
  <c r="K338" i="7"/>
  <c r="K337" i="7"/>
  <c r="K336" i="7"/>
  <c r="K335" i="7"/>
  <c r="K334" i="7"/>
  <c r="K333" i="7"/>
  <c r="K37" i="7"/>
  <c r="J498" i="7"/>
  <c r="J354" i="7"/>
  <c r="J496" i="7"/>
  <c r="J497" i="7"/>
  <c r="J501" i="7"/>
  <c r="J521" i="7"/>
  <c r="J525" i="7"/>
  <c r="J549" i="7"/>
  <c r="J553" i="7"/>
  <c r="J491" i="7"/>
  <c r="J522" i="7"/>
  <c r="J526" i="7"/>
  <c r="J550" i="7"/>
  <c r="Q29" i="7" l="1"/>
  <c r="Q649" i="7"/>
  <c r="Q60" i="7"/>
  <c r="Q655" i="7"/>
  <c r="Q656" i="7" s="1"/>
  <c r="Q664" i="7"/>
  <c r="Q665" i="7" s="1"/>
  <c r="Q662" i="7"/>
  <c r="Q644" i="7" s="1"/>
  <c r="Q661" i="7"/>
  <c r="Q660" i="7"/>
  <c r="P642" i="7"/>
  <c r="P650" i="7"/>
  <c r="Q643" i="7"/>
  <c r="Q31" i="7"/>
  <c r="Q61" i="7" s="1"/>
  <c r="Q651" i="7"/>
  <c r="R196" i="7"/>
  <c r="Q648" i="7"/>
  <c r="Q676" i="7"/>
  <c r="Q682" i="7"/>
  <c r="Q484" i="7"/>
  <c r="Q347" i="7"/>
  <c r="K747" i="7"/>
  <c r="AK160" i="1"/>
  <c r="Q683" i="7"/>
  <c r="P95" i="7"/>
  <c r="Q594" i="7"/>
  <c r="Q588" i="7"/>
  <c r="Q634" i="7"/>
  <c r="Q630" i="7"/>
  <c r="Q626" i="7"/>
  <c r="Q622" i="7"/>
  <c r="Q38" i="7"/>
  <c r="Q42" i="7"/>
  <c r="Q35" i="7"/>
  <c r="E528" i="7"/>
  <c r="C502" i="7"/>
  <c r="D528" i="7"/>
  <c r="C528" i="7"/>
  <c r="I554" i="7"/>
  <c r="D554" i="7"/>
  <c r="J554" i="7"/>
  <c r="I502" i="7"/>
  <c r="H554" i="7"/>
  <c r="D502" i="7"/>
  <c r="I528" i="7"/>
  <c r="H502" i="7"/>
  <c r="G554" i="7"/>
  <c r="H528" i="7"/>
  <c r="G502" i="7"/>
  <c r="F554" i="7"/>
  <c r="G528" i="7"/>
  <c r="E502" i="7"/>
  <c r="E554" i="7"/>
  <c r="J502" i="7"/>
  <c r="F528" i="7"/>
  <c r="F502" i="7"/>
  <c r="C554" i="7"/>
  <c r="J528" i="7"/>
  <c r="C747" i="7"/>
  <c r="G747" i="7"/>
  <c r="G715" i="7"/>
  <c r="P703" i="7"/>
  <c r="K391" i="7"/>
  <c r="F779" i="7"/>
  <c r="H779" i="7"/>
  <c r="K417" i="7"/>
  <c r="I715" i="7"/>
  <c r="D715" i="7"/>
  <c r="E747" i="7"/>
  <c r="E779" i="7"/>
  <c r="H715" i="7"/>
  <c r="E715" i="7"/>
  <c r="G779" i="7"/>
  <c r="D779" i="7"/>
  <c r="I747" i="7"/>
  <c r="K715" i="7"/>
  <c r="P735" i="7"/>
  <c r="P767" i="7"/>
  <c r="H747" i="7"/>
  <c r="F747" i="7"/>
  <c r="K366" i="7"/>
  <c r="C417" i="7"/>
  <c r="D417" i="7"/>
  <c r="E417" i="7"/>
  <c r="F417" i="7"/>
  <c r="G417" i="7"/>
  <c r="H417" i="7"/>
  <c r="I417" i="7"/>
  <c r="J417" i="7"/>
  <c r="C703" i="7"/>
  <c r="D703" i="7"/>
  <c r="D704" i="7" s="1"/>
  <c r="D689" i="7" s="1"/>
  <c r="D101" i="7" s="1"/>
  <c r="E703" i="7"/>
  <c r="E704" i="7" s="1"/>
  <c r="E689" i="7" s="1"/>
  <c r="E101" i="7" s="1"/>
  <c r="F703" i="7"/>
  <c r="F704" i="7" s="1"/>
  <c r="F689" i="7" s="1"/>
  <c r="F101" i="7" s="1"/>
  <c r="G703" i="7"/>
  <c r="G704" i="7" s="1"/>
  <c r="G689" i="7" s="1"/>
  <c r="G101" i="7" s="1"/>
  <c r="H703" i="7"/>
  <c r="H704" i="7" s="1"/>
  <c r="H689" i="7" s="1"/>
  <c r="H101" i="7" s="1"/>
  <c r="I703" i="7"/>
  <c r="I704" i="7" s="1"/>
  <c r="I689" i="7" s="1"/>
  <c r="I101" i="7" s="1"/>
  <c r="J703" i="7"/>
  <c r="J704" i="7" s="1"/>
  <c r="J689" i="7" s="1"/>
  <c r="J101" i="7" s="1"/>
  <c r="K703" i="7"/>
  <c r="K704" i="7" s="1"/>
  <c r="K689" i="7" s="1"/>
  <c r="K101" i="7" s="1"/>
  <c r="L703" i="7"/>
  <c r="M703" i="7"/>
  <c r="N703" i="7"/>
  <c r="O703" i="7"/>
  <c r="J715" i="7"/>
  <c r="C767" i="7"/>
  <c r="D767" i="7"/>
  <c r="D768" i="7" s="1"/>
  <c r="D753" i="7" s="1"/>
  <c r="D103" i="7" s="1"/>
  <c r="E767" i="7"/>
  <c r="E768" i="7" s="1"/>
  <c r="E753" i="7" s="1"/>
  <c r="E103" i="7" s="1"/>
  <c r="F767" i="7"/>
  <c r="F768" i="7" s="1"/>
  <c r="F753" i="7" s="1"/>
  <c r="F103" i="7" s="1"/>
  <c r="G767" i="7"/>
  <c r="G768" i="7" s="1"/>
  <c r="G753" i="7" s="1"/>
  <c r="G103" i="7" s="1"/>
  <c r="H767" i="7"/>
  <c r="H768" i="7" s="1"/>
  <c r="H753" i="7" s="1"/>
  <c r="H103" i="7" s="1"/>
  <c r="I767" i="7"/>
  <c r="I768" i="7" s="1"/>
  <c r="I753" i="7" s="1"/>
  <c r="I103" i="7" s="1"/>
  <c r="J767" i="7"/>
  <c r="J768" i="7" s="1"/>
  <c r="J753" i="7" s="1"/>
  <c r="J103" i="7" s="1"/>
  <c r="K767" i="7"/>
  <c r="K768" i="7" s="1"/>
  <c r="K753" i="7" s="1"/>
  <c r="K103" i="7" s="1"/>
  <c r="L767" i="7"/>
  <c r="M767" i="7"/>
  <c r="N767" i="7"/>
  <c r="O767" i="7"/>
  <c r="J779" i="7"/>
  <c r="C391" i="7"/>
  <c r="D391" i="7"/>
  <c r="F391" i="7"/>
  <c r="E391" i="7"/>
  <c r="G391" i="7"/>
  <c r="H391" i="7"/>
  <c r="I391" i="7"/>
  <c r="J391" i="7"/>
  <c r="C366" i="7"/>
  <c r="D366" i="7"/>
  <c r="E366" i="7"/>
  <c r="F366" i="7"/>
  <c r="G366" i="7"/>
  <c r="H366" i="7"/>
  <c r="I366" i="7"/>
  <c r="J366" i="7"/>
  <c r="C735" i="7"/>
  <c r="D735" i="7"/>
  <c r="D736" i="7" s="1"/>
  <c r="D721" i="7" s="1"/>
  <c r="D102" i="7" s="1"/>
  <c r="E735" i="7"/>
  <c r="E736" i="7" s="1"/>
  <c r="E721" i="7" s="1"/>
  <c r="E102" i="7" s="1"/>
  <c r="F735" i="7"/>
  <c r="F736" i="7" s="1"/>
  <c r="F721" i="7" s="1"/>
  <c r="F102" i="7" s="1"/>
  <c r="G735" i="7"/>
  <c r="G736" i="7" s="1"/>
  <c r="G721" i="7" s="1"/>
  <c r="G102" i="7" s="1"/>
  <c r="H735" i="7"/>
  <c r="H736" i="7" s="1"/>
  <c r="H721" i="7" s="1"/>
  <c r="H102" i="7" s="1"/>
  <c r="I735" i="7"/>
  <c r="I736" i="7" s="1"/>
  <c r="I721" i="7" s="1"/>
  <c r="I102" i="7" s="1"/>
  <c r="J735" i="7"/>
  <c r="J736" i="7" s="1"/>
  <c r="J721" i="7" s="1"/>
  <c r="J102" i="7" s="1"/>
  <c r="K735" i="7"/>
  <c r="K736" i="7" s="1"/>
  <c r="K721" i="7" s="1"/>
  <c r="K102" i="7" s="1"/>
  <c r="L735" i="7"/>
  <c r="M735" i="7"/>
  <c r="N735" i="7"/>
  <c r="J747" i="7"/>
  <c r="O735" i="7"/>
  <c r="Q759" i="7"/>
  <c r="Q758" i="7"/>
  <c r="Q767" i="7"/>
  <c r="Q765" i="7"/>
  <c r="Q763" i="7"/>
  <c r="Q761" i="7"/>
  <c r="Q764" i="7"/>
  <c r="Q734" i="7"/>
  <c r="Q732" i="7"/>
  <c r="Q766" i="7"/>
  <c r="Q760" i="7"/>
  <c r="Q762" i="7"/>
  <c r="Q735" i="7"/>
  <c r="Q733" i="7"/>
  <c r="Q731" i="7"/>
  <c r="Q729" i="7"/>
  <c r="Q727" i="7"/>
  <c r="Q703" i="7"/>
  <c r="Q701" i="7"/>
  <c r="Q726" i="7"/>
  <c r="Q699" i="7"/>
  <c r="Q697" i="7"/>
  <c r="Q695" i="7"/>
  <c r="Q728" i="7"/>
  <c r="Q702" i="7"/>
  <c r="Q700" i="7"/>
  <c r="Q698" i="7"/>
  <c r="Q696" i="7"/>
  <c r="Q694" i="7"/>
  <c r="Q730" i="7"/>
  <c r="Q62" i="7"/>
  <c r="Q28" i="7"/>
  <c r="R2" i="7"/>
  <c r="L677" i="7"/>
  <c r="K523" i="7"/>
  <c r="K502" i="7"/>
  <c r="K551" i="7"/>
  <c r="K498" i="7"/>
  <c r="K527" i="7"/>
  <c r="K354" i="7"/>
  <c r="K499" i="7"/>
  <c r="L779" i="7"/>
  <c r="L778" i="7"/>
  <c r="L777" i="7"/>
  <c r="L776" i="7"/>
  <c r="L775" i="7"/>
  <c r="L774" i="7"/>
  <c r="L772" i="7"/>
  <c r="L417" i="7"/>
  <c r="L416" i="7"/>
  <c r="L415" i="7"/>
  <c r="L414" i="7"/>
  <c r="L413" i="7"/>
  <c r="L412" i="7"/>
  <c r="L411" i="7"/>
  <c r="L410" i="7"/>
  <c r="L747" i="7"/>
  <c r="L746" i="7"/>
  <c r="L745" i="7"/>
  <c r="L744" i="7"/>
  <c r="L743" i="7"/>
  <c r="L742" i="7"/>
  <c r="L741" i="7"/>
  <c r="L740" i="7"/>
  <c r="L739" i="7"/>
  <c r="L391" i="7"/>
  <c r="L390" i="7"/>
  <c r="L389" i="7"/>
  <c r="L388" i="7"/>
  <c r="L387" i="7"/>
  <c r="L386" i="7"/>
  <c r="L385" i="7"/>
  <c r="L384" i="7"/>
  <c r="L383" i="7"/>
  <c r="L715" i="7"/>
  <c r="L714" i="7"/>
  <c r="L713" i="7"/>
  <c r="L712" i="7"/>
  <c r="L711" i="7"/>
  <c r="L710" i="7"/>
  <c r="L709" i="7"/>
  <c r="L708" i="7"/>
  <c r="L707" i="7"/>
  <c r="L366" i="7"/>
  <c r="L365" i="7"/>
  <c r="L364" i="7"/>
  <c r="L363" i="7"/>
  <c r="L362" i="7"/>
  <c r="L361" i="7"/>
  <c r="L360" i="7"/>
  <c r="L359" i="7"/>
  <c r="L595" i="7"/>
  <c r="L589" i="7"/>
  <c r="L490" i="7"/>
  <c r="L475" i="7"/>
  <c r="L474" i="7"/>
  <c r="L473" i="7"/>
  <c r="L472" i="7"/>
  <c r="L471" i="7"/>
  <c r="L470" i="7"/>
  <c r="L338" i="7"/>
  <c r="L337" i="7"/>
  <c r="L336" i="7"/>
  <c r="L335" i="7"/>
  <c r="L334" i="7"/>
  <c r="L333" i="7"/>
  <c r="L353" i="7"/>
  <c r="L37" i="7"/>
  <c r="K501" i="7"/>
  <c r="K522" i="7"/>
  <c r="K526" i="7"/>
  <c r="K550" i="7"/>
  <c r="K554" i="7"/>
  <c r="K39" i="7"/>
  <c r="K358" i="7"/>
  <c r="K409" i="7"/>
  <c r="K497" i="7"/>
  <c r="K496" i="7"/>
  <c r="K500" i="7"/>
  <c r="K524" i="7"/>
  <c r="K528" i="7"/>
  <c r="K548" i="7"/>
  <c r="K552" i="7"/>
  <c r="K521" i="7"/>
  <c r="K525" i="7"/>
  <c r="K549" i="7"/>
  <c r="K553" i="7"/>
  <c r="K491" i="7"/>
  <c r="R649" i="7" l="1"/>
  <c r="R29" i="7"/>
  <c r="R60" i="7"/>
  <c r="R655" i="7"/>
  <c r="R656" i="7" s="1"/>
  <c r="R664" i="7"/>
  <c r="R665" i="7" s="1"/>
  <c r="R662" i="7"/>
  <c r="R644" i="7" s="1"/>
  <c r="R661" i="7"/>
  <c r="R660" i="7"/>
  <c r="R643" i="7"/>
  <c r="R31" i="7"/>
  <c r="R61" i="7" s="1"/>
  <c r="Q650" i="7"/>
  <c r="Q642" i="7" s="1"/>
  <c r="R651" i="7"/>
  <c r="S196" i="7"/>
  <c r="R648" i="7"/>
  <c r="R682" i="7"/>
  <c r="R676" i="7"/>
  <c r="R484" i="7"/>
  <c r="R347" i="7"/>
  <c r="Q95" i="7"/>
  <c r="AL160" i="1"/>
  <c r="R683" i="7"/>
  <c r="R630" i="7"/>
  <c r="R626" i="7"/>
  <c r="R594" i="7"/>
  <c r="R588" i="7"/>
  <c r="R634" i="7"/>
  <c r="R622" i="7"/>
  <c r="R38" i="7"/>
  <c r="R42" i="7"/>
  <c r="R35" i="7"/>
  <c r="D503" i="7"/>
  <c r="D529" i="7"/>
  <c r="H555" i="7"/>
  <c r="K529" i="7"/>
  <c r="G555" i="7"/>
  <c r="J503" i="7"/>
  <c r="J529" i="7"/>
  <c r="F555" i="7"/>
  <c r="I503" i="7"/>
  <c r="I529" i="7"/>
  <c r="E555" i="7"/>
  <c r="H503" i="7"/>
  <c r="H529" i="7"/>
  <c r="D555" i="7"/>
  <c r="G503" i="7"/>
  <c r="G529" i="7"/>
  <c r="C555" i="7"/>
  <c r="K555" i="7"/>
  <c r="C503" i="7"/>
  <c r="F503" i="7"/>
  <c r="E529" i="7"/>
  <c r="J555" i="7"/>
  <c r="K503" i="7"/>
  <c r="C529" i="7"/>
  <c r="E503" i="7"/>
  <c r="F529" i="7"/>
  <c r="I555" i="7"/>
  <c r="L367" i="7"/>
  <c r="L418" i="7"/>
  <c r="L392" i="7"/>
  <c r="J104" i="7"/>
  <c r="H104" i="7"/>
  <c r="I104" i="7"/>
  <c r="D104" i="7"/>
  <c r="G104" i="7"/>
  <c r="C367" i="7"/>
  <c r="D367" i="7"/>
  <c r="E367" i="7"/>
  <c r="F367" i="7"/>
  <c r="G367" i="7"/>
  <c r="H367" i="7"/>
  <c r="I367" i="7"/>
  <c r="J367" i="7"/>
  <c r="K367" i="7"/>
  <c r="C704" i="7"/>
  <c r="C689" i="7" s="1"/>
  <c r="C101" i="7" s="1"/>
  <c r="C392" i="7"/>
  <c r="D392" i="7"/>
  <c r="E392" i="7"/>
  <c r="F392" i="7"/>
  <c r="G392" i="7"/>
  <c r="H392" i="7"/>
  <c r="I392" i="7"/>
  <c r="J392" i="7"/>
  <c r="K392" i="7"/>
  <c r="C736" i="7"/>
  <c r="C721" i="7" s="1"/>
  <c r="C102" i="7" s="1"/>
  <c r="F104" i="7"/>
  <c r="C418" i="7"/>
  <c r="D418" i="7"/>
  <c r="F418" i="7"/>
  <c r="E418" i="7"/>
  <c r="G418" i="7"/>
  <c r="H418" i="7"/>
  <c r="I418" i="7"/>
  <c r="J418" i="7"/>
  <c r="K418" i="7"/>
  <c r="C768" i="7"/>
  <c r="C753" i="7" s="1"/>
  <c r="C103" i="7" s="1"/>
  <c r="E104" i="7"/>
  <c r="R766" i="7"/>
  <c r="R764" i="7"/>
  <c r="R762" i="7"/>
  <c r="R760" i="7"/>
  <c r="R765" i="7"/>
  <c r="R761" i="7"/>
  <c r="R759" i="7"/>
  <c r="R735" i="7"/>
  <c r="R734" i="7"/>
  <c r="R733" i="7"/>
  <c r="R732" i="7"/>
  <c r="R731" i="7"/>
  <c r="R730" i="7"/>
  <c r="R729" i="7"/>
  <c r="R728" i="7"/>
  <c r="R727" i="7"/>
  <c r="R726" i="7"/>
  <c r="R703" i="7"/>
  <c r="R702" i="7"/>
  <c r="R701" i="7"/>
  <c r="R763" i="7"/>
  <c r="R758" i="7"/>
  <c r="R767" i="7"/>
  <c r="R700" i="7"/>
  <c r="R698" i="7"/>
  <c r="R696" i="7"/>
  <c r="R694" i="7"/>
  <c r="R699" i="7"/>
  <c r="R697" i="7"/>
  <c r="R695" i="7"/>
  <c r="R62" i="7"/>
  <c r="R28" i="7"/>
  <c r="S2" i="7"/>
  <c r="M677" i="7"/>
  <c r="L409" i="7"/>
  <c r="L704" i="7"/>
  <c r="L689" i="7" s="1"/>
  <c r="L101" i="7" s="1"/>
  <c r="L768" i="7"/>
  <c r="L753" i="7" s="1"/>
  <c r="L103" i="7" s="1"/>
  <c r="L358" i="7"/>
  <c r="L39" i="7"/>
  <c r="L736" i="7"/>
  <c r="L721" i="7" s="1"/>
  <c r="L102" i="7" s="1"/>
  <c r="K547" i="7"/>
  <c r="L500" i="7"/>
  <c r="L354" i="7"/>
  <c r="L498" i="7"/>
  <c r="L499" i="7"/>
  <c r="L503" i="7"/>
  <c r="L523" i="7"/>
  <c r="L527" i="7"/>
  <c r="L551" i="7"/>
  <c r="L555" i="7"/>
  <c r="L524" i="7"/>
  <c r="L528" i="7"/>
  <c r="L548" i="7"/>
  <c r="L552" i="7"/>
  <c r="K495" i="7"/>
  <c r="M779" i="7"/>
  <c r="M778" i="7"/>
  <c r="M777" i="7"/>
  <c r="M776" i="7"/>
  <c r="M775" i="7"/>
  <c r="M774" i="7"/>
  <c r="M771" i="7"/>
  <c r="M418" i="7"/>
  <c r="M417" i="7"/>
  <c r="M416" i="7"/>
  <c r="M415" i="7"/>
  <c r="M414" i="7"/>
  <c r="M413" i="7"/>
  <c r="M412" i="7"/>
  <c r="M411" i="7"/>
  <c r="M410" i="7"/>
  <c r="M392" i="7"/>
  <c r="M391" i="7"/>
  <c r="M390" i="7"/>
  <c r="M389" i="7"/>
  <c r="M388" i="7"/>
  <c r="M387" i="7"/>
  <c r="M386" i="7"/>
  <c r="M747" i="7"/>
  <c r="M746" i="7"/>
  <c r="M745" i="7"/>
  <c r="M744" i="7"/>
  <c r="M743" i="7"/>
  <c r="M742" i="7"/>
  <c r="M741" i="7"/>
  <c r="M740" i="7"/>
  <c r="M739" i="7"/>
  <c r="M367" i="7"/>
  <c r="M366" i="7"/>
  <c r="M365" i="7"/>
  <c r="M364" i="7"/>
  <c r="M363" i="7"/>
  <c r="M362" i="7"/>
  <c r="M385" i="7"/>
  <c r="M384" i="7"/>
  <c r="M383" i="7"/>
  <c r="M715" i="7"/>
  <c r="M714" i="7"/>
  <c r="M713" i="7"/>
  <c r="M712" i="7"/>
  <c r="M711" i="7"/>
  <c r="M710" i="7"/>
  <c r="M709" i="7"/>
  <c r="M708" i="7"/>
  <c r="M707" i="7"/>
  <c r="M361" i="7"/>
  <c r="M360" i="7"/>
  <c r="M359" i="7"/>
  <c r="M358" i="7"/>
  <c r="M595" i="7"/>
  <c r="M589" i="7"/>
  <c r="M475" i="7"/>
  <c r="M474" i="7"/>
  <c r="M473" i="7"/>
  <c r="M472" i="7"/>
  <c r="M471" i="7"/>
  <c r="M470" i="7"/>
  <c r="M490" i="7"/>
  <c r="M353" i="7"/>
  <c r="M338" i="7"/>
  <c r="M337" i="7"/>
  <c r="M336" i="7"/>
  <c r="M335" i="7"/>
  <c r="M334" i="7"/>
  <c r="M333" i="7"/>
  <c r="M37" i="7"/>
  <c r="L496" i="7"/>
  <c r="L502" i="7"/>
  <c r="L497" i="7"/>
  <c r="L501" i="7"/>
  <c r="L521" i="7"/>
  <c r="L525" i="7"/>
  <c r="L529" i="7"/>
  <c r="L549" i="7"/>
  <c r="L553" i="7"/>
  <c r="L491" i="7"/>
  <c r="L522" i="7"/>
  <c r="L526" i="7"/>
  <c r="L550" i="7"/>
  <c r="L554" i="7"/>
  <c r="K104" i="7"/>
  <c r="S649" i="7" l="1"/>
  <c r="S29" i="7"/>
  <c r="S60" i="7"/>
  <c r="S655" i="7"/>
  <c r="S656" i="7" s="1"/>
  <c r="S664" i="7"/>
  <c r="S665" i="7" s="1"/>
  <c r="S662" i="7"/>
  <c r="S644" i="7" s="1"/>
  <c r="S661" i="7"/>
  <c r="S660" i="7"/>
  <c r="S31" i="7"/>
  <c r="S61" i="7" s="1"/>
  <c r="S643" i="7"/>
  <c r="S651" i="7"/>
  <c r="T196" i="7"/>
  <c r="R650" i="7"/>
  <c r="R642" i="7" s="1"/>
  <c r="S648" i="7"/>
  <c r="S676" i="7"/>
  <c r="S682" i="7"/>
  <c r="S484" i="7"/>
  <c r="S347" i="7"/>
  <c r="R95" i="7"/>
  <c r="AM160" i="1"/>
  <c r="S683" i="7"/>
  <c r="S594" i="7"/>
  <c r="S588" i="7"/>
  <c r="S634" i="7"/>
  <c r="S630" i="7"/>
  <c r="S626" i="7"/>
  <c r="S622" i="7"/>
  <c r="S38" i="7"/>
  <c r="S42" i="7"/>
  <c r="S35" i="7"/>
  <c r="H504" i="7"/>
  <c r="J556" i="7"/>
  <c r="E530" i="7"/>
  <c r="G504" i="7"/>
  <c r="L495" i="7"/>
  <c r="I556" i="7"/>
  <c r="D530" i="7"/>
  <c r="F504" i="7"/>
  <c r="F530" i="7"/>
  <c r="L547" i="7"/>
  <c r="H556" i="7"/>
  <c r="K530" i="7"/>
  <c r="C530" i="7"/>
  <c r="E504" i="7"/>
  <c r="L530" i="7"/>
  <c r="G556" i="7"/>
  <c r="J530" i="7"/>
  <c r="D504" i="7"/>
  <c r="L556" i="7"/>
  <c r="C556" i="7"/>
  <c r="E556" i="7"/>
  <c r="I530" i="7"/>
  <c r="K504" i="7"/>
  <c r="C504" i="7"/>
  <c r="L504" i="7"/>
  <c r="K556" i="7"/>
  <c r="F556" i="7"/>
  <c r="H530" i="7"/>
  <c r="J504" i="7"/>
  <c r="D556" i="7"/>
  <c r="G530" i="7"/>
  <c r="I504" i="7"/>
  <c r="C104" i="7"/>
  <c r="S767" i="7"/>
  <c r="S766" i="7"/>
  <c r="S765" i="7"/>
  <c r="S764" i="7"/>
  <c r="S763" i="7"/>
  <c r="S762" i="7"/>
  <c r="S761" i="7"/>
  <c r="S760" i="7"/>
  <c r="S730" i="7"/>
  <c r="S759" i="7"/>
  <c r="S735" i="7"/>
  <c r="S733" i="7"/>
  <c r="S731" i="7"/>
  <c r="S729" i="7"/>
  <c r="S758" i="7"/>
  <c r="S734" i="7"/>
  <c r="S732" i="7"/>
  <c r="S728" i="7"/>
  <c r="S726" i="7"/>
  <c r="S701" i="7"/>
  <c r="S700" i="7"/>
  <c r="S698" i="7"/>
  <c r="S696" i="7"/>
  <c r="S694" i="7"/>
  <c r="S727" i="7"/>
  <c r="S702" i="7"/>
  <c r="S699" i="7"/>
  <c r="S697" i="7"/>
  <c r="S695" i="7"/>
  <c r="S703" i="7"/>
  <c r="S28" i="7"/>
  <c r="S62" i="7"/>
  <c r="T2" i="7"/>
  <c r="N677" i="7"/>
  <c r="M409" i="7"/>
  <c r="L104" i="7"/>
  <c r="M768" i="7"/>
  <c r="M753" i="7" s="1"/>
  <c r="M103" i="7" s="1"/>
  <c r="M39" i="7"/>
  <c r="M496" i="7"/>
  <c r="M525" i="7"/>
  <c r="M529" i="7"/>
  <c r="M548" i="7"/>
  <c r="M503" i="7"/>
  <c r="M552" i="7"/>
  <c r="M556" i="7"/>
  <c r="M499" i="7"/>
  <c r="M501" i="7"/>
  <c r="M498" i="7"/>
  <c r="M502" i="7"/>
  <c r="M522" i="7"/>
  <c r="M526" i="7"/>
  <c r="M530" i="7"/>
  <c r="M550" i="7"/>
  <c r="M554" i="7"/>
  <c r="M523" i="7"/>
  <c r="M527" i="7"/>
  <c r="M551" i="7"/>
  <c r="M555" i="7"/>
  <c r="N779" i="7"/>
  <c r="N778" i="7"/>
  <c r="N777" i="7"/>
  <c r="N776" i="7"/>
  <c r="N775" i="7"/>
  <c r="N774" i="7"/>
  <c r="N771" i="7"/>
  <c r="N418" i="7"/>
  <c r="N417" i="7"/>
  <c r="N416" i="7"/>
  <c r="N415" i="7"/>
  <c r="N414" i="7"/>
  <c r="N413" i="7"/>
  <c r="N412" i="7"/>
  <c r="N411" i="7"/>
  <c r="N410" i="7"/>
  <c r="N409" i="7"/>
  <c r="N747" i="7"/>
  <c r="N746" i="7"/>
  <c r="N745" i="7"/>
  <c r="N744" i="7"/>
  <c r="N743" i="7"/>
  <c r="N742" i="7"/>
  <c r="N741" i="7"/>
  <c r="N740" i="7"/>
  <c r="N739" i="7"/>
  <c r="N392" i="7"/>
  <c r="N391" i="7"/>
  <c r="N390" i="7"/>
  <c r="N389" i="7"/>
  <c r="N388" i="7"/>
  <c r="N387" i="7"/>
  <c r="N386" i="7"/>
  <c r="N385" i="7"/>
  <c r="N384" i="7"/>
  <c r="N383" i="7"/>
  <c r="N715" i="7"/>
  <c r="N714" i="7"/>
  <c r="N713" i="7"/>
  <c r="N712" i="7"/>
  <c r="N711" i="7"/>
  <c r="N710" i="7"/>
  <c r="N709" i="7"/>
  <c r="N708" i="7"/>
  <c r="N707" i="7"/>
  <c r="N367" i="7"/>
  <c r="N366" i="7"/>
  <c r="N365" i="7"/>
  <c r="N364" i="7"/>
  <c r="N363" i="7"/>
  <c r="N362" i="7"/>
  <c r="N361" i="7"/>
  <c r="N360" i="7"/>
  <c r="N359" i="7"/>
  <c r="N358" i="7"/>
  <c r="N595" i="7"/>
  <c r="N589" i="7"/>
  <c r="N490" i="7"/>
  <c r="N475" i="7"/>
  <c r="N474" i="7"/>
  <c r="N473" i="7"/>
  <c r="N472" i="7"/>
  <c r="N471" i="7"/>
  <c r="N470" i="7"/>
  <c r="N338" i="7"/>
  <c r="N337" i="7"/>
  <c r="N336" i="7"/>
  <c r="N335" i="7"/>
  <c r="N334" i="7"/>
  <c r="N333" i="7"/>
  <c r="N353" i="7"/>
  <c r="N37" i="7"/>
  <c r="M354" i="7"/>
  <c r="M495" i="7"/>
  <c r="M497" i="7"/>
  <c r="M500" i="7"/>
  <c r="M504" i="7"/>
  <c r="M524" i="7"/>
  <c r="M528" i="7"/>
  <c r="M521" i="7"/>
  <c r="M549" i="7"/>
  <c r="M553" i="7"/>
  <c r="M491" i="7"/>
  <c r="M704" i="7"/>
  <c r="M689" i="7" s="1"/>
  <c r="M101" i="7" s="1"/>
  <c r="M736" i="7"/>
  <c r="M721" i="7" s="1"/>
  <c r="M102" i="7" s="1"/>
  <c r="T649" i="7" l="1"/>
  <c r="T29" i="7"/>
  <c r="T60" i="7"/>
  <c r="T655" i="7"/>
  <c r="T656" i="7" s="1"/>
  <c r="T664" i="7"/>
  <c r="T665" i="7" s="1"/>
  <c r="T662" i="7"/>
  <c r="T644" i="7" s="1"/>
  <c r="T661" i="7"/>
  <c r="T660" i="7"/>
  <c r="T31" i="7"/>
  <c r="T61" i="7" s="1"/>
  <c r="T643" i="7"/>
  <c r="T651" i="7"/>
  <c r="U196" i="7"/>
  <c r="S650" i="7"/>
  <c r="S642" i="7" s="1"/>
  <c r="T648" i="7"/>
  <c r="T676" i="7"/>
  <c r="T682" i="7"/>
  <c r="T484" i="7"/>
  <c r="T347" i="7"/>
  <c r="S95" i="7"/>
  <c r="AN160" i="1"/>
  <c r="T683" i="7"/>
  <c r="T630" i="7"/>
  <c r="T622" i="7"/>
  <c r="T594" i="7"/>
  <c r="T588" i="7"/>
  <c r="T634" i="7"/>
  <c r="T626" i="7"/>
  <c r="T38" i="7"/>
  <c r="T42" i="7"/>
  <c r="T35" i="7"/>
  <c r="M547" i="7"/>
  <c r="T766" i="7"/>
  <c r="T764" i="7"/>
  <c r="T762" i="7"/>
  <c r="T760" i="7"/>
  <c r="T758" i="7"/>
  <c r="T759" i="7"/>
  <c r="T765" i="7"/>
  <c r="T735" i="7"/>
  <c r="T733" i="7"/>
  <c r="T731" i="7"/>
  <c r="T767" i="7"/>
  <c r="T761" i="7"/>
  <c r="T763" i="7"/>
  <c r="T734" i="7"/>
  <c r="T732" i="7"/>
  <c r="T730" i="7"/>
  <c r="T728" i="7"/>
  <c r="T726" i="7"/>
  <c r="T702" i="7"/>
  <c r="T700" i="7"/>
  <c r="T699" i="7"/>
  <c r="T698" i="7"/>
  <c r="T697" i="7"/>
  <c r="T696" i="7"/>
  <c r="T695" i="7"/>
  <c r="T694" i="7"/>
  <c r="T727" i="7"/>
  <c r="T729" i="7"/>
  <c r="T703" i="7"/>
  <c r="T701" i="7"/>
  <c r="T28" i="7"/>
  <c r="T62" i="7"/>
  <c r="U2" i="7"/>
  <c r="O677" i="7"/>
  <c r="N524" i="7"/>
  <c r="N500" i="7"/>
  <c r="N502" i="7"/>
  <c r="N548" i="7"/>
  <c r="N552" i="7"/>
  <c r="N556" i="7"/>
  <c r="N528" i="7"/>
  <c r="N498" i="7"/>
  <c r="N354" i="7"/>
  <c r="N496" i="7"/>
  <c r="N504" i="7"/>
  <c r="N497" i="7"/>
  <c r="N501" i="7"/>
  <c r="N521" i="7"/>
  <c r="N525" i="7"/>
  <c r="N529" i="7"/>
  <c r="N549" i="7"/>
  <c r="N553" i="7"/>
  <c r="N491" i="7"/>
  <c r="N522" i="7"/>
  <c r="N526" i="7"/>
  <c r="N530" i="7"/>
  <c r="N550" i="7"/>
  <c r="N554" i="7"/>
  <c r="O779" i="7"/>
  <c r="O778" i="7"/>
  <c r="O777" i="7"/>
  <c r="O776" i="7"/>
  <c r="O775" i="7"/>
  <c r="O773" i="7"/>
  <c r="O418" i="7"/>
  <c r="O417" i="7"/>
  <c r="O416" i="7"/>
  <c r="O415" i="7"/>
  <c r="O414" i="7"/>
  <c r="O413" i="7"/>
  <c r="O412" i="7"/>
  <c r="O411" i="7"/>
  <c r="O771" i="7"/>
  <c r="O409" i="7"/>
  <c r="O392" i="7"/>
  <c r="O391" i="7"/>
  <c r="O390" i="7"/>
  <c r="O389" i="7"/>
  <c r="O388" i="7"/>
  <c r="O387" i="7"/>
  <c r="O386" i="7"/>
  <c r="O410" i="7"/>
  <c r="O747" i="7"/>
  <c r="O746" i="7"/>
  <c r="O745" i="7"/>
  <c r="O744" i="7"/>
  <c r="O743" i="7"/>
  <c r="O742" i="7"/>
  <c r="O741" i="7"/>
  <c r="O740" i="7"/>
  <c r="O739" i="7"/>
  <c r="O367" i="7"/>
  <c r="O366" i="7"/>
  <c r="O365" i="7"/>
  <c r="O364" i="7"/>
  <c r="O363" i="7"/>
  <c r="O362" i="7"/>
  <c r="O385" i="7"/>
  <c r="O384" i="7"/>
  <c r="O383" i="7"/>
  <c r="O715" i="7"/>
  <c r="O714" i="7"/>
  <c r="O713" i="7"/>
  <c r="O712" i="7"/>
  <c r="O711" i="7"/>
  <c r="O710" i="7"/>
  <c r="O709" i="7"/>
  <c r="O708" i="7"/>
  <c r="O706" i="7"/>
  <c r="O360" i="7"/>
  <c r="O361" i="7"/>
  <c r="O359" i="7"/>
  <c r="O595" i="7"/>
  <c r="O589" i="7"/>
  <c r="O475" i="7"/>
  <c r="O474" i="7"/>
  <c r="O473" i="7"/>
  <c r="O472" i="7"/>
  <c r="O471" i="7"/>
  <c r="O470" i="7"/>
  <c r="O490" i="7"/>
  <c r="O353" i="7"/>
  <c r="O338" i="7"/>
  <c r="O337" i="7"/>
  <c r="O336" i="7"/>
  <c r="O335" i="7"/>
  <c r="O334" i="7"/>
  <c r="O333" i="7"/>
  <c r="O37" i="7"/>
  <c r="N495" i="7"/>
  <c r="N499" i="7"/>
  <c r="N503" i="7"/>
  <c r="N523" i="7"/>
  <c r="N527" i="7"/>
  <c r="N547" i="7"/>
  <c r="N551" i="7"/>
  <c r="N555" i="7"/>
  <c r="M104" i="7"/>
  <c r="N39" i="7"/>
  <c r="N704" i="7"/>
  <c r="N689" i="7" s="1"/>
  <c r="N101" i="7" s="1"/>
  <c r="N736" i="7"/>
  <c r="N721" i="7" s="1"/>
  <c r="N102" i="7" s="1"/>
  <c r="N768" i="7"/>
  <c r="N753" i="7" s="1"/>
  <c r="N103" i="7" s="1"/>
  <c r="U29" i="7" l="1"/>
  <c r="U649" i="7"/>
  <c r="U60" i="7"/>
  <c r="U655" i="7"/>
  <c r="U656" i="7" s="1"/>
  <c r="U664" i="7"/>
  <c r="U665" i="7" s="1"/>
  <c r="U662" i="7"/>
  <c r="U644" i="7" s="1"/>
  <c r="U661" i="7"/>
  <c r="U660" i="7"/>
  <c r="U643" i="7"/>
  <c r="U31" i="7"/>
  <c r="U61" i="7" s="1"/>
  <c r="U651" i="7"/>
  <c r="V196" i="7"/>
  <c r="T650" i="7"/>
  <c r="T642" i="7" s="1"/>
  <c r="U648" i="7"/>
  <c r="U682" i="7"/>
  <c r="U676" i="7"/>
  <c r="U484" i="7"/>
  <c r="U347" i="7"/>
  <c r="T95" i="7"/>
  <c r="AO160" i="1"/>
  <c r="U683" i="7"/>
  <c r="U594" i="7"/>
  <c r="U588" i="7"/>
  <c r="U634" i="7"/>
  <c r="U630" i="7"/>
  <c r="U626" i="7"/>
  <c r="U622" i="7"/>
  <c r="U38" i="7"/>
  <c r="U42" i="7"/>
  <c r="U35" i="7"/>
  <c r="U767" i="7"/>
  <c r="U765" i="7"/>
  <c r="U763" i="7"/>
  <c r="U761" i="7"/>
  <c r="U759" i="7"/>
  <c r="U758" i="7"/>
  <c r="U735" i="7"/>
  <c r="U766" i="7"/>
  <c r="U762" i="7"/>
  <c r="U764" i="7"/>
  <c r="U760" i="7"/>
  <c r="U734" i="7"/>
  <c r="U732" i="7"/>
  <c r="U730" i="7"/>
  <c r="U733" i="7"/>
  <c r="U731" i="7"/>
  <c r="U729" i="7"/>
  <c r="U727" i="7"/>
  <c r="U703" i="7"/>
  <c r="U702" i="7"/>
  <c r="U728" i="7"/>
  <c r="U699" i="7"/>
  <c r="U697" i="7"/>
  <c r="U695" i="7"/>
  <c r="U701" i="7"/>
  <c r="U726" i="7"/>
  <c r="U700" i="7"/>
  <c r="U698" i="7"/>
  <c r="U696" i="7"/>
  <c r="U694" i="7"/>
  <c r="U62" i="7"/>
  <c r="U28" i="7"/>
  <c r="V2" i="7"/>
  <c r="P677" i="7"/>
  <c r="O39" i="7"/>
  <c r="O704" i="7"/>
  <c r="O689" i="7" s="1"/>
  <c r="O101" i="7" s="1"/>
  <c r="O736" i="7"/>
  <c r="O721" i="7" s="1"/>
  <c r="O102" i="7" s="1"/>
  <c r="O523" i="7"/>
  <c r="O502" i="7"/>
  <c r="O551" i="7"/>
  <c r="O498" i="7"/>
  <c r="O526" i="7"/>
  <c r="P779" i="7"/>
  <c r="P778" i="7"/>
  <c r="P777" i="7"/>
  <c r="P776" i="7"/>
  <c r="P775" i="7"/>
  <c r="P773" i="7"/>
  <c r="P771" i="7"/>
  <c r="P418" i="7"/>
  <c r="P417" i="7"/>
  <c r="P416" i="7"/>
  <c r="P415" i="7"/>
  <c r="P414" i="7"/>
  <c r="P413" i="7"/>
  <c r="P412" i="7"/>
  <c r="P411" i="7"/>
  <c r="P410" i="7"/>
  <c r="P409" i="7"/>
  <c r="P747" i="7"/>
  <c r="P746" i="7"/>
  <c r="P745" i="7"/>
  <c r="P744" i="7"/>
  <c r="P743" i="7"/>
  <c r="P742" i="7"/>
  <c r="P741" i="7"/>
  <c r="P740" i="7"/>
  <c r="P739" i="7"/>
  <c r="P392" i="7"/>
  <c r="P391" i="7"/>
  <c r="P390" i="7"/>
  <c r="P389" i="7"/>
  <c r="P388" i="7"/>
  <c r="P387" i="7"/>
  <c r="P386" i="7"/>
  <c r="P385" i="7"/>
  <c r="P384" i="7"/>
  <c r="P383" i="7"/>
  <c r="P715" i="7"/>
  <c r="P714" i="7"/>
  <c r="P713" i="7"/>
  <c r="P712" i="7"/>
  <c r="P711" i="7"/>
  <c r="P710" i="7"/>
  <c r="P709" i="7"/>
  <c r="P708" i="7"/>
  <c r="P706" i="7"/>
  <c r="P367" i="7"/>
  <c r="P366" i="7"/>
  <c r="P365" i="7"/>
  <c r="P364" i="7"/>
  <c r="P363" i="7"/>
  <c r="P362" i="7"/>
  <c r="P361" i="7"/>
  <c r="P360" i="7"/>
  <c r="P359" i="7"/>
  <c r="P595" i="7"/>
  <c r="P589" i="7"/>
  <c r="P490" i="7"/>
  <c r="P475" i="7"/>
  <c r="P474" i="7"/>
  <c r="P473" i="7"/>
  <c r="P472" i="7"/>
  <c r="P471" i="7"/>
  <c r="P470" i="7"/>
  <c r="P338" i="7"/>
  <c r="P337" i="7"/>
  <c r="P336" i="7"/>
  <c r="P335" i="7"/>
  <c r="P334" i="7"/>
  <c r="P333" i="7"/>
  <c r="P353" i="7"/>
  <c r="P37" i="7"/>
  <c r="O499" i="7"/>
  <c r="O500" i="7"/>
  <c r="O524" i="7"/>
  <c r="O548" i="7"/>
  <c r="O552" i="7"/>
  <c r="O556" i="7"/>
  <c r="O525" i="7"/>
  <c r="O529" i="7"/>
  <c r="O553" i="7"/>
  <c r="O491" i="7"/>
  <c r="O501" i="7"/>
  <c r="O503" i="7"/>
  <c r="O522" i="7"/>
  <c r="O530" i="7"/>
  <c r="O550" i="7"/>
  <c r="O554" i="7"/>
  <c r="O527" i="7"/>
  <c r="O547" i="7"/>
  <c r="O555" i="7"/>
  <c r="N104" i="7"/>
  <c r="O358" i="7"/>
  <c r="O768" i="7"/>
  <c r="O753" i="7" s="1"/>
  <c r="O103" i="7" s="1"/>
  <c r="O354" i="7"/>
  <c r="O497" i="7"/>
  <c r="O496" i="7"/>
  <c r="O504" i="7"/>
  <c r="O528" i="7"/>
  <c r="O521" i="7"/>
  <c r="O549" i="7"/>
  <c r="V649" i="7" l="1"/>
  <c r="V29" i="7"/>
  <c r="V60" i="7"/>
  <c r="V655" i="7"/>
  <c r="V656" i="7" s="1"/>
  <c r="V664" i="7"/>
  <c r="V665" i="7" s="1"/>
  <c r="V662" i="7"/>
  <c r="V644" i="7" s="1"/>
  <c r="V661" i="7"/>
  <c r="V660" i="7"/>
  <c r="V643" i="7"/>
  <c r="V31" i="7"/>
  <c r="V61" i="7" s="1"/>
  <c r="V651" i="7"/>
  <c r="W196" i="7"/>
  <c r="U650" i="7"/>
  <c r="U642" i="7" s="1"/>
  <c r="V648" i="7"/>
  <c r="V682" i="7"/>
  <c r="V676" i="7"/>
  <c r="V484" i="7"/>
  <c r="V347" i="7"/>
  <c r="U95" i="7"/>
  <c r="AP160" i="1"/>
  <c r="V683" i="7"/>
  <c r="V588" i="7"/>
  <c r="V634" i="7"/>
  <c r="V630" i="7"/>
  <c r="V626" i="7"/>
  <c r="V622" i="7"/>
  <c r="V594" i="7"/>
  <c r="V38" i="7"/>
  <c r="V42" i="7"/>
  <c r="V35" i="7"/>
  <c r="V767" i="7"/>
  <c r="V765" i="7"/>
  <c r="V763" i="7"/>
  <c r="V761" i="7"/>
  <c r="V734" i="7"/>
  <c r="V733" i="7"/>
  <c r="V732" i="7"/>
  <c r="V731" i="7"/>
  <c r="V730" i="7"/>
  <c r="V729" i="7"/>
  <c r="V728" i="7"/>
  <c r="V727" i="7"/>
  <c r="V726" i="7"/>
  <c r="V703" i="7"/>
  <c r="V702" i="7"/>
  <c r="V701" i="7"/>
  <c r="V760" i="7"/>
  <c r="V735" i="7"/>
  <c r="V766" i="7"/>
  <c r="V762" i="7"/>
  <c r="V758" i="7"/>
  <c r="V764" i="7"/>
  <c r="V759" i="7"/>
  <c r="V699" i="7"/>
  <c r="V697" i="7"/>
  <c r="V695" i="7"/>
  <c r="V700" i="7"/>
  <c r="V698" i="7"/>
  <c r="V696" i="7"/>
  <c r="V694" i="7"/>
  <c r="V62" i="7"/>
  <c r="V28" i="7"/>
  <c r="W2" i="7"/>
  <c r="Q677" i="7"/>
  <c r="O104" i="7"/>
  <c r="O495" i="7"/>
  <c r="P500" i="7"/>
  <c r="P354" i="7"/>
  <c r="P498" i="7"/>
  <c r="P499" i="7"/>
  <c r="P503" i="7"/>
  <c r="P523" i="7"/>
  <c r="P527" i="7"/>
  <c r="P547" i="7"/>
  <c r="P551" i="7"/>
  <c r="P555" i="7"/>
  <c r="P524" i="7"/>
  <c r="P528" i="7"/>
  <c r="P548" i="7"/>
  <c r="P552" i="7"/>
  <c r="P556" i="7"/>
  <c r="P39" i="7"/>
  <c r="P358" i="7"/>
  <c r="P704" i="7"/>
  <c r="P689" i="7" s="1"/>
  <c r="P101" i="7" s="1"/>
  <c r="P736" i="7"/>
  <c r="P721" i="7" s="1"/>
  <c r="P102" i="7" s="1"/>
  <c r="P768" i="7"/>
  <c r="P753" i="7" s="1"/>
  <c r="P103" i="7" s="1"/>
  <c r="Q779" i="7"/>
  <c r="Q778" i="7"/>
  <c r="Q777" i="7"/>
  <c r="Q776" i="7"/>
  <c r="Q775" i="7"/>
  <c r="Q773" i="7"/>
  <c r="Q771" i="7"/>
  <c r="Q418" i="7"/>
  <c r="Q417" i="7"/>
  <c r="Q416" i="7"/>
  <c r="Q415" i="7"/>
  <c r="Q414" i="7"/>
  <c r="Q413" i="7"/>
  <c r="Q412" i="7"/>
  <c r="Q411" i="7"/>
  <c r="Q410" i="7"/>
  <c r="Q392" i="7"/>
  <c r="Q391" i="7"/>
  <c r="Q390" i="7"/>
  <c r="Q389" i="7"/>
  <c r="Q388" i="7"/>
  <c r="Q387" i="7"/>
  <c r="Q386" i="7"/>
  <c r="Q409" i="7"/>
  <c r="Q747" i="7"/>
  <c r="Q746" i="7"/>
  <c r="Q745" i="7"/>
  <c r="Q744" i="7"/>
  <c r="Q743" i="7"/>
  <c r="Q742" i="7"/>
  <c r="Q741" i="7"/>
  <c r="Q740" i="7"/>
  <c r="Q739" i="7"/>
  <c r="Q385" i="7"/>
  <c r="Q367" i="7"/>
  <c r="Q366" i="7"/>
  <c r="Q365" i="7"/>
  <c r="Q364" i="7"/>
  <c r="Q363" i="7"/>
  <c r="Q362" i="7"/>
  <c r="Q384" i="7"/>
  <c r="Q715" i="7"/>
  <c r="Q714" i="7"/>
  <c r="Q713" i="7"/>
  <c r="Q712" i="7"/>
  <c r="Q711" i="7"/>
  <c r="Q710" i="7"/>
  <c r="Q709" i="7"/>
  <c r="Q708" i="7"/>
  <c r="Q706" i="7"/>
  <c r="Q361" i="7"/>
  <c r="Q360" i="7"/>
  <c r="Q359" i="7"/>
  <c r="Q595" i="7"/>
  <c r="Q589" i="7"/>
  <c r="Q475" i="7"/>
  <c r="Q474" i="7"/>
  <c r="Q473" i="7"/>
  <c r="Q472" i="7"/>
  <c r="Q471" i="7"/>
  <c r="Q470" i="7"/>
  <c r="Q490" i="7"/>
  <c r="Q353" i="7"/>
  <c r="Q338" i="7"/>
  <c r="Q337" i="7"/>
  <c r="Q336" i="7"/>
  <c r="Q335" i="7"/>
  <c r="Q334" i="7"/>
  <c r="Q333" i="7"/>
  <c r="Q37" i="7"/>
  <c r="P496" i="7"/>
  <c r="P504" i="7"/>
  <c r="P502" i="7"/>
  <c r="P497" i="7"/>
  <c r="P501" i="7"/>
  <c r="P521" i="7"/>
  <c r="P525" i="7"/>
  <c r="P529" i="7"/>
  <c r="P549" i="7"/>
  <c r="P553" i="7"/>
  <c r="P491" i="7"/>
  <c r="P522" i="7"/>
  <c r="P526" i="7"/>
  <c r="P530" i="7"/>
  <c r="P550" i="7"/>
  <c r="P554" i="7"/>
  <c r="W649" i="7" l="1"/>
  <c r="W29" i="7"/>
  <c r="W60" i="7"/>
  <c r="W655" i="7"/>
  <c r="W656" i="7" s="1"/>
  <c r="W664" i="7"/>
  <c r="W665" i="7" s="1"/>
  <c r="W662" i="7"/>
  <c r="W644" i="7" s="1"/>
  <c r="W661" i="7"/>
  <c r="W660" i="7"/>
  <c r="W31" i="7"/>
  <c r="W61" i="7" s="1"/>
  <c r="W643" i="7"/>
  <c r="W651" i="7"/>
  <c r="X196" i="7"/>
  <c r="V650" i="7"/>
  <c r="V642" i="7" s="1"/>
  <c r="W648" i="7"/>
  <c r="W676" i="7"/>
  <c r="W682" i="7"/>
  <c r="W484" i="7"/>
  <c r="W347" i="7"/>
  <c r="AQ160" i="1"/>
  <c r="V95" i="7"/>
  <c r="W683" i="7"/>
  <c r="W594" i="7"/>
  <c r="W588" i="7"/>
  <c r="W626" i="7"/>
  <c r="W634" i="7"/>
  <c r="W630" i="7"/>
  <c r="W622" i="7"/>
  <c r="W38" i="7"/>
  <c r="W42" i="7"/>
  <c r="W35" i="7"/>
  <c r="W767" i="7"/>
  <c r="W766" i="7"/>
  <c r="W765" i="7"/>
  <c r="W764" i="7"/>
  <c r="W763" i="7"/>
  <c r="W762" i="7"/>
  <c r="W761" i="7"/>
  <c r="W760" i="7"/>
  <c r="W759" i="7"/>
  <c r="W735" i="7"/>
  <c r="W758" i="7"/>
  <c r="W734" i="7"/>
  <c r="W732" i="7"/>
  <c r="W733" i="7"/>
  <c r="W731" i="7"/>
  <c r="W729" i="7"/>
  <c r="W727" i="7"/>
  <c r="W703" i="7"/>
  <c r="W701" i="7"/>
  <c r="W728" i="7"/>
  <c r="W700" i="7"/>
  <c r="W698" i="7"/>
  <c r="W696" i="7"/>
  <c r="W694" i="7"/>
  <c r="W730" i="7"/>
  <c r="W726" i="7"/>
  <c r="W702" i="7"/>
  <c r="W699" i="7"/>
  <c r="W697" i="7"/>
  <c r="W695" i="7"/>
  <c r="W28" i="7"/>
  <c r="W62" i="7"/>
  <c r="X2" i="7"/>
  <c r="R677" i="7"/>
  <c r="Q358" i="7"/>
  <c r="Q736" i="7"/>
  <c r="Q721" i="7" s="1"/>
  <c r="Q102" i="7" s="1"/>
  <c r="Q39" i="7"/>
  <c r="Q383" i="7"/>
  <c r="Q704" i="7"/>
  <c r="Q689" i="7" s="1"/>
  <c r="Q101" i="7" s="1"/>
  <c r="Q499" i="7"/>
  <c r="Q501" i="7"/>
  <c r="Q498" i="7"/>
  <c r="Q502" i="7"/>
  <c r="Q522" i="7"/>
  <c r="Q526" i="7"/>
  <c r="Q530" i="7"/>
  <c r="Q550" i="7"/>
  <c r="Q554" i="7"/>
  <c r="Q523" i="7"/>
  <c r="Q527" i="7"/>
  <c r="Q547" i="7"/>
  <c r="Q551" i="7"/>
  <c r="Q555" i="7"/>
  <c r="P495" i="7"/>
  <c r="Q768" i="7"/>
  <c r="Q753" i="7" s="1"/>
  <c r="Q103" i="7" s="1"/>
  <c r="P104" i="7"/>
  <c r="R779" i="7"/>
  <c r="R778" i="7"/>
  <c r="R777" i="7"/>
  <c r="R776" i="7"/>
  <c r="R774" i="7"/>
  <c r="R772" i="7"/>
  <c r="R771" i="7"/>
  <c r="R418" i="7"/>
  <c r="R417" i="7"/>
  <c r="R416" i="7"/>
  <c r="R415" i="7"/>
  <c r="R414" i="7"/>
  <c r="R413" i="7"/>
  <c r="R412" i="7"/>
  <c r="R411" i="7"/>
  <c r="R410" i="7"/>
  <c r="R409" i="7"/>
  <c r="R747" i="7"/>
  <c r="R746" i="7"/>
  <c r="R745" i="7"/>
  <c r="R744" i="7"/>
  <c r="R743" i="7"/>
  <c r="R742" i="7"/>
  <c r="R741" i="7"/>
  <c r="R740" i="7"/>
  <c r="R738" i="7"/>
  <c r="R392" i="7"/>
  <c r="R391" i="7"/>
  <c r="R390" i="7"/>
  <c r="R389" i="7"/>
  <c r="R388" i="7"/>
  <c r="R387" i="7"/>
  <c r="R386" i="7"/>
  <c r="R385" i="7"/>
  <c r="R384" i="7"/>
  <c r="R383" i="7"/>
  <c r="R715" i="7"/>
  <c r="R714" i="7"/>
  <c r="R713" i="7"/>
  <c r="R712" i="7"/>
  <c r="R711" i="7"/>
  <c r="R710" i="7"/>
  <c r="R709" i="7"/>
  <c r="R708" i="7"/>
  <c r="R706" i="7"/>
  <c r="R367" i="7"/>
  <c r="R366" i="7"/>
  <c r="R365" i="7"/>
  <c r="R364" i="7"/>
  <c r="R363" i="7"/>
  <c r="R362" i="7"/>
  <c r="R361" i="7"/>
  <c r="R360" i="7"/>
  <c r="R359" i="7"/>
  <c r="R595" i="7"/>
  <c r="R589" i="7"/>
  <c r="R490" i="7"/>
  <c r="R475" i="7"/>
  <c r="R474" i="7"/>
  <c r="R473" i="7"/>
  <c r="R472" i="7"/>
  <c r="R471" i="7"/>
  <c r="R470" i="7"/>
  <c r="R338" i="7"/>
  <c r="R337" i="7"/>
  <c r="R336" i="7"/>
  <c r="R335" i="7"/>
  <c r="R334" i="7"/>
  <c r="R333" i="7"/>
  <c r="R353" i="7"/>
  <c r="R37" i="7"/>
  <c r="Q354" i="7"/>
  <c r="Q503" i="7"/>
  <c r="Q497" i="7"/>
  <c r="Q496" i="7"/>
  <c r="Q500" i="7"/>
  <c r="Q504" i="7"/>
  <c r="Q524" i="7"/>
  <c r="Q528" i="7"/>
  <c r="Q548" i="7"/>
  <c r="Q552" i="7"/>
  <c r="Q556" i="7"/>
  <c r="Q525" i="7"/>
  <c r="Q529" i="7"/>
  <c r="Q549" i="7"/>
  <c r="Q553" i="7"/>
  <c r="Q491" i="7"/>
  <c r="X649" i="7" l="1"/>
  <c r="X29" i="7"/>
  <c r="X60" i="7"/>
  <c r="X655" i="7"/>
  <c r="X656" i="7" s="1"/>
  <c r="X664" i="7"/>
  <c r="X665" i="7" s="1"/>
  <c r="X662" i="7"/>
  <c r="X644" i="7" s="1"/>
  <c r="X661" i="7"/>
  <c r="X660" i="7"/>
  <c r="X643" i="7"/>
  <c r="X31" i="7"/>
  <c r="X61" i="7" s="1"/>
  <c r="X651" i="7"/>
  <c r="Y196" i="7"/>
  <c r="W650" i="7"/>
  <c r="W642" i="7" s="1"/>
  <c r="X648" i="7"/>
  <c r="X682" i="7"/>
  <c r="X676" i="7"/>
  <c r="X484" i="7"/>
  <c r="X347" i="7"/>
  <c r="W95" i="7"/>
  <c r="X683" i="7"/>
  <c r="X626" i="7"/>
  <c r="X594" i="7"/>
  <c r="X588" i="7"/>
  <c r="X634" i="7"/>
  <c r="X630" i="7"/>
  <c r="X622" i="7"/>
  <c r="X38" i="7"/>
  <c r="X42" i="7"/>
  <c r="X35" i="7"/>
  <c r="Q521" i="7"/>
  <c r="Q495" i="7"/>
  <c r="X766" i="7"/>
  <c r="X764" i="7"/>
  <c r="X762" i="7"/>
  <c r="X760" i="7"/>
  <c r="X767" i="7"/>
  <c r="X763" i="7"/>
  <c r="X759" i="7"/>
  <c r="X765" i="7"/>
  <c r="X758" i="7"/>
  <c r="X734" i="7"/>
  <c r="X732" i="7"/>
  <c r="X728" i="7"/>
  <c r="X761" i="7"/>
  <c r="X733" i="7"/>
  <c r="X731" i="7"/>
  <c r="X729" i="7"/>
  <c r="X735" i="7"/>
  <c r="X700" i="7"/>
  <c r="X699" i="7"/>
  <c r="X698" i="7"/>
  <c r="X697" i="7"/>
  <c r="X696" i="7"/>
  <c r="X695" i="7"/>
  <c r="X694" i="7"/>
  <c r="X730" i="7"/>
  <c r="X726" i="7"/>
  <c r="X703" i="7"/>
  <c r="X701" i="7"/>
  <c r="X702" i="7"/>
  <c r="X727" i="7"/>
  <c r="X28" i="7"/>
  <c r="X62" i="7"/>
  <c r="Y2" i="7"/>
  <c r="S677" i="7"/>
  <c r="B466" i="7"/>
  <c r="R358" i="7"/>
  <c r="Q104" i="7"/>
  <c r="S779" i="7"/>
  <c r="S778" i="7"/>
  <c r="S777" i="7"/>
  <c r="S776" i="7"/>
  <c r="S774" i="7"/>
  <c r="S772" i="7"/>
  <c r="S418" i="7"/>
  <c r="S417" i="7"/>
  <c r="S416" i="7"/>
  <c r="S415" i="7"/>
  <c r="S414" i="7"/>
  <c r="S413" i="7"/>
  <c r="S412" i="7"/>
  <c r="S411" i="7"/>
  <c r="S771" i="7"/>
  <c r="S409" i="7"/>
  <c r="S392" i="7"/>
  <c r="S391" i="7"/>
  <c r="S390" i="7"/>
  <c r="S389" i="7"/>
  <c r="S388" i="7"/>
  <c r="S387" i="7"/>
  <c r="S386" i="7"/>
  <c r="S410" i="7"/>
  <c r="S747" i="7"/>
  <c r="S746" i="7"/>
  <c r="S745" i="7"/>
  <c r="S744" i="7"/>
  <c r="S743" i="7"/>
  <c r="S742" i="7"/>
  <c r="S741" i="7"/>
  <c r="S740" i="7"/>
  <c r="S738" i="7"/>
  <c r="S367" i="7"/>
  <c r="S366" i="7"/>
  <c r="S365" i="7"/>
  <c r="S364" i="7"/>
  <c r="S363" i="7"/>
  <c r="S362" i="7"/>
  <c r="S385" i="7"/>
  <c r="S384" i="7"/>
  <c r="S383" i="7"/>
  <c r="S715" i="7"/>
  <c r="S714" i="7"/>
  <c r="S713" i="7"/>
  <c r="S712" i="7"/>
  <c r="S711" i="7"/>
  <c r="S710" i="7"/>
  <c r="S709" i="7"/>
  <c r="S708" i="7"/>
  <c r="S706" i="7"/>
  <c r="S360" i="7"/>
  <c r="S361" i="7"/>
  <c r="S359" i="7"/>
  <c r="S595" i="7"/>
  <c r="S589" i="7"/>
  <c r="S475" i="7"/>
  <c r="S474" i="7"/>
  <c r="S473" i="7"/>
  <c r="S472" i="7"/>
  <c r="S471" i="7"/>
  <c r="S470" i="7"/>
  <c r="S490" i="7"/>
  <c r="S353" i="7"/>
  <c r="S338" i="7"/>
  <c r="S337" i="7"/>
  <c r="S336" i="7"/>
  <c r="S335" i="7"/>
  <c r="S334" i="7"/>
  <c r="S333" i="7"/>
  <c r="S37" i="7"/>
  <c r="R502" i="7"/>
  <c r="R500" i="7"/>
  <c r="R499" i="7"/>
  <c r="R503" i="7"/>
  <c r="R523" i="7"/>
  <c r="R527" i="7"/>
  <c r="R547" i="7"/>
  <c r="R551" i="7"/>
  <c r="R555" i="7"/>
  <c r="R524" i="7"/>
  <c r="R528" i="7"/>
  <c r="R548" i="7"/>
  <c r="R552" i="7"/>
  <c r="R556" i="7"/>
  <c r="R39" i="7"/>
  <c r="R704" i="7"/>
  <c r="R689" i="7" s="1"/>
  <c r="R101" i="7" s="1"/>
  <c r="R736" i="7"/>
  <c r="R721" i="7" s="1"/>
  <c r="R102" i="7" s="1"/>
  <c r="R768" i="7"/>
  <c r="R753" i="7" s="1"/>
  <c r="R103" i="7" s="1"/>
  <c r="R498" i="7"/>
  <c r="R354" i="7"/>
  <c r="R496" i="7"/>
  <c r="R504" i="7"/>
  <c r="R497" i="7"/>
  <c r="R501" i="7"/>
  <c r="R521" i="7"/>
  <c r="R525" i="7"/>
  <c r="R529" i="7"/>
  <c r="R549" i="7"/>
  <c r="R553" i="7"/>
  <c r="R491" i="7"/>
  <c r="R522" i="7"/>
  <c r="R526" i="7"/>
  <c r="R530" i="7"/>
  <c r="R550" i="7"/>
  <c r="R554" i="7"/>
  <c r="E442" i="7" l="1"/>
  <c r="E441" i="7"/>
  <c r="E438" i="7"/>
  <c r="E436" i="7"/>
  <c r="E437" i="7"/>
  <c r="E439" i="7"/>
  <c r="E440" i="7"/>
  <c r="Y29" i="7"/>
  <c r="Y649" i="7"/>
  <c r="Y60" i="7"/>
  <c r="Y655" i="7"/>
  <c r="Y656" i="7" s="1"/>
  <c r="Y664" i="7"/>
  <c r="Y665" i="7" s="1"/>
  <c r="Y662" i="7"/>
  <c r="Y644" i="7" s="1"/>
  <c r="Y661" i="7"/>
  <c r="Y660" i="7"/>
  <c r="Y31" i="7"/>
  <c r="Y61" i="7" s="1"/>
  <c r="Y643" i="7"/>
  <c r="Y651" i="7"/>
  <c r="Z196" i="7"/>
  <c r="X650" i="7"/>
  <c r="X642" i="7" s="1"/>
  <c r="Y648" i="7"/>
  <c r="Y676" i="7"/>
  <c r="Y682" i="7"/>
  <c r="Y484" i="7"/>
  <c r="Y347" i="7"/>
  <c r="Y683" i="7"/>
  <c r="X95" i="7"/>
  <c r="Y594" i="7"/>
  <c r="Y588" i="7"/>
  <c r="Y634" i="7"/>
  <c r="Y630" i="7"/>
  <c r="Y626" i="7"/>
  <c r="Y622" i="7"/>
  <c r="Y38" i="7"/>
  <c r="Y42" i="7"/>
  <c r="Y35" i="7"/>
  <c r="R495" i="7"/>
  <c r="Y758" i="7"/>
  <c r="Y735" i="7"/>
  <c r="Y766" i="7"/>
  <c r="Y764" i="7"/>
  <c r="Y762" i="7"/>
  <c r="Y760" i="7"/>
  <c r="Y761" i="7"/>
  <c r="Y767" i="7"/>
  <c r="Y733" i="7"/>
  <c r="Y731" i="7"/>
  <c r="Y763" i="7"/>
  <c r="Y759" i="7"/>
  <c r="Y765" i="7"/>
  <c r="Y734" i="7"/>
  <c r="Y732" i="7"/>
  <c r="Y730" i="7"/>
  <c r="Y728" i="7"/>
  <c r="Y726" i="7"/>
  <c r="Y702" i="7"/>
  <c r="Y703" i="7"/>
  <c r="Y701" i="7"/>
  <c r="Y700" i="7"/>
  <c r="Y698" i="7"/>
  <c r="Y696" i="7"/>
  <c r="Y694" i="7"/>
  <c r="Y729" i="7"/>
  <c r="Y727" i="7"/>
  <c r="Y699" i="7"/>
  <c r="Y697" i="7"/>
  <c r="Y695" i="7"/>
  <c r="Y62" i="7"/>
  <c r="Y28" i="7"/>
  <c r="Z2" i="7"/>
  <c r="C232" i="7"/>
  <c r="T677" i="7"/>
  <c r="S358" i="7"/>
  <c r="T779" i="7"/>
  <c r="T778" i="7"/>
  <c r="T777" i="7"/>
  <c r="T776" i="7"/>
  <c r="T774" i="7"/>
  <c r="T772" i="7"/>
  <c r="T771" i="7"/>
  <c r="T418" i="7"/>
  <c r="T417" i="7"/>
  <c r="T416" i="7"/>
  <c r="T415" i="7"/>
  <c r="T414" i="7"/>
  <c r="T413" i="7"/>
  <c r="T412" i="7"/>
  <c r="T411" i="7"/>
  <c r="T410" i="7"/>
  <c r="T409" i="7"/>
  <c r="T747" i="7"/>
  <c r="T746" i="7"/>
  <c r="T745" i="7"/>
  <c r="T744" i="7"/>
  <c r="T743" i="7"/>
  <c r="T742" i="7"/>
  <c r="T741" i="7"/>
  <c r="T740" i="7"/>
  <c r="T738" i="7"/>
  <c r="T392" i="7"/>
  <c r="T391" i="7"/>
  <c r="T390" i="7"/>
  <c r="T389" i="7"/>
  <c r="T388" i="7"/>
  <c r="T387" i="7"/>
  <c r="T386" i="7"/>
  <c r="T385" i="7"/>
  <c r="T384" i="7"/>
  <c r="T383" i="7"/>
  <c r="T715" i="7"/>
  <c r="T714" i="7"/>
  <c r="T713" i="7"/>
  <c r="T712" i="7"/>
  <c r="T711" i="7"/>
  <c r="T710" i="7"/>
  <c r="T709" i="7"/>
  <c r="T708" i="7"/>
  <c r="T706" i="7"/>
  <c r="T367" i="7"/>
  <c r="T366" i="7"/>
  <c r="T365" i="7"/>
  <c r="T364" i="7"/>
  <c r="T363" i="7"/>
  <c r="T362" i="7"/>
  <c r="T361" i="7"/>
  <c r="T360" i="7"/>
  <c r="T359" i="7"/>
  <c r="T595" i="7"/>
  <c r="T589" i="7"/>
  <c r="T490" i="7"/>
  <c r="T475" i="7"/>
  <c r="T474" i="7"/>
  <c r="T473" i="7"/>
  <c r="T472" i="7"/>
  <c r="T471" i="7"/>
  <c r="T470" i="7"/>
  <c r="T338" i="7"/>
  <c r="T337" i="7"/>
  <c r="T336" i="7"/>
  <c r="T335" i="7"/>
  <c r="T334" i="7"/>
  <c r="T333" i="7"/>
  <c r="T353" i="7"/>
  <c r="T37" i="7"/>
  <c r="S354" i="7"/>
  <c r="S497" i="7"/>
  <c r="S499" i="7"/>
  <c r="S496" i="7"/>
  <c r="S500" i="7"/>
  <c r="S504" i="7"/>
  <c r="S524" i="7"/>
  <c r="S528" i="7"/>
  <c r="S548" i="7"/>
  <c r="S552" i="7"/>
  <c r="S556" i="7"/>
  <c r="S521" i="7"/>
  <c r="S525" i="7"/>
  <c r="S529" i="7"/>
  <c r="S549" i="7"/>
  <c r="S553" i="7"/>
  <c r="S491" i="7"/>
  <c r="R104" i="7"/>
  <c r="S39" i="7"/>
  <c r="S704" i="7"/>
  <c r="S689" i="7" s="1"/>
  <c r="S101" i="7" s="1"/>
  <c r="S736" i="7"/>
  <c r="S721" i="7" s="1"/>
  <c r="S102" i="7" s="1"/>
  <c r="S501" i="7"/>
  <c r="S503" i="7"/>
  <c r="S498" i="7"/>
  <c r="S502" i="7"/>
  <c r="S522" i="7"/>
  <c r="S526" i="7"/>
  <c r="S530" i="7"/>
  <c r="S550" i="7"/>
  <c r="S554" i="7"/>
  <c r="S523" i="7"/>
  <c r="S527" i="7"/>
  <c r="S547" i="7"/>
  <c r="S551" i="7"/>
  <c r="S555" i="7"/>
  <c r="S768" i="7"/>
  <c r="S753" i="7" s="1"/>
  <c r="S103" i="7" s="1"/>
  <c r="E443" i="7" l="1"/>
  <c r="Z649" i="7"/>
  <c r="Z29" i="7"/>
  <c r="Z60" i="7"/>
  <c r="Z655" i="7"/>
  <c r="Z656" i="7" s="1"/>
  <c r="Z664" i="7"/>
  <c r="Z665" i="7" s="1"/>
  <c r="Z662" i="7"/>
  <c r="Z644" i="7" s="1"/>
  <c r="Z661" i="7"/>
  <c r="Z660" i="7"/>
  <c r="Z643" i="7"/>
  <c r="Z31" i="7"/>
  <c r="Z61" i="7" s="1"/>
  <c r="Z651" i="7"/>
  <c r="AA196" i="7"/>
  <c r="Y650" i="7"/>
  <c r="Y642" i="7" s="1"/>
  <c r="Z648" i="7"/>
  <c r="Z682" i="7"/>
  <c r="Z676" i="7"/>
  <c r="Z484" i="7"/>
  <c r="Z347" i="7"/>
  <c r="Y95" i="7"/>
  <c r="Z683" i="7"/>
  <c r="Z594" i="7"/>
  <c r="Z622" i="7"/>
  <c r="Z588" i="7"/>
  <c r="Z634" i="7"/>
  <c r="Z630" i="7"/>
  <c r="Z626" i="7"/>
  <c r="Z38" i="7"/>
  <c r="Z42" i="7"/>
  <c r="Z35" i="7"/>
  <c r="S495" i="7"/>
  <c r="Z767" i="7"/>
  <c r="Z765" i="7"/>
  <c r="Z763" i="7"/>
  <c r="Z761" i="7"/>
  <c r="Z759" i="7"/>
  <c r="Z764" i="7"/>
  <c r="Z760" i="7"/>
  <c r="Z758" i="7"/>
  <c r="Z734" i="7"/>
  <c r="Z733" i="7"/>
  <c r="Z732" i="7"/>
  <c r="Z731" i="7"/>
  <c r="Z730" i="7"/>
  <c r="Z729" i="7"/>
  <c r="Z728" i="7"/>
  <c r="Z727" i="7"/>
  <c r="Z726" i="7"/>
  <c r="Z703" i="7"/>
  <c r="Z702" i="7"/>
  <c r="Z701" i="7"/>
  <c r="Z766" i="7"/>
  <c r="Z762" i="7"/>
  <c r="Z735" i="7"/>
  <c r="Z694" i="7"/>
  <c r="Z699" i="7"/>
  <c r="Z697" i="7"/>
  <c r="Z695" i="7"/>
  <c r="Z700" i="7"/>
  <c r="Z698" i="7"/>
  <c r="Z696" i="7"/>
  <c r="Z62" i="7"/>
  <c r="Z28" i="7"/>
  <c r="AA2" i="7"/>
  <c r="U677" i="7"/>
  <c r="T358" i="7"/>
  <c r="T768" i="7"/>
  <c r="T753" i="7" s="1"/>
  <c r="T103" i="7" s="1"/>
  <c r="U779" i="7"/>
  <c r="U778" i="7"/>
  <c r="U777" i="7"/>
  <c r="U775" i="7"/>
  <c r="U774" i="7"/>
  <c r="U772" i="7"/>
  <c r="U771" i="7"/>
  <c r="U418" i="7"/>
  <c r="U417" i="7"/>
  <c r="U416" i="7"/>
  <c r="U415" i="7"/>
  <c r="U414" i="7"/>
  <c r="U413" i="7"/>
  <c r="U412" i="7"/>
  <c r="U411" i="7"/>
  <c r="U410" i="7"/>
  <c r="U392" i="7"/>
  <c r="U391" i="7"/>
  <c r="U390" i="7"/>
  <c r="U389" i="7"/>
  <c r="U388" i="7"/>
  <c r="U387" i="7"/>
  <c r="U386" i="7"/>
  <c r="U409" i="7"/>
  <c r="U747" i="7"/>
  <c r="U746" i="7"/>
  <c r="U745" i="7"/>
  <c r="U744" i="7"/>
  <c r="U743" i="7"/>
  <c r="U742" i="7"/>
  <c r="U741" i="7"/>
  <c r="U740" i="7"/>
  <c r="U738" i="7"/>
  <c r="U385" i="7"/>
  <c r="U367" i="7"/>
  <c r="U366" i="7"/>
  <c r="U365" i="7"/>
  <c r="U364" i="7"/>
  <c r="U363" i="7"/>
  <c r="U362" i="7"/>
  <c r="U384" i="7"/>
  <c r="U383" i="7"/>
  <c r="U715" i="7"/>
  <c r="U714" i="7"/>
  <c r="U713" i="7"/>
  <c r="U712" i="7"/>
  <c r="U711" i="7"/>
  <c r="U710" i="7"/>
  <c r="U709" i="7"/>
  <c r="U708" i="7"/>
  <c r="U706" i="7"/>
  <c r="U361" i="7"/>
  <c r="U360" i="7"/>
  <c r="U359" i="7"/>
  <c r="U595" i="7"/>
  <c r="U589" i="7"/>
  <c r="U475" i="7"/>
  <c r="U474" i="7"/>
  <c r="U473" i="7"/>
  <c r="U472" i="7"/>
  <c r="U471" i="7"/>
  <c r="U470" i="7"/>
  <c r="U490" i="7"/>
  <c r="U353" i="7"/>
  <c r="U338" i="7"/>
  <c r="U337" i="7"/>
  <c r="U336" i="7"/>
  <c r="U335" i="7"/>
  <c r="U334" i="7"/>
  <c r="U333" i="7"/>
  <c r="U37" i="7"/>
  <c r="T500" i="7"/>
  <c r="T354" i="7"/>
  <c r="T498" i="7"/>
  <c r="T499" i="7"/>
  <c r="T503" i="7"/>
  <c r="T523" i="7"/>
  <c r="T527" i="7"/>
  <c r="T547" i="7"/>
  <c r="T551" i="7"/>
  <c r="T555" i="7"/>
  <c r="T524" i="7"/>
  <c r="T528" i="7"/>
  <c r="T548" i="7"/>
  <c r="T552" i="7"/>
  <c r="T556" i="7"/>
  <c r="T39" i="7"/>
  <c r="T704" i="7"/>
  <c r="T689" i="7" s="1"/>
  <c r="T101" i="7" s="1"/>
  <c r="T736" i="7"/>
  <c r="T721" i="7" s="1"/>
  <c r="T102" i="7" s="1"/>
  <c r="T496" i="7"/>
  <c r="T504" i="7"/>
  <c r="T502" i="7"/>
  <c r="T497" i="7"/>
  <c r="T501" i="7"/>
  <c r="T521" i="7"/>
  <c r="T525" i="7"/>
  <c r="T529" i="7"/>
  <c r="T549" i="7"/>
  <c r="T553" i="7"/>
  <c r="T491" i="7"/>
  <c r="T522" i="7"/>
  <c r="T526" i="7"/>
  <c r="T530" i="7"/>
  <c r="T550" i="7"/>
  <c r="T554" i="7"/>
  <c r="S104" i="7"/>
  <c r="AA649" i="7" l="1"/>
  <c r="AA29" i="7"/>
  <c r="AA60" i="7"/>
  <c r="AA655" i="7"/>
  <c r="AA656" i="7" s="1"/>
  <c r="AA662" i="7"/>
  <c r="AA644" i="7" s="1"/>
  <c r="AA661" i="7"/>
  <c r="AA660" i="7"/>
  <c r="AA664" i="7"/>
  <c r="AA665" i="7" s="1"/>
  <c r="Z642" i="7"/>
  <c r="AA31" i="7"/>
  <c r="AA61" i="7" s="1"/>
  <c r="AA643" i="7"/>
  <c r="AA651" i="7"/>
  <c r="AB196" i="7"/>
  <c r="Z650" i="7"/>
  <c r="AA648" i="7"/>
  <c r="AA676" i="7"/>
  <c r="AA682" i="7"/>
  <c r="Z95" i="7"/>
  <c r="AA484" i="7"/>
  <c r="AA347" i="7"/>
  <c r="AA683" i="7"/>
  <c r="AA594" i="7"/>
  <c r="AA588" i="7"/>
  <c r="AA634" i="7"/>
  <c r="AA630" i="7"/>
  <c r="AA626" i="7"/>
  <c r="AA622" i="7"/>
  <c r="AA38" i="7"/>
  <c r="AA42" i="7"/>
  <c r="AA35" i="7"/>
  <c r="T495" i="7"/>
  <c r="AA767" i="7"/>
  <c r="AA766" i="7"/>
  <c r="AA765" i="7"/>
  <c r="AA764" i="7"/>
  <c r="AA763" i="7"/>
  <c r="AA762" i="7"/>
  <c r="AA761" i="7"/>
  <c r="AA760" i="7"/>
  <c r="AA759" i="7"/>
  <c r="AA735" i="7"/>
  <c r="AA734" i="7"/>
  <c r="AA732" i="7"/>
  <c r="AA730" i="7"/>
  <c r="AA758" i="7"/>
  <c r="AA733" i="7"/>
  <c r="AA731" i="7"/>
  <c r="AA729" i="7"/>
  <c r="AA727" i="7"/>
  <c r="AA703" i="7"/>
  <c r="AA699" i="7"/>
  <c r="AA697" i="7"/>
  <c r="AA695" i="7"/>
  <c r="AA726" i="7"/>
  <c r="AA702" i="7"/>
  <c r="AA700" i="7"/>
  <c r="AA698" i="7"/>
  <c r="AA696" i="7"/>
  <c r="AA694" i="7"/>
  <c r="AA728" i="7"/>
  <c r="AA701" i="7"/>
  <c r="AA28" i="7"/>
  <c r="AA62" i="7"/>
  <c r="AB2" i="7"/>
  <c r="V677" i="7"/>
  <c r="U358" i="7"/>
  <c r="U768" i="7"/>
  <c r="U753" i="7" s="1"/>
  <c r="U103" i="7" s="1"/>
  <c r="V779" i="7"/>
  <c r="V778" i="7"/>
  <c r="V777" i="7"/>
  <c r="V775" i="7"/>
  <c r="V774" i="7"/>
  <c r="V772" i="7"/>
  <c r="V771" i="7"/>
  <c r="V418" i="7"/>
  <c r="V417" i="7"/>
  <c r="V416" i="7"/>
  <c r="V415" i="7"/>
  <c r="V414" i="7"/>
  <c r="V413" i="7"/>
  <c r="V412" i="7"/>
  <c r="V411" i="7"/>
  <c r="V410" i="7"/>
  <c r="V409" i="7"/>
  <c r="V747" i="7"/>
  <c r="V746" i="7"/>
  <c r="V745" i="7"/>
  <c r="V744" i="7"/>
  <c r="V743" i="7"/>
  <c r="V742" i="7"/>
  <c r="V741" i="7"/>
  <c r="V740" i="7"/>
  <c r="V738" i="7"/>
  <c r="V392" i="7"/>
  <c r="V391" i="7"/>
  <c r="V390" i="7"/>
  <c r="V389" i="7"/>
  <c r="V388" i="7"/>
  <c r="V387" i="7"/>
  <c r="V386" i="7"/>
  <c r="V385" i="7"/>
  <c r="V384" i="7"/>
  <c r="V383" i="7"/>
  <c r="V715" i="7"/>
  <c r="V714" i="7"/>
  <c r="V713" i="7"/>
  <c r="V712" i="7"/>
  <c r="V711" i="7"/>
  <c r="V710" i="7"/>
  <c r="V709" i="7"/>
  <c r="V708" i="7"/>
  <c r="V706" i="7"/>
  <c r="V367" i="7"/>
  <c r="V366" i="7"/>
  <c r="V365" i="7"/>
  <c r="V364" i="7"/>
  <c r="V363" i="7"/>
  <c r="V362" i="7"/>
  <c r="V361" i="7"/>
  <c r="V360" i="7"/>
  <c r="V359" i="7"/>
  <c r="V595" i="7"/>
  <c r="V589" i="7"/>
  <c r="V490" i="7"/>
  <c r="V475" i="7"/>
  <c r="V474" i="7"/>
  <c r="V473" i="7"/>
  <c r="V472" i="7"/>
  <c r="V471" i="7"/>
  <c r="V470" i="7"/>
  <c r="V338" i="7"/>
  <c r="V337" i="7"/>
  <c r="V336" i="7"/>
  <c r="V335" i="7"/>
  <c r="V334" i="7"/>
  <c r="V333" i="7"/>
  <c r="V353" i="7"/>
  <c r="V37" i="7"/>
  <c r="U354" i="7"/>
  <c r="U503" i="7"/>
  <c r="U497" i="7"/>
  <c r="U496" i="7"/>
  <c r="U500" i="7"/>
  <c r="U504" i="7"/>
  <c r="U524" i="7"/>
  <c r="U528" i="7"/>
  <c r="U548" i="7"/>
  <c r="U552" i="7"/>
  <c r="U556" i="7"/>
  <c r="U521" i="7"/>
  <c r="U525" i="7"/>
  <c r="U529" i="7"/>
  <c r="U549" i="7"/>
  <c r="U553" i="7"/>
  <c r="U491" i="7"/>
  <c r="T104" i="7"/>
  <c r="U39" i="7"/>
  <c r="U704" i="7"/>
  <c r="U689" i="7" s="1"/>
  <c r="U101" i="7" s="1"/>
  <c r="U736" i="7"/>
  <c r="U721" i="7" s="1"/>
  <c r="U102" i="7" s="1"/>
  <c r="U499" i="7"/>
  <c r="U501" i="7"/>
  <c r="U498" i="7"/>
  <c r="U502" i="7"/>
  <c r="U522" i="7"/>
  <c r="U526" i="7"/>
  <c r="U530" i="7"/>
  <c r="U550" i="7"/>
  <c r="U554" i="7"/>
  <c r="U523" i="7"/>
  <c r="U527" i="7"/>
  <c r="U547" i="7"/>
  <c r="U551" i="7"/>
  <c r="U555" i="7"/>
  <c r="AB649" i="7" l="1"/>
  <c r="AB29" i="7"/>
  <c r="AB60" i="7"/>
  <c r="AB655" i="7"/>
  <c r="AB656" i="7" s="1"/>
  <c r="AB664" i="7"/>
  <c r="AB665" i="7" s="1"/>
  <c r="AB662" i="7"/>
  <c r="AB644" i="7" s="1"/>
  <c r="AB661" i="7"/>
  <c r="AB660" i="7"/>
  <c r="AB31" i="7"/>
  <c r="AB61" i="7" s="1"/>
  <c r="AB643" i="7"/>
  <c r="AB651" i="7"/>
  <c r="AC196" i="7"/>
  <c r="AA650" i="7"/>
  <c r="AA642" i="7" s="1"/>
  <c r="AB648" i="7"/>
  <c r="AB682" i="7"/>
  <c r="AB676" i="7"/>
  <c r="AB484" i="7"/>
  <c r="AB347" i="7"/>
  <c r="AA95" i="7"/>
  <c r="AB683" i="7"/>
  <c r="AB630" i="7"/>
  <c r="AB622" i="7"/>
  <c r="AB594" i="7"/>
  <c r="AB588" i="7"/>
  <c r="AB634" i="7"/>
  <c r="AB626" i="7"/>
  <c r="AB38" i="7"/>
  <c r="AB35" i="7"/>
  <c r="AB42" i="7"/>
  <c r="U495" i="7"/>
  <c r="AB767" i="7"/>
  <c r="AB765" i="7"/>
  <c r="AB763" i="7"/>
  <c r="AB761" i="7"/>
  <c r="AB735" i="7"/>
  <c r="AB762" i="7"/>
  <c r="AB759" i="7"/>
  <c r="AB734" i="7"/>
  <c r="AB732" i="7"/>
  <c r="AB764" i="7"/>
  <c r="AB758" i="7"/>
  <c r="AB766" i="7"/>
  <c r="AB760" i="7"/>
  <c r="AB733" i="7"/>
  <c r="AB731" i="7"/>
  <c r="AB729" i="7"/>
  <c r="AB727" i="7"/>
  <c r="AB703" i="7"/>
  <c r="AB701" i="7"/>
  <c r="AB700" i="7"/>
  <c r="AB699" i="7"/>
  <c r="AB698" i="7"/>
  <c r="AB697" i="7"/>
  <c r="AB696" i="7"/>
  <c r="AB695" i="7"/>
  <c r="AB694" i="7"/>
  <c r="AB726" i="7"/>
  <c r="AB702" i="7"/>
  <c r="AB730" i="7"/>
  <c r="AB728" i="7"/>
  <c r="AB28" i="7"/>
  <c r="AB62" i="7"/>
  <c r="AC2" i="7"/>
  <c r="W677" i="7"/>
  <c r="V704" i="7"/>
  <c r="V689" i="7" s="1"/>
  <c r="V101" i="7" s="1"/>
  <c r="V768" i="7"/>
  <c r="V753" i="7" s="1"/>
  <c r="V103" i="7" s="1"/>
  <c r="V358" i="7"/>
  <c r="V39" i="7"/>
  <c r="V736" i="7"/>
  <c r="V721" i="7" s="1"/>
  <c r="V102" i="7" s="1"/>
  <c r="W779" i="7"/>
  <c r="W778" i="7"/>
  <c r="W777" i="7"/>
  <c r="W775" i="7"/>
  <c r="W773" i="7"/>
  <c r="W772" i="7"/>
  <c r="W418" i="7"/>
  <c r="W417" i="7"/>
  <c r="W416" i="7"/>
  <c r="W415" i="7"/>
  <c r="W414" i="7"/>
  <c r="W413" i="7"/>
  <c r="W412" i="7"/>
  <c r="W411" i="7"/>
  <c r="W770" i="7"/>
  <c r="W409" i="7"/>
  <c r="W392" i="7"/>
  <c r="W391" i="7"/>
  <c r="W390" i="7"/>
  <c r="W389" i="7"/>
  <c r="W388" i="7"/>
  <c r="W387" i="7"/>
  <c r="W386" i="7"/>
  <c r="W410" i="7"/>
  <c r="W747" i="7"/>
  <c r="W746" i="7"/>
  <c r="W745" i="7"/>
  <c r="W744" i="7"/>
  <c r="W743" i="7"/>
  <c r="W742" i="7"/>
  <c r="W741" i="7"/>
  <c r="W740" i="7"/>
  <c r="W738" i="7"/>
  <c r="W367" i="7"/>
  <c r="W366" i="7"/>
  <c r="W365" i="7"/>
  <c r="W364" i="7"/>
  <c r="W363" i="7"/>
  <c r="W362" i="7"/>
  <c r="W385" i="7"/>
  <c r="W384" i="7"/>
  <c r="W383" i="7"/>
  <c r="W715" i="7"/>
  <c r="W714" i="7"/>
  <c r="W713" i="7"/>
  <c r="W712" i="7"/>
  <c r="W711" i="7"/>
  <c r="W710" i="7"/>
  <c r="W709" i="7"/>
  <c r="W708" i="7"/>
  <c r="W706" i="7"/>
  <c r="W360" i="7"/>
  <c r="W361" i="7"/>
  <c r="W359" i="7"/>
  <c r="W595" i="7"/>
  <c r="W589" i="7"/>
  <c r="W475" i="7"/>
  <c r="W474" i="7"/>
  <c r="W473" i="7"/>
  <c r="W472" i="7"/>
  <c r="W471" i="7"/>
  <c r="W470" i="7"/>
  <c r="W490" i="7"/>
  <c r="W353" i="7"/>
  <c r="W338" i="7"/>
  <c r="W337" i="7"/>
  <c r="W336" i="7"/>
  <c r="W335" i="7"/>
  <c r="W334" i="7"/>
  <c r="W333" i="7"/>
  <c r="W37" i="7"/>
  <c r="V498" i="7"/>
  <c r="V354" i="7"/>
  <c r="V496" i="7"/>
  <c r="V504" i="7"/>
  <c r="V497" i="7"/>
  <c r="V501" i="7"/>
  <c r="V521" i="7"/>
  <c r="V525" i="7"/>
  <c r="V529" i="7"/>
  <c r="V549" i="7"/>
  <c r="V553" i="7"/>
  <c r="V491" i="7"/>
  <c r="V522" i="7"/>
  <c r="V526" i="7"/>
  <c r="V530" i="7"/>
  <c r="V550" i="7"/>
  <c r="V554" i="7"/>
  <c r="V502" i="7"/>
  <c r="V500" i="7"/>
  <c r="V499" i="7"/>
  <c r="V503" i="7"/>
  <c r="V523" i="7"/>
  <c r="V527" i="7"/>
  <c r="V547" i="7"/>
  <c r="V551" i="7"/>
  <c r="V555" i="7"/>
  <c r="V524" i="7"/>
  <c r="V528" i="7"/>
  <c r="V548" i="7"/>
  <c r="V552" i="7"/>
  <c r="V556" i="7"/>
  <c r="U104" i="7"/>
  <c r="AC29" i="7" l="1"/>
  <c r="AC649" i="7"/>
  <c r="AC60" i="7"/>
  <c r="AC655" i="7"/>
  <c r="AC656" i="7" s="1"/>
  <c r="AC664" i="7"/>
  <c r="AC665" i="7" s="1"/>
  <c r="AC662" i="7"/>
  <c r="AC644" i="7" s="1"/>
  <c r="AC661" i="7"/>
  <c r="AC660" i="7"/>
  <c r="AC643" i="7"/>
  <c r="AC31" i="7"/>
  <c r="AC61" i="7" s="1"/>
  <c r="AC651" i="7"/>
  <c r="AD196" i="7"/>
  <c r="AB650" i="7"/>
  <c r="AB642" i="7" s="1"/>
  <c r="AC648" i="7"/>
  <c r="AC682" i="7"/>
  <c r="AC676" i="7"/>
  <c r="AB95" i="7"/>
  <c r="AC484" i="7"/>
  <c r="AC347" i="7"/>
  <c r="AC683" i="7"/>
  <c r="AC594" i="7"/>
  <c r="AC588" i="7"/>
  <c r="AC634" i="7"/>
  <c r="AC630" i="7"/>
  <c r="AC626" i="7"/>
  <c r="AC622" i="7"/>
  <c r="AC38" i="7"/>
  <c r="AC42" i="7"/>
  <c r="AC35" i="7"/>
  <c r="V495" i="7"/>
  <c r="AC766" i="7"/>
  <c r="AC764" i="7"/>
  <c r="AC762" i="7"/>
  <c r="AC760" i="7"/>
  <c r="AC758" i="7"/>
  <c r="AC735" i="7"/>
  <c r="AC765" i="7"/>
  <c r="AC761" i="7"/>
  <c r="AC767" i="7"/>
  <c r="AC759" i="7"/>
  <c r="AC726" i="7"/>
  <c r="AC763" i="7"/>
  <c r="AC733" i="7"/>
  <c r="AC731" i="7"/>
  <c r="AC729" i="7"/>
  <c r="AC734" i="7"/>
  <c r="AC732" i="7"/>
  <c r="AC730" i="7"/>
  <c r="AC728" i="7"/>
  <c r="AC727" i="7"/>
  <c r="AC700" i="7"/>
  <c r="AC698" i="7"/>
  <c r="AC696" i="7"/>
  <c r="AC694" i="7"/>
  <c r="AC701" i="7"/>
  <c r="AC703" i="7"/>
  <c r="AC702" i="7"/>
  <c r="AC699" i="7"/>
  <c r="AC697" i="7"/>
  <c r="AC695" i="7"/>
  <c r="AC62" i="7"/>
  <c r="AC28" i="7"/>
  <c r="AD2" i="7"/>
  <c r="W652" i="7"/>
  <c r="X677" i="7"/>
  <c r="W248" i="7"/>
  <c r="W211" i="7"/>
  <c r="W77" i="7"/>
  <c r="W93" i="7"/>
  <c r="V104" i="7"/>
  <c r="W358" i="7"/>
  <c r="W39" i="7"/>
  <c r="W736" i="7"/>
  <c r="W721" i="7" s="1"/>
  <c r="W102" i="7" s="1"/>
  <c r="W704" i="7"/>
  <c r="W689" i="7" s="1"/>
  <c r="W101" i="7" s="1"/>
  <c r="W501" i="7"/>
  <c r="W503" i="7"/>
  <c r="W498" i="7"/>
  <c r="W502" i="7"/>
  <c r="W522" i="7"/>
  <c r="W526" i="7"/>
  <c r="W530" i="7"/>
  <c r="W550" i="7"/>
  <c r="W554" i="7"/>
  <c r="W523" i="7"/>
  <c r="W527" i="7"/>
  <c r="W547" i="7"/>
  <c r="W551" i="7"/>
  <c r="W555" i="7"/>
  <c r="X669" i="7"/>
  <c r="W768" i="7"/>
  <c r="W753" i="7" s="1"/>
  <c r="W103" i="7" s="1"/>
  <c r="X779" i="7"/>
  <c r="X778" i="7"/>
  <c r="X776" i="7"/>
  <c r="X775" i="7"/>
  <c r="X773" i="7"/>
  <c r="X772" i="7"/>
  <c r="X770" i="7"/>
  <c r="X418" i="7"/>
  <c r="X417" i="7"/>
  <c r="X416" i="7"/>
  <c r="X415" i="7"/>
  <c r="X414" i="7"/>
  <c r="X412" i="7"/>
  <c r="X411" i="7"/>
  <c r="X410" i="7"/>
  <c r="X409" i="7"/>
  <c r="X747" i="7"/>
  <c r="X746" i="7"/>
  <c r="X745" i="7"/>
  <c r="X744" i="7"/>
  <c r="X743" i="7"/>
  <c r="X742" i="7"/>
  <c r="X741" i="7"/>
  <c r="X740" i="7"/>
  <c r="X738" i="7"/>
  <c r="X392" i="7"/>
  <c r="X391" i="7"/>
  <c r="X390" i="7"/>
  <c r="X389" i="7"/>
  <c r="X388" i="7"/>
  <c r="X387" i="7"/>
  <c r="X386" i="7"/>
  <c r="X385" i="7"/>
  <c r="X384" i="7"/>
  <c r="X383" i="7"/>
  <c r="X715" i="7"/>
  <c r="X714" i="7"/>
  <c r="X713" i="7"/>
  <c r="X712" i="7"/>
  <c r="X711" i="7"/>
  <c r="X710" i="7"/>
  <c r="X709" i="7"/>
  <c r="X708" i="7"/>
  <c r="X706" i="7"/>
  <c r="X367" i="7"/>
  <c r="X366" i="7"/>
  <c r="X365" i="7"/>
  <c r="X364" i="7"/>
  <c r="X363" i="7"/>
  <c r="X362" i="7"/>
  <c r="X361" i="7"/>
  <c r="X360" i="7"/>
  <c r="X359" i="7"/>
  <c r="X595" i="7"/>
  <c r="X589" i="7"/>
  <c r="X490" i="7"/>
  <c r="X475" i="7"/>
  <c r="X474" i="7"/>
  <c r="X473" i="7"/>
  <c r="X472" i="7"/>
  <c r="X471" i="7"/>
  <c r="X470" i="7"/>
  <c r="X413" i="7"/>
  <c r="X338" i="7"/>
  <c r="X337" i="7"/>
  <c r="X336" i="7"/>
  <c r="X335" i="7"/>
  <c r="X334" i="7"/>
  <c r="X333" i="7"/>
  <c r="X353" i="7"/>
  <c r="X37" i="7"/>
  <c r="W354" i="7"/>
  <c r="W497" i="7"/>
  <c r="W499" i="7"/>
  <c r="W496" i="7"/>
  <c r="W500" i="7"/>
  <c r="W504" i="7"/>
  <c r="W524" i="7"/>
  <c r="W528" i="7"/>
  <c r="W548" i="7"/>
  <c r="W552" i="7"/>
  <c r="W556" i="7"/>
  <c r="W521" i="7"/>
  <c r="W525" i="7"/>
  <c r="W529" i="7"/>
  <c r="W549" i="7"/>
  <c r="W553" i="7"/>
  <c r="W491" i="7"/>
  <c r="AD649" i="7" l="1"/>
  <c r="AD29" i="7"/>
  <c r="AD60" i="7"/>
  <c r="AD655" i="7"/>
  <c r="AD656" i="7" s="1"/>
  <c r="AD664" i="7"/>
  <c r="AD665" i="7" s="1"/>
  <c r="AD662" i="7"/>
  <c r="AD644" i="7" s="1"/>
  <c r="AD661" i="7"/>
  <c r="AD660" i="7"/>
  <c r="AD643" i="7"/>
  <c r="AD31" i="7"/>
  <c r="AD61" i="7" s="1"/>
  <c r="AD651" i="7"/>
  <c r="AE196" i="7"/>
  <c r="AC650" i="7"/>
  <c r="AC642" i="7" s="1"/>
  <c r="AD648" i="7"/>
  <c r="AD682" i="7"/>
  <c r="AD676" i="7"/>
  <c r="AD484" i="7"/>
  <c r="AD347" i="7"/>
  <c r="AC95" i="7"/>
  <c r="AD683" i="7"/>
  <c r="AD634" i="7"/>
  <c r="AD630" i="7"/>
  <c r="AD626" i="7"/>
  <c r="AD622" i="7"/>
  <c r="AD594" i="7"/>
  <c r="AD588" i="7"/>
  <c r="AD38" i="7"/>
  <c r="AD42" i="7"/>
  <c r="AD35" i="7"/>
  <c r="W495" i="7"/>
  <c r="AD766" i="7"/>
  <c r="AD764" i="7"/>
  <c r="AD762" i="7"/>
  <c r="AD760" i="7"/>
  <c r="AD759" i="7"/>
  <c r="AD734" i="7"/>
  <c r="AD733" i="7"/>
  <c r="AD732" i="7"/>
  <c r="AD731" i="7"/>
  <c r="AD730" i="7"/>
  <c r="AD729" i="7"/>
  <c r="AD728" i="7"/>
  <c r="AD727" i="7"/>
  <c r="AD726" i="7"/>
  <c r="AD703" i="7"/>
  <c r="AD702" i="7"/>
  <c r="AD701" i="7"/>
  <c r="AD763" i="7"/>
  <c r="AD758" i="7"/>
  <c r="AD765" i="7"/>
  <c r="AD767" i="7"/>
  <c r="AD761" i="7"/>
  <c r="AD735" i="7"/>
  <c r="AD700" i="7"/>
  <c r="AD698" i="7"/>
  <c r="AD696" i="7"/>
  <c r="AD694" i="7"/>
  <c r="AD699" i="7"/>
  <c r="AD697" i="7"/>
  <c r="AD695" i="7"/>
  <c r="AD62" i="7"/>
  <c r="AD28" i="7"/>
  <c r="AE2" i="7"/>
  <c r="X652" i="7"/>
  <c r="Y677" i="7"/>
  <c r="X248" i="7"/>
  <c r="X211" i="7"/>
  <c r="X77" i="7"/>
  <c r="X358" i="7"/>
  <c r="W104" i="7"/>
  <c r="X500" i="7"/>
  <c r="X354" i="7"/>
  <c r="X498" i="7"/>
  <c r="X499" i="7"/>
  <c r="X503" i="7"/>
  <c r="X523" i="7"/>
  <c r="X527" i="7"/>
  <c r="X547" i="7"/>
  <c r="X551" i="7"/>
  <c r="X555" i="7"/>
  <c r="X524" i="7"/>
  <c r="X528" i="7"/>
  <c r="X548" i="7"/>
  <c r="X552" i="7"/>
  <c r="X556" i="7"/>
  <c r="Y669" i="7"/>
  <c r="X39" i="7"/>
  <c r="X93" i="7"/>
  <c r="X704" i="7"/>
  <c r="X689" i="7" s="1"/>
  <c r="X101" i="7" s="1"/>
  <c r="X736" i="7"/>
  <c r="X721" i="7" s="1"/>
  <c r="X102" i="7" s="1"/>
  <c r="X768" i="7"/>
  <c r="X753" i="7" s="1"/>
  <c r="X103" i="7" s="1"/>
  <c r="Y779" i="7"/>
  <c r="Y778" i="7"/>
  <c r="Y776" i="7"/>
  <c r="Y775" i="7"/>
  <c r="Y773" i="7"/>
  <c r="Y772" i="7"/>
  <c r="Y418" i="7"/>
  <c r="Y417" i="7"/>
  <c r="Y416" i="7"/>
  <c r="Y415" i="7"/>
  <c r="Y414" i="7"/>
  <c r="Y413" i="7"/>
  <c r="Y412" i="7"/>
  <c r="Y411" i="7"/>
  <c r="Y770" i="7"/>
  <c r="Y410" i="7"/>
  <c r="Y392" i="7"/>
  <c r="Y391" i="7"/>
  <c r="Y390" i="7"/>
  <c r="Y389" i="7"/>
  <c r="Y388" i="7"/>
  <c r="Y387" i="7"/>
  <c r="Y386" i="7"/>
  <c r="Y409" i="7"/>
  <c r="Y747" i="7"/>
  <c r="Y746" i="7"/>
  <c r="Y745" i="7"/>
  <c r="Y744" i="7"/>
  <c r="Y743" i="7"/>
  <c r="Y742" i="7"/>
  <c r="Y741" i="7"/>
  <c r="Y740" i="7"/>
  <c r="Y738" i="7"/>
  <c r="Y385" i="7"/>
  <c r="Y367" i="7"/>
  <c r="Y366" i="7"/>
  <c r="Y365" i="7"/>
  <c r="Y364" i="7"/>
  <c r="Y363" i="7"/>
  <c r="Y362" i="7"/>
  <c r="Y384" i="7"/>
  <c r="Y383" i="7"/>
  <c r="Y715" i="7"/>
  <c r="Y714" i="7"/>
  <c r="Y713" i="7"/>
  <c r="Y712" i="7"/>
  <c r="Y711" i="7"/>
  <c r="Y710" i="7"/>
  <c r="Y709" i="7"/>
  <c r="Y708" i="7"/>
  <c r="Y706" i="7"/>
  <c r="Y361" i="7"/>
  <c r="Y360" i="7"/>
  <c r="Y359" i="7"/>
  <c r="Y595" i="7"/>
  <c r="Y589" i="7"/>
  <c r="Y475" i="7"/>
  <c r="Y474" i="7"/>
  <c r="Y473" i="7"/>
  <c r="Y472" i="7"/>
  <c r="Y471" i="7"/>
  <c r="Y470" i="7"/>
  <c r="Y490" i="7"/>
  <c r="Y353" i="7"/>
  <c r="Y338" i="7"/>
  <c r="Y337" i="7"/>
  <c r="Y336" i="7"/>
  <c r="Y335" i="7"/>
  <c r="Y334" i="7"/>
  <c r="Y333" i="7"/>
  <c r="Y37" i="7"/>
  <c r="X496" i="7"/>
  <c r="X504" i="7"/>
  <c r="X502" i="7"/>
  <c r="X497" i="7"/>
  <c r="X501" i="7"/>
  <c r="X521" i="7"/>
  <c r="X525" i="7"/>
  <c r="X529" i="7"/>
  <c r="X549" i="7"/>
  <c r="X553" i="7"/>
  <c r="X491" i="7"/>
  <c r="X522" i="7"/>
  <c r="X526" i="7"/>
  <c r="X530" i="7"/>
  <c r="X550" i="7"/>
  <c r="X554" i="7"/>
  <c r="AE649" i="7" l="1"/>
  <c r="AE29" i="7"/>
  <c r="AE60" i="7"/>
  <c r="AE655" i="7"/>
  <c r="AE656" i="7" s="1"/>
  <c r="AE662" i="7"/>
  <c r="AE644" i="7" s="1"/>
  <c r="AE661" i="7"/>
  <c r="AE660" i="7"/>
  <c r="AE664" i="7"/>
  <c r="AE665" i="7" s="1"/>
  <c r="AE31" i="7"/>
  <c r="AE61" i="7" s="1"/>
  <c r="AE643" i="7"/>
  <c r="AE651" i="7"/>
  <c r="AF196" i="7"/>
  <c r="AD650" i="7"/>
  <c r="AD642" i="7" s="1"/>
  <c r="AE648" i="7"/>
  <c r="AE676" i="7"/>
  <c r="AE682" i="7"/>
  <c r="AD95" i="7"/>
  <c r="AE484" i="7"/>
  <c r="AE347" i="7"/>
  <c r="AE683" i="7"/>
  <c r="AE594" i="7"/>
  <c r="AE588" i="7"/>
  <c r="AE634" i="7"/>
  <c r="AE630" i="7"/>
  <c r="AE622" i="7"/>
  <c r="AE626" i="7"/>
  <c r="AE38" i="7"/>
  <c r="AE42" i="7"/>
  <c r="AE35" i="7"/>
  <c r="W112" i="7"/>
  <c r="W113" i="7" s="1"/>
  <c r="X495" i="7"/>
  <c r="AE767" i="7"/>
  <c r="AE766" i="7"/>
  <c r="AE765" i="7"/>
  <c r="AE764" i="7"/>
  <c r="AE763" i="7"/>
  <c r="AE762" i="7"/>
  <c r="AE761" i="7"/>
  <c r="AE760" i="7"/>
  <c r="AE759" i="7"/>
  <c r="AE758" i="7"/>
  <c r="AE733" i="7"/>
  <c r="AE731" i="7"/>
  <c r="AE735" i="7"/>
  <c r="AE734" i="7"/>
  <c r="AE732" i="7"/>
  <c r="AE730" i="7"/>
  <c r="AE728" i="7"/>
  <c r="AE726" i="7"/>
  <c r="AE702" i="7"/>
  <c r="AE694" i="7"/>
  <c r="AE729" i="7"/>
  <c r="AE727" i="7"/>
  <c r="AE701" i="7"/>
  <c r="AE699" i="7"/>
  <c r="AE697" i="7"/>
  <c r="AE695" i="7"/>
  <c r="AE703" i="7"/>
  <c r="AE700" i="7"/>
  <c r="AE698" i="7"/>
  <c r="AE696" i="7"/>
  <c r="AE28" i="7"/>
  <c r="AE62" i="7"/>
  <c r="AF2" i="7"/>
  <c r="Y652" i="7"/>
  <c r="Z677" i="7"/>
  <c r="Y358" i="7"/>
  <c r="Y248" i="7"/>
  <c r="Y211" i="7"/>
  <c r="Y77" i="7"/>
  <c r="Y768" i="7"/>
  <c r="Y753" i="7" s="1"/>
  <c r="Y103" i="7" s="1"/>
  <c r="Y39" i="7"/>
  <c r="Z779" i="7"/>
  <c r="Z778" i="7"/>
  <c r="Z776" i="7"/>
  <c r="Z775" i="7"/>
  <c r="Z773" i="7"/>
  <c r="Z772" i="7"/>
  <c r="Z770" i="7"/>
  <c r="Z418" i="7"/>
  <c r="Z417" i="7"/>
  <c r="Z416" i="7"/>
  <c r="Z415" i="7"/>
  <c r="Z414" i="7"/>
  <c r="Z413" i="7"/>
  <c r="Z412" i="7"/>
  <c r="Z411" i="7"/>
  <c r="Z410" i="7"/>
  <c r="Z409" i="7"/>
  <c r="Z747" i="7"/>
  <c r="Z746" i="7"/>
  <c r="Z745" i="7"/>
  <c r="Z744" i="7"/>
  <c r="Z743" i="7"/>
  <c r="Z742" i="7"/>
  <c r="Z741" i="7"/>
  <c r="Z740" i="7"/>
  <c r="Z738" i="7"/>
  <c r="Z392" i="7"/>
  <c r="Z391" i="7"/>
  <c r="Z390" i="7"/>
  <c r="Z389" i="7"/>
  <c r="Z388" i="7"/>
  <c r="Z387" i="7"/>
  <c r="Z386" i="7"/>
  <c r="Z385" i="7"/>
  <c r="Z384" i="7"/>
  <c r="Z383" i="7"/>
  <c r="Z715" i="7"/>
  <c r="Z714" i="7"/>
  <c r="Z713" i="7"/>
  <c r="Z712" i="7"/>
  <c r="Z711" i="7"/>
  <c r="Z710" i="7"/>
  <c r="Z709" i="7"/>
  <c r="Z708" i="7"/>
  <c r="Z706" i="7"/>
  <c r="Z367" i="7"/>
  <c r="Z366" i="7"/>
  <c r="Z365" i="7"/>
  <c r="Z364" i="7"/>
  <c r="Z363" i="7"/>
  <c r="Z362" i="7"/>
  <c r="Z361" i="7"/>
  <c r="Z360" i="7"/>
  <c r="Z359" i="7"/>
  <c r="Z595" i="7"/>
  <c r="Z589" i="7"/>
  <c r="Z490" i="7"/>
  <c r="Z475" i="7"/>
  <c r="Z474" i="7"/>
  <c r="Z473" i="7"/>
  <c r="Z472" i="7"/>
  <c r="Z471" i="7"/>
  <c r="Z470" i="7"/>
  <c r="Z338" i="7"/>
  <c r="Z337" i="7"/>
  <c r="Z336" i="7"/>
  <c r="Z335" i="7"/>
  <c r="Z334" i="7"/>
  <c r="Z333" i="7"/>
  <c r="Z353" i="7"/>
  <c r="Z37" i="7"/>
  <c r="Y354" i="7"/>
  <c r="Y503" i="7"/>
  <c r="Y497" i="7"/>
  <c r="Y496" i="7"/>
  <c r="Y500" i="7"/>
  <c r="Y504" i="7"/>
  <c r="Y524" i="7"/>
  <c r="Y528" i="7"/>
  <c r="Y548" i="7"/>
  <c r="Y552" i="7"/>
  <c r="Y556" i="7"/>
  <c r="Y521" i="7"/>
  <c r="Y525" i="7"/>
  <c r="Y529" i="7"/>
  <c r="Y549" i="7"/>
  <c r="Y553" i="7"/>
  <c r="Y491" i="7"/>
  <c r="Y93" i="7"/>
  <c r="Y704" i="7"/>
  <c r="Y689" i="7" s="1"/>
  <c r="Y101" i="7" s="1"/>
  <c r="Y736" i="7"/>
  <c r="Y721" i="7" s="1"/>
  <c r="Y102" i="7" s="1"/>
  <c r="X104" i="7"/>
  <c r="Y499" i="7"/>
  <c r="Y501" i="7"/>
  <c r="Y498" i="7"/>
  <c r="Y502" i="7"/>
  <c r="Y522" i="7"/>
  <c r="Y526" i="7"/>
  <c r="Y530" i="7"/>
  <c r="Y550" i="7"/>
  <c r="Y554" i="7"/>
  <c r="Y523" i="7"/>
  <c r="Y527" i="7"/>
  <c r="Y547" i="7"/>
  <c r="Y551" i="7"/>
  <c r="Y555" i="7"/>
  <c r="Z669" i="7"/>
  <c r="AF649" i="7" l="1"/>
  <c r="AF29" i="7"/>
  <c r="AF60" i="7"/>
  <c r="AF655" i="7"/>
  <c r="AF656" i="7" s="1"/>
  <c r="AF664" i="7"/>
  <c r="AF665" i="7" s="1"/>
  <c r="AF662" i="7"/>
  <c r="AF644" i="7" s="1"/>
  <c r="AF661" i="7"/>
  <c r="AF660" i="7"/>
  <c r="AF31" i="7"/>
  <c r="AF61" i="7" s="1"/>
  <c r="AF643" i="7"/>
  <c r="AF651" i="7"/>
  <c r="AG196" i="7"/>
  <c r="AE650" i="7"/>
  <c r="AE642" i="7" s="1"/>
  <c r="AF648" i="7"/>
  <c r="AF682" i="7"/>
  <c r="AF676" i="7"/>
  <c r="AF484" i="7"/>
  <c r="AF347" i="7"/>
  <c r="AE95" i="7"/>
  <c r="AF683" i="7"/>
  <c r="W669" i="7"/>
  <c r="AF626" i="7"/>
  <c r="AF594" i="7"/>
  <c r="AF588" i="7"/>
  <c r="AF634" i="7"/>
  <c r="AF630" i="7"/>
  <c r="AF622" i="7"/>
  <c r="AF38" i="7"/>
  <c r="AF42" i="7"/>
  <c r="AF35" i="7"/>
  <c r="Y495" i="7"/>
  <c r="AF767" i="7"/>
  <c r="AF765" i="7"/>
  <c r="AF763" i="7"/>
  <c r="AF761" i="7"/>
  <c r="AF759" i="7"/>
  <c r="AF766" i="7"/>
  <c r="AF762" i="7"/>
  <c r="AF758" i="7"/>
  <c r="AF733" i="7"/>
  <c r="AF731" i="7"/>
  <c r="AF729" i="7"/>
  <c r="AF727" i="7"/>
  <c r="AF703" i="7"/>
  <c r="AF764" i="7"/>
  <c r="AF760" i="7"/>
  <c r="AF735" i="7"/>
  <c r="AF734" i="7"/>
  <c r="AF732" i="7"/>
  <c r="AF730" i="7"/>
  <c r="AF700" i="7"/>
  <c r="AF699" i="7"/>
  <c r="AF698" i="7"/>
  <c r="AF697" i="7"/>
  <c r="AF696" i="7"/>
  <c r="AF695" i="7"/>
  <c r="AF694" i="7"/>
  <c r="AF701" i="7"/>
  <c r="AF728" i="7"/>
  <c r="AF702" i="7"/>
  <c r="AF726" i="7"/>
  <c r="AF28" i="7"/>
  <c r="AF62" i="7"/>
  <c r="AG2" i="7"/>
  <c r="X112" i="7"/>
  <c r="X113" i="7" s="1"/>
  <c r="Z652" i="7"/>
  <c r="Z358" i="7"/>
  <c r="Z248" i="7"/>
  <c r="Z211" i="7"/>
  <c r="Z77" i="7"/>
  <c r="AA779" i="7"/>
  <c r="AA777" i="7"/>
  <c r="AA776" i="7"/>
  <c r="AA775" i="7"/>
  <c r="AA773" i="7"/>
  <c r="AA772" i="7"/>
  <c r="AA418" i="7"/>
  <c r="AA417" i="7"/>
  <c r="AA416" i="7"/>
  <c r="AA415" i="7"/>
  <c r="AA414" i="7"/>
  <c r="AA413" i="7"/>
  <c r="AA412" i="7"/>
  <c r="AA411" i="7"/>
  <c r="AA770" i="7"/>
  <c r="AA409" i="7"/>
  <c r="AA392" i="7"/>
  <c r="AA391" i="7"/>
  <c r="AA390" i="7"/>
  <c r="AA389" i="7"/>
  <c r="AA388" i="7"/>
  <c r="AA387" i="7"/>
  <c r="AA386" i="7"/>
  <c r="AA410" i="7"/>
  <c r="AA747" i="7"/>
  <c r="AA746" i="7"/>
  <c r="AA745" i="7"/>
  <c r="AA744" i="7"/>
  <c r="AA743" i="7"/>
  <c r="AA742" i="7"/>
  <c r="AA741" i="7"/>
  <c r="AA740" i="7"/>
  <c r="AA738" i="7"/>
  <c r="AA367" i="7"/>
  <c r="AA366" i="7"/>
  <c r="AA365" i="7"/>
  <c r="AA364" i="7"/>
  <c r="AA363" i="7"/>
  <c r="AA362" i="7"/>
  <c r="AA385" i="7"/>
  <c r="AA384" i="7"/>
  <c r="AA383" i="7"/>
  <c r="AA715" i="7"/>
  <c r="AA714" i="7"/>
  <c r="AA713" i="7"/>
  <c r="AA712" i="7"/>
  <c r="AA711" i="7"/>
  <c r="AA710" i="7"/>
  <c r="AA709" i="7"/>
  <c r="AA707" i="7"/>
  <c r="AA706" i="7"/>
  <c r="AA360" i="7"/>
  <c r="AA361" i="7"/>
  <c r="AA359" i="7"/>
  <c r="AA595" i="7"/>
  <c r="AA589" i="7"/>
  <c r="AA475" i="7"/>
  <c r="AA474" i="7"/>
  <c r="AA473" i="7"/>
  <c r="AA472" i="7"/>
  <c r="AA471" i="7"/>
  <c r="AA470" i="7"/>
  <c r="AA490" i="7"/>
  <c r="AA353" i="7"/>
  <c r="AA338" i="7"/>
  <c r="AA337" i="7"/>
  <c r="AA336" i="7"/>
  <c r="AA335" i="7"/>
  <c r="AA334" i="7"/>
  <c r="AA333" i="7"/>
  <c r="AA37" i="7"/>
  <c r="Z502" i="7"/>
  <c r="Z500" i="7"/>
  <c r="Z499" i="7"/>
  <c r="Z503" i="7"/>
  <c r="Z523" i="7"/>
  <c r="Z527" i="7"/>
  <c r="Z547" i="7"/>
  <c r="Z551" i="7"/>
  <c r="Z555" i="7"/>
  <c r="Z524" i="7"/>
  <c r="Z528" i="7"/>
  <c r="Z548" i="7"/>
  <c r="Z552" i="7"/>
  <c r="Z556" i="7"/>
  <c r="AA669" i="7"/>
  <c r="Z39" i="7"/>
  <c r="Z93" i="7"/>
  <c r="Z704" i="7"/>
  <c r="Z689" i="7" s="1"/>
  <c r="Z101" i="7" s="1"/>
  <c r="Z736" i="7"/>
  <c r="Z721" i="7" s="1"/>
  <c r="Z102" i="7" s="1"/>
  <c r="Z768" i="7"/>
  <c r="Z753" i="7" s="1"/>
  <c r="Z103" i="7" s="1"/>
  <c r="Z498" i="7"/>
  <c r="Z354" i="7"/>
  <c r="Z496" i="7"/>
  <c r="Z504" i="7"/>
  <c r="Z497" i="7"/>
  <c r="Z501" i="7"/>
  <c r="Z521" i="7"/>
  <c r="Z525" i="7"/>
  <c r="Z529" i="7"/>
  <c r="Z549" i="7"/>
  <c r="Z553" i="7"/>
  <c r="Z491" i="7"/>
  <c r="Z522" i="7"/>
  <c r="Z526" i="7"/>
  <c r="Z530" i="7"/>
  <c r="Z550" i="7"/>
  <c r="Z554" i="7"/>
  <c r="Y104" i="7"/>
  <c r="AG29" i="7" l="1"/>
  <c r="AG649" i="7"/>
  <c r="AG60" i="7"/>
  <c r="AG655" i="7"/>
  <c r="AG656" i="7" s="1"/>
  <c r="AG664" i="7"/>
  <c r="AG665" i="7" s="1"/>
  <c r="AG662" i="7"/>
  <c r="AG644" i="7" s="1"/>
  <c r="AG661" i="7"/>
  <c r="AG660" i="7"/>
  <c r="AG643" i="7"/>
  <c r="AG31" i="7"/>
  <c r="AG61" i="7" s="1"/>
  <c r="AG651" i="7"/>
  <c r="AH196" i="7"/>
  <c r="AF650" i="7"/>
  <c r="AF642" i="7" s="1"/>
  <c r="AG648" i="7"/>
  <c r="AG676" i="7"/>
  <c r="AG682" i="7"/>
  <c r="AG484" i="7"/>
  <c r="AG347" i="7"/>
  <c r="AF95" i="7"/>
  <c r="AG683" i="7"/>
  <c r="AG594" i="7"/>
  <c r="AG588" i="7"/>
  <c r="AG634" i="7"/>
  <c r="AG630" i="7"/>
  <c r="AG626" i="7"/>
  <c r="AG622" i="7"/>
  <c r="AG38" i="7"/>
  <c r="AG42" i="7"/>
  <c r="AG35" i="7"/>
  <c r="Z112" i="7"/>
  <c r="Z113" i="7" s="1"/>
  <c r="Z495" i="7"/>
  <c r="Y112" i="7"/>
  <c r="Y113" i="7" s="1"/>
  <c r="AG758" i="7"/>
  <c r="AG735" i="7"/>
  <c r="AG767" i="7"/>
  <c r="AG765" i="7"/>
  <c r="AG763" i="7"/>
  <c r="AG761" i="7"/>
  <c r="AG764" i="7"/>
  <c r="AG760" i="7"/>
  <c r="AG734" i="7"/>
  <c r="AG732" i="7"/>
  <c r="AG730" i="7"/>
  <c r="AG766" i="7"/>
  <c r="AG762" i="7"/>
  <c r="AG759" i="7"/>
  <c r="AG733" i="7"/>
  <c r="AG731" i="7"/>
  <c r="AG729" i="7"/>
  <c r="AG727" i="7"/>
  <c r="AG703" i="7"/>
  <c r="AG701" i="7"/>
  <c r="AG728" i="7"/>
  <c r="AG699" i="7"/>
  <c r="AG697" i="7"/>
  <c r="AG695" i="7"/>
  <c r="AG702" i="7"/>
  <c r="AG726" i="7"/>
  <c r="AG700" i="7"/>
  <c r="AG698" i="7"/>
  <c r="AG696" i="7"/>
  <c r="AG694" i="7"/>
  <c r="AG784" i="7"/>
  <c r="AG62" i="7"/>
  <c r="AG28" i="7"/>
  <c r="AH2" i="7"/>
  <c r="AA358" i="7"/>
  <c r="AA652" i="7"/>
  <c r="AB677" i="7"/>
  <c r="AA248" i="7"/>
  <c r="AA211" i="7"/>
  <c r="AA77" i="7"/>
  <c r="AA736" i="7"/>
  <c r="AA721" i="7" s="1"/>
  <c r="AA102" i="7" s="1"/>
  <c r="AA704" i="7"/>
  <c r="AA689" i="7" s="1"/>
  <c r="AA101" i="7" s="1"/>
  <c r="AA93" i="7"/>
  <c r="AB779" i="7"/>
  <c r="AB777" i="7"/>
  <c r="AB776" i="7"/>
  <c r="AB774" i="7"/>
  <c r="AB773" i="7"/>
  <c r="AB772" i="7"/>
  <c r="AB770" i="7"/>
  <c r="AB418" i="7"/>
  <c r="AB417" i="7"/>
  <c r="AB416" i="7"/>
  <c r="AB415" i="7"/>
  <c r="AB414" i="7"/>
  <c r="AB413" i="7"/>
  <c r="AB412" i="7"/>
  <c r="AB411" i="7"/>
  <c r="AB410" i="7"/>
  <c r="AB409" i="7"/>
  <c r="AB747" i="7"/>
  <c r="AB746" i="7"/>
  <c r="AB745" i="7"/>
  <c r="AB744" i="7"/>
  <c r="AB743" i="7"/>
  <c r="AB742" i="7"/>
  <c r="AB741" i="7"/>
  <c r="AB740" i="7"/>
  <c r="AB738" i="7"/>
  <c r="AB392" i="7"/>
  <c r="AB391" i="7"/>
  <c r="AB390" i="7"/>
  <c r="AB389" i="7"/>
  <c r="AB388" i="7"/>
  <c r="AB387" i="7"/>
  <c r="AB386" i="7"/>
  <c r="AB385" i="7"/>
  <c r="AB384" i="7"/>
  <c r="AB383" i="7"/>
  <c r="AB715" i="7"/>
  <c r="AB714" i="7"/>
  <c r="AB713" i="7"/>
  <c r="AB712" i="7"/>
  <c r="AB711" i="7"/>
  <c r="AB710" i="7"/>
  <c r="AB709" i="7"/>
  <c r="AB707" i="7"/>
  <c r="AB706" i="7"/>
  <c r="AB367" i="7"/>
  <c r="AB366" i="7"/>
  <c r="AB365" i="7"/>
  <c r="AB364" i="7"/>
  <c r="AB363" i="7"/>
  <c r="AB362" i="7"/>
  <c r="AB361" i="7"/>
  <c r="AB360" i="7"/>
  <c r="AB359" i="7"/>
  <c r="AB358" i="7"/>
  <c r="AB595" i="7"/>
  <c r="AB589" i="7"/>
  <c r="AB490" i="7"/>
  <c r="AB475" i="7"/>
  <c r="AB474" i="7"/>
  <c r="AB473" i="7"/>
  <c r="AB472" i="7"/>
  <c r="AB471" i="7"/>
  <c r="AB470" i="7"/>
  <c r="AB353" i="7"/>
  <c r="AB338" i="7"/>
  <c r="AB337" i="7"/>
  <c r="AB336" i="7"/>
  <c r="AB335" i="7"/>
  <c r="AB334" i="7"/>
  <c r="AB333" i="7"/>
  <c r="AB37" i="7"/>
  <c r="AA501" i="7"/>
  <c r="AA503" i="7"/>
  <c r="AA498" i="7"/>
  <c r="AA502" i="7"/>
  <c r="AA522" i="7"/>
  <c r="AA526" i="7"/>
  <c r="AA530" i="7"/>
  <c r="AA550" i="7"/>
  <c r="AA554" i="7"/>
  <c r="AA523" i="7"/>
  <c r="AA527" i="7"/>
  <c r="AA547" i="7"/>
  <c r="AA551" i="7"/>
  <c r="AA555" i="7"/>
  <c r="AB669" i="7"/>
  <c r="Z104" i="7"/>
  <c r="AA39" i="7"/>
  <c r="AA768" i="7"/>
  <c r="AA753" i="7" s="1"/>
  <c r="AA103" i="7" s="1"/>
  <c r="AA354" i="7"/>
  <c r="AA497" i="7"/>
  <c r="AA499" i="7"/>
  <c r="AA496" i="7"/>
  <c r="AA500" i="7"/>
  <c r="AA504" i="7"/>
  <c r="AA524" i="7"/>
  <c r="AA528" i="7"/>
  <c r="AA548" i="7"/>
  <c r="AA552" i="7"/>
  <c r="AA556" i="7"/>
  <c r="AA521" i="7"/>
  <c r="AA525" i="7"/>
  <c r="AA529" i="7"/>
  <c r="AA549" i="7"/>
  <c r="AA553" i="7"/>
  <c r="AA491" i="7"/>
  <c r="AH649" i="7" l="1"/>
  <c r="AH29" i="7"/>
  <c r="AH60" i="7"/>
  <c r="AH655" i="7"/>
  <c r="AH656" i="7" s="1"/>
  <c r="AH664" i="7"/>
  <c r="AH665" i="7" s="1"/>
  <c r="AH662" i="7"/>
  <c r="AH644" i="7" s="1"/>
  <c r="AH661" i="7"/>
  <c r="AH660" i="7"/>
  <c r="AH643" i="7"/>
  <c r="AH31" i="7"/>
  <c r="AH61" i="7" s="1"/>
  <c r="AH651" i="7"/>
  <c r="AI196" i="7"/>
  <c r="AG650" i="7"/>
  <c r="AG642" i="7" s="1"/>
  <c r="AH648" i="7"/>
  <c r="AH682" i="7"/>
  <c r="AH676" i="7"/>
  <c r="AG95" i="7"/>
  <c r="AH484" i="7"/>
  <c r="AH347" i="7"/>
  <c r="AH683" i="7"/>
  <c r="AH588" i="7"/>
  <c r="AH626" i="7"/>
  <c r="AH594" i="7"/>
  <c r="AH634" i="7"/>
  <c r="AH630" i="7"/>
  <c r="AH622" i="7"/>
  <c r="AH38" i="7"/>
  <c r="AH42" i="7"/>
  <c r="AH35" i="7"/>
  <c r="AA495" i="7"/>
  <c r="AH766" i="7"/>
  <c r="AH764" i="7"/>
  <c r="AH762" i="7"/>
  <c r="AH760" i="7"/>
  <c r="AH767" i="7"/>
  <c r="AH763" i="7"/>
  <c r="AH735" i="7"/>
  <c r="AH734" i="7"/>
  <c r="AH733" i="7"/>
  <c r="AH732" i="7"/>
  <c r="AH731" i="7"/>
  <c r="AH730" i="7"/>
  <c r="AH729" i="7"/>
  <c r="AH728" i="7"/>
  <c r="AH727" i="7"/>
  <c r="AH726" i="7"/>
  <c r="AH703" i="7"/>
  <c r="AH702" i="7"/>
  <c r="AH701" i="7"/>
  <c r="AH765" i="7"/>
  <c r="AH761" i="7"/>
  <c r="AH759" i="7"/>
  <c r="AH758" i="7"/>
  <c r="AH700" i="7"/>
  <c r="AH698" i="7"/>
  <c r="AH696" i="7"/>
  <c r="AH694" i="7"/>
  <c r="AH699" i="7"/>
  <c r="AH697" i="7"/>
  <c r="AH695" i="7"/>
  <c r="AH784" i="7"/>
  <c r="AH62" i="7"/>
  <c r="AH28" i="7"/>
  <c r="AI2" i="7"/>
  <c r="AB652" i="7"/>
  <c r="AC677" i="7"/>
  <c r="AB248" i="7"/>
  <c r="AB211" i="7"/>
  <c r="AB77" i="7"/>
  <c r="AA104" i="7"/>
  <c r="AB704" i="7"/>
  <c r="AB689" i="7" s="1"/>
  <c r="AB101" i="7" s="1"/>
  <c r="AB768" i="7"/>
  <c r="AB753" i="7" s="1"/>
  <c r="AB103" i="7" s="1"/>
  <c r="AB39" i="7"/>
  <c r="AB736" i="7"/>
  <c r="AB721" i="7" s="1"/>
  <c r="AB102" i="7" s="1"/>
  <c r="AB93" i="7"/>
  <c r="AC779" i="7"/>
  <c r="AC777" i="7"/>
  <c r="AC776" i="7"/>
  <c r="AC774" i="7"/>
  <c r="AC773" i="7"/>
  <c r="AC772" i="7"/>
  <c r="AC418" i="7"/>
  <c r="AC417" i="7"/>
  <c r="AC416" i="7"/>
  <c r="AC415" i="7"/>
  <c r="AC414" i="7"/>
  <c r="AC413" i="7"/>
  <c r="AC412" i="7"/>
  <c r="AC411" i="7"/>
  <c r="AC770" i="7"/>
  <c r="AC410" i="7"/>
  <c r="AC392" i="7"/>
  <c r="AC391" i="7"/>
  <c r="AC390" i="7"/>
  <c r="AC389" i="7"/>
  <c r="AC388" i="7"/>
  <c r="AC387" i="7"/>
  <c r="AC386" i="7"/>
  <c r="AC409" i="7"/>
  <c r="AC747" i="7"/>
  <c r="AC746" i="7"/>
  <c r="AC745" i="7"/>
  <c r="AC744" i="7"/>
  <c r="AC743" i="7"/>
  <c r="AC742" i="7"/>
  <c r="AC741" i="7"/>
  <c r="AC740" i="7"/>
  <c r="AC738" i="7"/>
  <c r="AC385" i="7"/>
  <c r="AC367" i="7"/>
  <c r="AC366" i="7"/>
  <c r="AC365" i="7"/>
  <c r="AC364" i="7"/>
  <c r="AC363" i="7"/>
  <c r="AC362" i="7"/>
  <c r="AC384" i="7"/>
  <c r="AC383" i="7"/>
  <c r="AC715" i="7"/>
  <c r="AC714" i="7"/>
  <c r="AC713" i="7"/>
  <c r="AC712" i="7"/>
  <c r="AC711" i="7"/>
  <c r="AC710" i="7"/>
  <c r="AC709" i="7"/>
  <c r="AC707" i="7"/>
  <c r="AC706" i="7"/>
  <c r="AC361" i="7"/>
  <c r="AC360" i="7"/>
  <c r="AC359" i="7"/>
  <c r="AC358" i="7"/>
  <c r="AC595" i="7"/>
  <c r="AC589" i="7"/>
  <c r="AC475" i="7"/>
  <c r="AC474" i="7"/>
  <c r="AC473" i="7"/>
  <c r="AC472" i="7"/>
  <c r="AC471" i="7"/>
  <c r="AC470" i="7"/>
  <c r="AC490" i="7"/>
  <c r="AC353" i="7"/>
  <c r="AC338" i="7"/>
  <c r="AC337" i="7"/>
  <c r="AC336" i="7"/>
  <c r="AC335" i="7"/>
  <c r="AC334" i="7"/>
  <c r="AC333" i="7"/>
  <c r="AC37" i="7"/>
  <c r="AB500" i="7"/>
  <c r="AB354" i="7"/>
  <c r="AB498" i="7"/>
  <c r="AB497" i="7"/>
  <c r="AB501" i="7"/>
  <c r="AB521" i="7"/>
  <c r="AB525" i="7"/>
  <c r="AB529" i="7"/>
  <c r="AB549" i="7"/>
  <c r="AB553" i="7"/>
  <c r="AB491" i="7"/>
  <c r="AB522" i="7"/>
  <c r="AB526" i="7"/>
  <c r="AB530" i="7"/>
  <c r="AB550" i="7"/>
  <c r="AB554" i="7"/>
  <c r="AB496" i="7"/>
  <c r="AB504" i="7"/>
  <c r="AB502" i="7"/>
  <c r="AB495" i="7"/>
  <c r="AB499" i="7"/>
  <c r="AB503" i="7"/>
  <c r="AB523" i="7"/>
  <c r="AB527" i="7"/>
  <c r="AB547" i="7"/>
  <c r="AB551" i="7"/>
  <c r="AB555" i="7"/>
  <c r="AB524" i="7"/>
  <c r="AB528" i="7"/>
  <c r="AB548" i="7"/>
  <c r="AB552" i="7"/>
  <c r="AB556" i="7"/>
  <c r="AC669" i="7"/>
  <c r="AI649" i="7" l="1"/>
  <c r="AI29" i="7"/>
  <c r="AI60" i="7"/>
  <c r="AI655" i="7"/>
  <c r="AI656" i="7" s="1"/>
  <c r="AI664" i="7"/>
  <c r="AI665" i="7" s="1"/>
  <c r="AI662" i="7"/>
  <c r="AI644" i="7" s="1"/>
  <c r="AI661" i="7"/>
  <c r="AI660" i="7"/>
  <c r="AH642" i="7"/>
  <c r="AI31" i="7"/>
  <c r="AI61" i="7" s="1"/>
  <c r="AI643" i="7"/>
  <c r="AI651" i="7"/>
  <c r="AJ196" i="7"/>
  <c r="AH650" i="7"/>
  <c r="AI648" i="7"/>
  <c r="AI676" i="7"/>
  <c r="AI682" i="7"/>
  <c r="AI484" i="7"/>
  <c r="AI347" i="7"/>
  <c r="AH95" i="7"/>
  <c r="AI683" i="7"/>
  <c r="AI594" i="7"/>
  <c r="AI588" i="7"/>
  <c r="AI634" i="7"/>
  <c r="AI630" i="7"/>
  <c r="AI626" i="7"/>
  <c r="AI622" i="7"/>
  <c r="AI38" i="7"/>
  <c r="AI42" i="7"/>
  <c r="AI35" i="7"/>
  <c r="AB112" i="7"/>
  <c r="AB113" i="7" s="1"/>
  <c r="AA112" i="7"/>
  <c r="AA113" i="7" s="1"/>
  <c r="AI767" i="7"/>
  <c r="AI766" i="7"/>
  <c r="AI765" i="7"/>
  <c r="AI764" i="7"/>
  <c r="AI763" i="7"/>
  <c r="AI762" i="7"/>
  <c r="AI761" i="7"/>
  <c r="AI760" i="7"/>
  <c r="AI759" i="7"/>
  <c r="AI734" i="7"/>
  <c r="AI730" i="7"/>
  <c r="AI735" i="7"/>
  <c r="AI758" i="7"/>
  <c r="AI733" i="7"/>
  <c r="AI731" i="7"/>
  <c r="AI729" i="7"/>
  <c r="AI732" i="7"/>
  <c r="AI728" i="7"/>
  <c r="AI726" i="7"/>
  <c r="AI702" i="7"/>
  <c r="AI700" i="7"/>
  <c r="AI698" i="7"/>
  <c r="AI696" i="7"/>
  <c r="AI694" i="7"/>
  <c r="AI703" i="7"/>
  <c r="AI699" i="7"/>
  <c r="AI697" i="7"/>
  <c r="AI695" i="7"/>
  <c r="AI727" i="7"/>
  <c r="AI701" i="7"/>
  <c r="AI784" i="7"/>
  <c r="AI28" i="7"/>
  <c r="AI62" i="7"/>
  <c r="AJ2" i="7"/>
  <c r="AC652" i="7"/>
  <c r="AD677" i="7"/>
  <c r="AC248" i="7"/>
  <c r="AC211" i="7"/>
  <c r="AC77" i="7"/>
  <c r="AB104" i="7"/>
  <c r="AC768" i="7"/>
  <c r="AC753" i="7" s="1"/>
  <c r="AC103" i="7" s="1"/>
  <c r="AC39" i="7"/>
  <c r="AD778" i="7"/>
  <c r="AD777" i="7"/>
  <c r="AD776" i="7"/>
  <c r="AD774" i="7"/>
  <c r="AD773" i="7"/>
  <c r="AD772" i="7"/>
  <c r="AD770" i="7"/>
  <c r="AD418" i="7"/>
  <c r="AD417" i="7"/>
  <c r="AD416" i="7"/>
  <c r="AD415" i="7"/>
  <c r="AD414" i="7"/>
  <c r="AD413" i="7"/>
  <c r="AD412" i="7"/>
  <c r="AD411" i="7"/>
  <c r="AD410" i="7"/>
  <c r="AD409" i="7"/>
  <c r="AD747" i="7"/>
  <c r="AD746" i="7"/>
  <c r="AD745" i="7"/>
  <c r="AD744" i="7"/>
  <c r="AD743" i="7"/>
  <c r="AD742" i="7"/>
  <c r="AD741" i="7"/>
  <c r="AD740" i="7"/>
  <c r="AD738" i="7"/>
  <c r="AD392" i="7"/>
  <c r="AD391" i="7"/>
  <c r="AD390" i="7"/>
  <c r="AD389" i="7"/>
  <c r="AD388" i="7"/>
  <c r="AD387" i="7"/>
  <c r="AD386" i="7"/>
  <c r="AD385" i="7"/>
  <c r="AD384" i="7"/>
  <c r="AD383" i="7"/>
  <c r="AD715" i="7"/>
  <c r="AD714" i="7"/>
  <c r="AD713" i="7"/>
  <c r="AD712" i="7"/>
  <c r="AD711" i="7"/>
  <c r="AD710" i="7"/>
  <c r="AD709" i="7"/>
  <c r="AD707" i="7"/>
  <c r="AD706" i="7"/>
  <c r="AD367" i="7"/>
  <c r="AD366" i="7"/>
  <c r="AD365" i="7"/>
  <c r="AD364" i="7"/>
  <c r="AD363" i="7"/>
  <c r="AD362" i="7"/>
  <c r="AD361" i="7"/>
  <c r="AD360" i="7"/>
  <c r="AD359" i="7"/>
  <c r="AD358" i="7"/>
  <c r="AD595" i="7"/>
  <c r="AD589" i="7"/>
  <c r="AD490" i="7"/>
  <c r="AD475" i="7"/>
  <c r="AD474" i="7"/>
  <c r="AD473" i="7"/>
  <c r="AD472" i="7"/>
  <c r="AD471" i="7"/>
  <c r="AD470" i="7"/>
  <c r="AD353" i="7"/>
  <c r="AD338" i="7"/>
  <c r="AD337" i="7"/>
  <c r="AD336" i="7"/>
  <c r="AD335" i="7"/>
  <c r="AD334" i="7"/>
  <c r="AD333" i="7"/>
  <c r="AD37" i="7"/>
  <c r="AC354" i="7"/>
  <c r="AC499" i="7"/>
  <c r="AC497" i="7"/>
  <c r="AC496" i="7"/>
  <c r="AC500" i="7"/>
  <c r="AC504" i="7"/>
  <c r="AC524" i="7"/>
  <c r="AC528" i="7"/>
  <c r="AC548" i="7"/>
  <c r="AC552" i="7"/>
  <c r="AC556" i="7"/>
  <c r="AC521" i="7"/>
  <c r="AC525" i="7"/>
  <c r="AC529" i="7"/>
  <c r="AC549" i="7"/>
  <c r="AC553" i="7"/>
  <c r="AC491" i="7"/>
  <c r="AC93" i="7"/>
  <c r="AC704" i="7"/>
  <c r="AC689" i="7" s="1"/>
  <c r="AC101" i="7" s="1"/>
  <c r="AC736" i="7"/>
  <c r="AC721" i="7" s="1"/>
  <c r="AC102" i="7" s="1"/>
  <c r="AC495" i="7"/>
  <c r="AC503" i="7"/>
  <c r="AC501" i="7"/>
  <c r="AC498" i="7"/>
  <c r="AC502" i="7"/>
  <c r="AC522" i="7"/>
  <c r="AC526" i="7"/>
  <c r="AC530" i="7"/>
  <c r="AC550" i="7"/>
  <c r="AC554" i="7"/>
  <c r="AC523" i="7"/>
  <c r="AC527" i="7"/>
  <c r="AC547" i="7"/>
  <c r="AC551" i="7"/>
  <c r="AC555" i="7"/>
  <c r="AD669" i="7"/>
  <c r="AJ649" i="7" l="1"/>
  <c r="AJ29" i="7"/>
  <c r="AJ60" i="7"/>
  <c r="AJ655" i="7"/>
  <c r="AJ656" i="7" s="1"/>
  <c r="AJ664" i="7"/>
  <c r="AJ665" i="7" s="1"/>
  <c r="AJ662" i="7"/>
  <c r="AJ644" i="7" s="1"/>
  <c r="AJ661" i="7"/>
  <c r="AJ660" i="7"/>
  <c r="AJ643" i="7"/>
  <c r="AJ31" i="7"/>
  <c r="AJ61" i="7" s="1"/>
  <c r="AJ651" i="7"/>
  <c r="AK196" i="7"/>
  <c r="AI650" i="7"/>
  <c r="AI642" i="7" s="1"/>
  <c r="AJ648" i="7"/>
  <c r="AJ676" i="7"/>
  <c r="AJ682" i="7"/>
  <c r="AI95" i="7"/>
  <c r="AJ484" i="7"/>
  <c r="AJ347" i="7"/>
  <c r="AJ683" i="7"/>
  <c r="AJ630" i="7"/>
  <c r="AJ626" i="7"/>
  <c r="AJ622" i="7"/>
  <c r="AJ594" i="7"/>
  <c r="AJ588" i="7"/>
  <c r="AJ634" i="7"/>
  <c r="AJ38" i="7"/>
  <c r="AJ42" i="7"/>
  <c r="AJ35" i="7"/>
  <c r="AJ766" i="7"/>
  <c r="AJ764" i="7"/>
  <c r="AJ762" i="7"/>
  <c r="AJ760" i="7"/>
  <c r="AJ758" i="7"/>
  <c r="AJ765" i="7"/>
  <c r="AJ735" i="7"/>
  <c r="AJ761" i="7"/>
  <c r="AJ759" i="7"/>
  <c r="AJ733" i="7"/>
  <c r="AJ731" i="7"/>
  <c r="AJ767" i="7"/>
  <c r="AJ763" i="7"/>
  <c r="AJ734" i="7"/>
  <c r="AJ732" i="7"/>
  <c r="AJ730" i="7"/>
  <c r="AJ728" i="7"/>
  <c r="AJ726" i="7"/>
  <c r="AJ702" i="7"/>
  <c r="AJ700" i="7"/>
  <c r="AJ699" i="7"/>
  <c r="AJ698" i="7"/>
  <c r="AJ697" i="7"/>
  <c r="AJ696" i="7"/>
  <c r="AJ695" i="7"/>
  <c r="AJ694" i="7"/>
  <c r="AJ703" i="7"/>
  <c r="AJ727" i="7"/>
  <c r="AJ701" i="7"/>
  <c r="AJ729" i="7"/>
  <c r="AJ784" i="7"/>
  <c r="AJ28" i="7"/>
  <c r="AJ62" i="7"/>
  <c r="AK2" i="7"/>
  <c r="AD652" i="7"/>
  <c r="AE677" i="7"/>
  <c r="AD248" i="7"/>
  <c r="AD211" i="7"/>
  <c r="AD77" i="7"/>
  <c r="AE778" i="7"/>
  <c r="AE777" i="7"/>
  <c r="AE776" i="7"/>
  <c r="AE774" i="7"/>
  <c r="AE773" i="7"/>
  <c r="AE772" i="7"/>
  <c r="AE770" i="7"/>
  <c r="AE418" i="7"/>
  <c r="AE417" i="7"/>
  <c r="AE416" i="7"/>
  <c r="AE415" i="7"/>
  <c r="AE414" i="7"/>
  <c r="AE413" i="7"/>
  <c r="AE412" i="7"/>
  <c r="AE411" i="7"/>
  <c r="AE409" i="7"/>
  <c r="AE392" i="7"/>
  <c r="AE391" i="7"/>
  <c r="AE390" i="7"/>
  <c r="AE389" i="7"/>
  <c r="AE388" i="7"/>
  <c r="AE387" i="7"/>
  <c r="AE386" i="7"/>
  <c r="AE410" i="7"/>
  <c r="AE747" i="7"/>
  <c r="AE746" i="7"/>
  <c r="AE745" i="7"/>
  <c r="AE744" i="7"/>
  <c r="AE743" i="7"/>
  <c r="AE742" i="7"/>
  <c r="AE741" i="7"/>
  <c r="AE740" i="7"/>
  <c r="AE738" i="7"/>
  <c r="AE367" i="7"/>
  <c r="AE366" i="7"/>
  <c r="AE365" i="7"/>
  <c r="AE364" i="7"/>
  <c r="AE363" i="7"/>
  <c r="AE362" i="7"/>
  <c r="AE385" i="7"/>
  <c r="AE384" i="7"/>
  <c r="AE383" i="7"/>
  <c r="AE715" i="7"/>
  <c r="AE714" i="7"/>
  <c r="AE713" i="7"/>
  <c r="AE712" i="7"/>
  <c r="AE711" i="7"/>
  <c r="AE710" i="7"/>
  <c r="AE709" i="7"/>
  <c r="AE707" i="7"/>
  <c r="AE706" i="7"/>
  <c r="AE360" i="7"/>
  <c r="AE361" i="7"/>
  <c r="AE359" i="7"/>
  <c r="AE358" i="7"/>
  <c r="AE595" i="7"/>
  <c r="AE589" i="7"/>
  <c r="AE475" i="7"/>
  <c r="AE474" i="7"/>
  <c r="AE473" i="7"/>
  <c r="AE472" i="7"/>
  <c r="AE471" i="7"/>
  <c r="AE470" i="7"/>
  <c r="AE490" i="7"/>
  <c r="AE353" i="7"/>
  <c r="AE338" i="7"/>
  <c r="AE337" i="7"/>
  <c r="AE336" i="7"/>
  <c r="AE335" i="7"/>
  <c r="AE334" i="7"/>
  <c r="AE333" i="7"/>
  <c r="AE37" i="7"/>
  <c r="AD498" i="7"/>
  <c r="AD354" i="7"/>
  <c r="AD496" i="7"/>
  <c r="AD504" i="7"/>
  <c r="AD495" i="7"/>
  <c r="AD499" i="7"/>
  <c r="AD503" i="7"/>
  <c r="AD523" i="7"/>
  <c r="AD527" i="7"/>
  <c r="AD547" i="7"/>
  <c r="AD551" i="7"/>
  <c r="AD555" i="7"/>
  <c r="AD524" i="7"/>
  <c r="AD528" i="7"/>
  <c r="AD548" i="7"/>
  <c r="AD552" i="7"/>
  <c r="AD556" i="7"/>
  <c r="AE669" i="7"/>
  <c r="AD39" i="7"/>
  <c r="AD93" i="7"/>
  <c r="AD704" i="7"/>
  <c r="AD689" i="7" s="1"/>
  <c r="AD101" i="7" s="1"/>
  <c r="AD736" i="7"/>
  <c r="AD721" i="7" s="1"/>
  <c r="AD102" i="7" s="1"/>
  <c r="AD768" i="7"/>
  <c r="AD753" i="7" s="1"/>
  <c r="AD103" i="7" s="1"/>
  <c r="AD502" i="7"/>
  <c r="AD500" i="7"/>
  <c r="AD497" i="7"/>
  <c r="AD501" i="7"/>
  <c r="AD521" i="7"/>
  <c r="AD525" i="7"/>
  <c r="AD529" i="7"/>
  <c r="AD549" i="7"/>
  <c r="AD553" i="7"/>
  <c r="AD491" i="7"/>
  <c r="AD522" i="7"/>
  <c r="AD526" i="7"/>
  <c r="AD530" i="7"/>
  <c r="AD550" i="7"/>
  <c r="AD554" i="7"/>
  <c r="AC104" i="7"/>
  <c r="AK29" i="7" l="1"/>
  <c r="AK649" i="7"/>
  <c r="AK60" i="7"/>
  <c r="AK655" i="7"/>
  <c r="AK656" i="7" s="1"/>
  <c r="AK664" i="7"/>
  <c r="AK665" i="7" s="1"/>
  <c r="AK662" i="7"/>
  <c r="AK644" i="7" s="1"/>
  <c r="AK661" i="7"/>
  <c r="AK660" i="7"/>
  <c r="AJ642" i="7"/>
  <c r="AK31" i="7"/>
  <c r="AK61" i="7" s="1"/>
  <c r="AK643" i="7"/>
  <c r="AK651" i="7"/>
  <c r="AL196" i="7"/>
  <c r="AJ650" i="7"/>
  <c r="AK648" i="7"/>
  <c r="AK682" i="7"/>
  <c r="AK676" i="7"/>
  <c r="AK484" i="7"/>
  <c r="AK347" i="7"/>
  <c r="AJ95" i="7"/>
  <c r="AK683" i="7"/>
  <c r="AK594" i="7"/>
  <c r="AK588" i="7"/>
  <c r="AK634" i="7"/>
  <c r="AK630" i="7"/>
  <c r="AK626" i="7"/>
  <c r="AK622" i="7"/>
  <c r="AK38" i="7"/>
  <c r="AK42" i="7"/>
  <c r="AK35" i="7"/>
  <c r="AC112" i="7"/>
  <c r="AC113" i="7" s="1"/>
  <c r="AK767" i="7"/>
  <c r="AK765" i="7"/>
  <c r="AK763" i="7"/>
  <c r="AK761" i="7"/>
  <c r="AK759" i="7"/>
  <c r="AK758" i="7"/>
  <c r="AK735" i="7"/>
  <c r="AK764" i="7"/>
  <c r="AK760" i="7"/>
  <c r="AK766" i="7"/>
  <c r="AK762" i="7"/>
  <c r="AK734" i="7"/>
  <c r="AK732" i="7"/>
  <c r="AK730" i="7"/>
  <c r="AK733" i="7"/>
  <c r="AK731" i="7"/>
  <c r="AK729" i="7"/>
  <c r="AK727" i="7"/>
  <c r="AK703" i="7"/>
  <c r="AK726" i="7"/>
  <c r="AK701" i="7"/>
  <c r="AK699" i="7"/>
  <c r="AK697" i="7"/>
  <c r="AK695" i="7"/>
  <c r="AK728" i="7"/>
  <c r="AK702" i="7"/>
  <c r="AK700" i="7"/>
  <c r="AK698" i="7"/>
  <c r="AK696" i="7"/>
  <c r="AK694" i="7"/>
  <c r="AK784" i="7"/>
  <c r="AK62" i="7"/>
  <c r="AK28" i="7"/>
  <c r="AL2" i="7"/>
  <c r="AE652" i="7"/>
  <c r="AE248" i="7"/>
  <c r="AE211" i="7"/>
  <c r="AE77" i="7"/>
  <c r="AE704" i="7"/>
  <c r="AE689" i="7" s="1"/>
  <c r="AE101" i="7" s="1"/>
  <c r="AE736" i="7"/>
  <c r="AE721" i="7" s="1"/>
  <c r="AE102" i="7" s="1"/>
  <c r="AE93" i="7"/>
  <c r="AE501" i="7"/>
  <c r="AE495" i="7"/>
  <c r="AE503" i="7"/>
  <c r="AE498" i="7"/>
  <c r="AE502" i="7"/>
  <c r="AE522" i="7"/>
  <c r="AE526" i="7"/>
  <c r="AE530" i="7"/>
  <c r="AE550" i="7"/>
  <c r="AE554" i="7"/>
  <c r="AE523" i="7"/>
  <c r="AE527" i="7"/>
  <c r="AE547" i="7"/>
  <c r="AE551" i="7"/>
  <c r="AE555" i="7"/>
  <c r="AF669" i="7"/>
  <c r="AE39" i="7"/>
  <c r="AE768" i="7"/>
  <c r="AE753" i="7" s="1"/>
  <c r="AE103" i="7" s="1"/>
  <c r="AF778" i="7"/>
  <c r="AF777" i="7"/>
  <c r="AF776" i="7"/>
  <c r="AF774" i="7"/>
  <c r="AF773" i="7"/>
  <c r="AF772" i="7"/>
  <c r="AF770" i="7"/>
  <c r="AF418" i="7"/>
  <c r="AF417" i="7"/>
  <c r="AF416" i="7"/>
  <c r="AF415" i="7"/>
  <c r="AF414" i="7"/>
  <c r="AF413" i="7"/>
  <c r="AF412" i="7"/>
  <c r="AF411" i="7"/>
  <c r="AF410" i="7"/>
  <c r="AF409" i="7"/>
  <c r="AF747" i="7"/>
  <c r="AF746" i="7"/>
  <c r="AF745" i="7"/>
  <c r="AF744" i="7"/>
  <c r="AF743" i="7"/>
  <c r="AF742" i="7"/>
  <c r="AF741" i="7"/>
  <c r="AF740" i="7"/>
  <c r="AF738" i="7"/>
  <c r="AF392" i="7"/>
  <c r="AF391" i="7"/>
  <c r="AF390" i="7"/>
  <c r="AF389" i="7"/>
  <c r="AF388" i="7"/>
  <c r="AF387" i="7"/>
  <c r="AF386" i="7"/>
  <c r="AF385" i="7"/>
  <c r="AF384" i="7"/>
  <c r="AF383" i="7"/>
  <c r="AF715" i="7"/>
  <c r="AF714" i="7"/>
  <c r="AF713" i="7"/>
  <c r="AF712" i="7"/>
  <c r="AF711" i="7"/>
  <c r="AF710" i="7"/>
  <c r="AF709" i="7"/>
  <c r="AF707" i="7"/>
  <c r="AF706" i="7"/>
  <c r="AF367" i="7"/>
  <c r="AF366" i="7"/>
  <c r="AF365" i="7"/>
  <c r="AF364" i="7"/>
  <c r="AF363" i="7"/>
  <c r="AF362" i="7"/>
  <c r="AF361" i="7"/>
  <c r="AF360" i="7"/>
  <c r="AF359" i="7"/>
  <c r="AF358" i="7"/>
  <c r="AF595" i="7"/>
  <c r="AF589" i="7"/>
  <c r="AF490" i="7"/>
  <c r="AF475" i="7"/>
  <c r="AF474" i="7"/>
  <c r="AF473" i="7"/>
  <c r="AF472" i="7"/>
  <c r="AF471" i="7"/>
  <c r="AF470" i="7"/>
  <c r="AF353" i="7"/>
  <c r="AF338" i="7"/>
  <c r="AF337" i="7"/>
  <c r="AF336" i="7"/>
  <c r="AF335" i="7"/>
  <c r="AF334" i="7"/>
  <c r="AF333" i="7"/>
  <c r="AF37" i="7"/>
  <c r="AE354" i="7"/>
  <c r="AE497" i="7"/>
  <c r="AE499" i="7"/>
  <c r="AE496" i="7"/>
  <c r="AE500" i="7"/>
  <c r="AE504" i="7"/>
  <c r="AE524" i="7"/>
  <c r="AE528" i="7"/>
  <c r="AE548" i="7"/>
  <c r="AE552" i="7"/>
  <c r="AE556" i="7"/>
  <c r="AE521" i="7"/>
  <c r="AE525" i="7"/>
  <c r="AE529" i="7"/>
  <c r="AE549" i="7"/>
  <c r="AE553" i="7"/>
  <c r="AE491" i="7"/>
  <c r="AD104" i="7"/>
  <c r="AL649" i="7" l="1"/>
  <c r="AL29" i="7"/>
  <c r="AL60" i="7"/>
  <c r="AL655" i="7"/>
  <c r="AL656" i="7" s="1"/>
  <c r="AL664" i="7"/>
  <c r="AL665" i="7" s="1"/>
  <c r="AL662" i="7"/>
  <c r="AL644" i="7" s="1"/>
  <c r="AL661" i="7"/>
  <c r="AL660" i="7"/>
  <c r="AL643" i="7"/>
  <c r="AL31" i="7"/>
  <c r="AL61" i="7" s="1"/>
  <c r="AL651" i="7"/>
  <c r="AM196" i="7"/>
  <c r="AK650" i="7"/>
  <c r="AK642" i="7" s="1"/>
  <c r="AL648" i="7"/>
  <c r="AL682" i="7"/>
  <c r="AL676" i="7"/>
  <c r="AK95" i="7"/>
  <c r="AL484" i="7"/>
  <c r="AL347" i="7"/>
  <c r="AL683" i="7"/>
  <c r="AL634" i="7"/>
  <c r="AL630" i="7"/>
  <c r="AL626" i="7"/>
  <c r="AL622" i="7"/>
  <c r="AL594" i="7"/>
  <c r="AL588" i="7"/>
  <c r="AL38" i="7"/>
  <c r="AL42" i="7"/>
  <c r="AL35" i="7"/>
  <c r="AE112" i="7"/>
  <c r="AE113" i="7" s="1"/>
  <c r="AD112" i="7"/>
  <c r="AD113" i="7" s="1"/>
  <c r="AL767" i="7"/>
  <c r="AL765" i="7"/>
  <c r="AL763" i="7"/>
  <c r="AL761" i="7"/>
  <c r="AL759" i="7"/>
  <c r="AL734" i="7"/>
  <c r="AL733" i="7"/>
  <c r="AL732" i="7"/>
  <c r="AL731" i="7"/>
  <c r="AL730" i="7"/>
  <c r="AL729" i="7"/>
  <c r="AL728" i="7"/>
  <c r="AL727" i="7"/>
  <c r="AL726" i="7"/>
  <c r="AL703" i="7"/>
  <c r="AL702" i="7"/>
  <c r="AL701" i="7"/>
  <c r="AL766" i="7"/>
  <c r="AL760" i="7"/>
  <c r="AL762" i="7"/>
  <c r="AL758" i="7"/>
  <c r="AL764" i="7"/>
  <c r="AL735" i="7"/>
  <c r="AL699" i="7"/>
  <c r="AL697" i="7"/>
  <c r="AL695" i="7"/>
  <c r="AL700" i="7"/>
  <c r="AL698" i="7"/>
  <c r="AL696" i="7"/>
  <c r="AL694" i="7"/>
  <c r="AL784" i="7"/>
  <c r="AL62" i="7"/>
  <c r="AL28" i="7"/>
  <c r="AM2" i="7"/>
  <c r="AF652" i="7"/>
  <c r="AG677" i="7"/>
  <c r="C475" i="7"/>
  <c r="C338" i="7"/>
  <c r="AF248" i="7"/>
  <c r="AF211" i="7"/>
  <c r="AF77" i="7"/>
  <c r="AE104" i="7"/>
  <c r="AF736" i="7"/>
  <c r="AF721" i="7" s="1"/>
  <c r="AF102" i="7" s="1"/>
  <c r="AF39" i="7"/>
  <c r="AF704" i="7"/>
  <c r="AF689" i="7" s="1"/>
  <c r="AF101" i="7" s="1"/>
  <c r="AF768" i="7"/>
  <c r="AF753" i="7" s="1"/>
  <c r="AF103" i="7" s="1"/>
  <c r="AF93" i="7"/>
  <c r="AG779" i="7"/>
  <c r="AG778" i="7"/>
  <c r="AG777" i="7"/>
  <c r="AG775" i="7"/>
  <c r="AG774" i="7"/>
  <c r="AG773" i="7"/>
  <c r="AG772" i="7"/>
  <c r="AG418" i="7"/>
  <c r="AG416" i="7"/>
  <c r="AG415" i="7"/>
  <c r="AG414" i="7"/>
  <c r="AG413" i="7"/>
  <c r="AG412" i="7"/>
  <c r="AG411" i="7"/>
  <c r="AG770" i="7"/>
  <c r="AG410" i="7"/>
  <c r="AG392" i="7"/>
  <c r="AG391" i="7"/>
  <c r="AG390" i="7"/>
  <c r="AG389" i="7"/>
  <c r="AG388" i="7"/>
  <c r="AG387" i="7"/>
  <c r="AG386" i="7"/>
  <c r="AG409" i="7"/>
  <c r="AG747" i="7"/>
  <c r="AG746" i="7"/>
  <c r="AG745" i="7"/>
  <c r="AG744" i="7"/>
  <c r="AG743" i="7"/>
  <c r="AG742" i="7"/>
  <c r="AG741" i="7"/>
  <c r="AG739" i="7"/>
  <c r="AG738" i="7"/>
  <c r="AG385" i="7"/>
  <c r="AG367" i="7"/>
  <c r="AG366" i="7"/>
  <c r="AG365" i="7"/>
  <c r="AG364" i="7"/>
  <c r="AG363" i="7"/>
  <c r="AG362" i="7"/>
  <c r="AG384" i="7"/>
  <c r="AG383" i="7"/>
  <c r="AG715" i="7"/>
  <c r="AG714" i="7"/>
  <c r="AG713" i="7"/>
  <c r="AG712" i="7"/>
  <c r="AG711" i="7"/>
  <c r="AG710" i="7"/>
  <c r="AG709" i="7"/>
  <c r="AG707" i="7"/>
  <c r="AG706" i="7"/>
  <c r="AG361" i="7"/>
  <c r="AG360" i="7"/>
  <c r="AG359" i="7"/>
  <c r="AG358" i="7"/>
  <c r="AG595" i="7"/>
  <c r="AG589" i="7"/>
  <c r="AG475" i="7"/>
  <c r="AG474" i="7"/>
  <c r="AG473" i="7"/>
  <c r="AG472" i="7"/>
  <c r="AG471" i="7"/>
  <c r="AG470" i="7"/>
  <c r="AG417" i="7"/>
  <c r="AG490" i="7"/>
  <c r="AG353" i="7"/>
  <c r="AG338" i="7"/>
  <c r="AG337" i="7"/>
  <c r="AG336" i="7"/>
  <c r="AG335" i="7"/>
  <c r="AG334" i="7"/>
  <c r="AG333" i="7"/>
  <c r="AG37" i="7"/>
  <c r="AF500" i="7"/>
  <c r="AF354" i="7"/>
  <c r="AF498" i="7"/>
  <c r="AF497" i="7"/>
  <c r="AF501" i="7"/>
  <c r="AF521" i="7"/>
  <c r="AF525" i="7"/>
  <c r="AF529" i="7"/>
  <c r="AF549" i="7"/>
  <c r="AF553" i="7"/>
  <c r="AF491" i="7"/>
  <c r="AF522" i="7"/>
  <c r="AF526" i="7"/>
  <c r="AF530" i="7"/>
  <c r="AF550" i="7"/>
  <c r="AF554" i="7"/>
  <c r="AF496" i="7"/>
  <c r="AF504" i="7"/>
  <c r="AF502" i="7"/>
  <c r="AF495" i="7"/>
  <c r="AF499" i="7"/>
  <c r="AF503" i="7"/>
  <c r="AF523" i="7"/>
  <c r="AF527" i="7"/>
  <c r="AF547" i="7"/>
  <c r="AF551" i="7"/>
  <c r="AF555" i="7"/>
  <c r="AF524" i="7"/>
  <c r="AF528" i="7"/>
  <c r="AF548" i="7"/>
  <c r="AF552" i="7"/>
  <c r="AF556" i="7"/>
  <c r="AG669" i="7"/>
  <c r="AM649" i="7" l="1"/>
  <c r="AM29" i="7"/>
  <c r="AM60" i="7"/>
  <c r="AM655" i="7"/>
  <c r="AM656" i="7" s="1"/>
  <c r="AM664" i="7"/>
  <c r="AM665" i="7" s="1"/>
  <c r="AM662" i="7"/>
  <c r="AM644" i="7" s="1"/>
  <c r="AM661" i="7"/>
  <c r="AM660" i="7"/>
  <c r="AM31" i="7"/>
  <c r="AM61" i="7" s="1"/>
  <c r="AM643" i="7"/>
  <c r="AM651" i="7"/>
  <c r="AN196" i="7"/>
  <c r="AM648" i="7"/>
  <c r="AL650" i="7"/>
  <c r="AL642" i="7" s="1"/>
  <c r="AM676" i="7"/>
  <c r="AM682" i="7"/>
  <c r="AM484" i="7"/>
  <c r="AM347" i="7"/>
  <c r="AL95" i="7"/>
  <c r="AM683" i="7"/>
  <c r="AM588" i="7"/>
  <c r="AM594" i="7"/>
  <c r="AM626" i="7"/>
  <c r="AM634" i="7"/>
  <c r="AM630" i="7"/>
  <c r="AM622" i="7"/>
  <c r="AM38" i="7"/>
  <c r="AM42" i="7"/>
  <c r="AM35" i="7"/>
  <c r="AF112" i="7"/>
  <c r="AF113" i="7" s="1"/>
  <c r="AM767" i="7"/>
  <c r="AM766" i="7"/>
  <c r="AM765" i="7"/>
  <c r="AM764" i="7"/>
  <c r="AM763" i="7"/>
  <c r="AM762" i="7"/>
  <c r="AM761" i="7"/>
  <c r="AM760" i="7"/>
  <c r="AM759" i="7"/>
  <c r="AM735" i="7"/>
  <c r="AM758" i="7"/>
  <c r="AM734" i="7"/>
  <c r="AM732" i="7"/>
  <c r="AM730" i="7"/>
  <c r="AM733" i="7"/>
  <c r="AM731" i="7"/>
  <c r="AM729" i="7"/>
  <c r="AM727" i="7"/>
  <c r="AM703" i="7"/>
  <c r="AM701" i="7"/>
  <c r="AM697" i="7"/>
  <c r="AM726" i="7"/>
  <c r="AM700" i="7"/>
  <c r="AM698" i="7"/>
  <c r="AM696" i="7"/>
  <c r="AM694" i="7"/>
  <c r="AM728" i="7"/>
  <c r="AM702" i="7"/>
  <c r="AM699" i="7"/>
  <c r="AM695" i="7"/>
  <c r="AM784" i="7"/>
  <c r="AM28" i="7"/>
  <c r="AM62" i="7"/>
  <c r="AN2" i="7"/>
  <c r="AG652" i="7"/>
  <c r="AH677" i="7"/>
  <c r="AG248" i="7"/>
  <c r="AG211" i="7"/>
  <c r="AG77" i="7"/>
  <c r="AG768" i="7"/>
  <c r="AG753" i="7" s="1"/>
  <c r="AG103" i="7" s="1"/>
  <c r="AF104" i="7"/>
  <c r="AH779" i="7"/>
  <c r="AH778" i="7"/>
  <c r="AH777" i="7"/>
  <c r="AH775" i="7"/>
  <c r="AH774" i="7"/>
  <c r="AH773" i="7"/>
  <c r="AH772" i="7"/>
  <c r="AH770" i="7"/>
  <c r="AH418" i="7"/>
  <c r="AH417" i="7"/>
  <c r="AH416" i="7"/>
  <c r="AH415" i="7"/>
  <c r="AH414" i="7"/>
  <c r="AH412" i="7"/>
  <c r="AH411" i="7"/>
  <c r="AH410" i="7"/>
  <c r="AH409" i="7"/>
  <c r="AH747" i="7"/>
  <c r="AH746" i="7"/>
  <c r="AH745" i="7"/>
  <c r="AH744" i="7"/>
  <c r="AH743" i="7"/>
  <c r="AH742" i="7"/>
  <c r="AH741" i="7"/>
  <c r="AH739" i="7"/>
  <c r="AH738" i="7"/>
  <c r="AH392" i="7"/>
  <c r="AH391" i="7"/>
  <c r="AH390" i="7"/>
  <c r="AH389" i="7"/>
  <c r="AH388" i="7"/>
  <c r="AH387" i="7"/>
  <c r="AH386" i="7"/>
  <c r="AH385" i="7"/>
  <c r="AH384" i="7"/>
  <c r="AH383" i="7"/>
  <c r="AH715" i="7"/>
  <c r="AH714" i="7"/>
  <c r="AH713" i="7"/>
  <c r="AH712" i="7"/>
  <c r="AH711" i="7"/>
  <c r="AH710" i="7"/>
  <c r="AH709" i="7"/>
  <c r="AH707" i="7"/>
  <c r="AH706" i="7"/>
  <c r="AH367" i="7"/>
  <c r="AH366" i="7"/>
  <c r="AH365" i="7"/>
  <c r="AH364" i="7"/>
  <c r="AH363" i="7"/>
  <c r="AH362" i="7"/>
  <c r="AH361" i="7"/>
  <c r="AH360" i="7"/>
  <c r="AH359" i="7"/>
  <c r="AH358" i="7"/>
  <c r="AH595" i="7"/>
  <c r="AH589" i="7"/>
  <c r="AH490" i="7"/>
  <c r="AH475" i="7"/>
  <c r="AH474" i="7"/>
  <c r="AH473" i="7"/>
  <c r="AH472" i="7"/>
  <c r="AH471" i="7"/>
  <c r="AH470" i="7"/>
  <c r="AH413" i="7"/>
  <c r="AH353" i="7"/>
  <c r="AH338" i="7"/>
  <c r="AH337" i="7"/>
  <c r="AH336" i="7"/>
  <c r="AH335" i="7"/>
  <c r="AH334" i="7"/>
  <c r="AH333" i="7"/>
  <c r="AH37" i="7"/>
  <c r="AG354" i="7"/>
  <c r="AG499" i="7"/>
  <c r="AG497" i="7"/>
  <c r="AG496" i="7"/>
  <c r="AG500" i="7"/>
  <c r="AG504" i="7"/>
  <c r="AG524" i="7"/>
  <c r="AG528" i="7"/>
  <c r="AG548" i="7"/>
  <c r="AG552" i="7"/>
  <c r="AG556" i="7"/>
  <c r="AG521" i="7"/>
  <c r="AG525" i="7"/>
  <c r="AG529" i="7"/>
  <c r="AG549" i="7"/>
  <c r="AG553" i="7"/>
  <c r="AG491" i="7"/>
  <c r="AG39" i="7"/>
  <c r="AG93" i="7"/>
  <c r="AG704" i="7"/>
  <c r="AG689" i="7" s="1"/>
  <c r="AG101" i="7" s="1"/>
  <c r="AG736" i="7"/>
  <c r="AG721" i="7" s="1"/>
  <c r="AG102" i="7" s="1"/>
  <c r="AG495" i="7"/>
  <c r="AG503" i="7"/>
  <c r="AG501" i="7"/>
  <c r="AG498" i="7"/>
  <c r="AG502" i="7"/>
  <c r="AG522" i="7"/>
  <c r="AG526" i="7"/>
  <c r="AG530" i="7"/>
  <c r="AG550" i="7"/>
  <c r="AG554" i="7"/>
  <c r="AG523" i="7"/>
  <c r="AG527" i="7"/>
  <c r="AG547" i="7"/>
  <c r="AG551" i="7"/>
  <c r="AG555" i="7"/>
  <c r="AH669" i="7"/>
  <c r="AN649" i="7" l="1"/>
  <c r="AN29" i="7"/>
  <c r="AN60" i="7"/>
  <c r="AN655" i="7"/>
  <c r="AN656" i="7" s="1"/>
  <c r="AN664" i="7"/>
  <c r="AN665" i="7" s="1"/>
  <c r="AN662" i="7"/>
  <c r="AN644" i="7" s="1"/>
  <c r="AN661" i="7"/>
  <c r="AN660" i="7"/>
  <c r="AN31" i="7"/>
  <c r="AN61" i="7" s="1"/>
  <c r="AN643" i="7"/>
  <c r="AN651" i="7"/>
  <c r="AO196" i="7"/>
  <c r="AM650" i="7"/>
  <c r="AM642" i="7" s="1"/>
  <c r="AN648" i="7"/>
  <c r="AN682" i="7"/>
  <c r="AN676" i="7"/>
  <c r="AN484" i="7"/>
  <c r="AN347" i="7"/>
  <c r="AM95" i="7"/>
  <c r="AN683" i="7"/>
  <c r="AN594" i="7"/>
  <c r="AN588" i="7"/>
  <c r="AN634" i="7"/>
  <c r="AN630" i="7"/>
  <c r="AN626" i="7"/>
  <c r="AN622" i="7"/>
  <c r="AN38" i="7"/>
  <c r="AN42" i="7"/>
  <c r="AN35" i="7"/>
  <c r="AN766" i="7"/>
  <c r="AN764" i="7"/>
  <c r="AN762" i="7"/>
  <c r="AN760" i="7"/>
  <c r="AN765" i="7"/>
  <c r="AN761" i="7"/>
  <c r="AN759" i="7"/>
  <c r="AN732" i="7"/>
  <c r="AN728" i="7"/>
  <c r="AN726" i="7"/>
  <c r="AN767" i="7"/>
  <c r="AN763" i="7"/>
  <c r="AN735" i="7"/>
  <c r="AN733" i="7"/>
  <c r="AN731" i="7"/>
  <c r="AN729" i="7"/>
  <c r="AN758" i="7"/>
  <c r="AN700" i="7"/>
  <c r="AN699" i="7"/>
  <c r="AN698" i="7"/>
  <c r="AN697" i="7"/>
  <c r="AN696" i="7"/>
  <c r="AN695" i="7"/>
  <c r="AN694" i="7"/>
  <c r="AN734" i="7"/>
  <c r="AN730" i="7"/>
  <c r="AN702" i="7"/>
  <c r="AN701" i="7"/>
  <c r="AN727" i="7"/>
  <c r="AN703" i="7"/>
  <c r="AN784" i="7"/>
  <c r="AN28" i="7"/>
  <c r="AN62" i="7"/>
  <c r="AO2" i="7"/>
  <c r="AH652" i="7"/>
  <c r="AI677" i="7"/>
  <c r="AH248" i="7"/>
  <c r="AH211" i="7"/>
  <c r="AH77" i="7"/>
  <c r="AH39" i="7"/>
  <c r="AH704" i="7"/>
  <c r="AH689" i="7" s="1"/>
  <c r="AH101" i="7" s="1"/>
  <c r="AH93" i="7"/>
  <c r="AI779" i="7"/>
  <c r="AI778" i="7"/>
  <c r="AI777" i="7"/>
  <c r="AI775" i="7"/>
  <c r="AI774" i="7"/>
  <c r="AI773" i="7"/>
  <c r="AI772" i="7"/>
  <c r="AI770" i="7"/>
  <c r="AI418" i="7"/>
  <c r="AI417" i="7"/>
  <c r="AI416" i="7"/>
  <c r="AI415" i="7"/>
  <c r="AI414" i="7"/>
  <c r="AI413" i="7"/>
  <c r="AI412" i="7"/>
  <c r="AI411" i="7"/>
  <c r="AI409" i="7"/>
  <c r="AI392" i="7"/>
  <c r="AI391" i="7"/>
  <c r="AI390" i="7"/>
  <c r="AI389" i="7"/>
  <c r="AI388" i="7"/>
  <c r="AI387" i="7"/>
  <c r="AI386" i="7"/>
  <c r="AI410" i="7"/>
  <c r="AI747" i="7"/>
  <c r="AI746" i="7"/>
  <c r="AI745" i="7"/>
  <c r="AI744" i="7"/>
  <c r="AI743" i="7"/>
  <c r="AI742" i="7"/>
  <c r="AI741" i="7"/>
  <c r="AI739" i="7"/>
  <c r="AI738" i="7"/>
  <c r="AI367" i="7"/>
  <c r="AI366" i="7"/>
  <c r="AI365" i="7"/>
  <c r="AI364" i="7"/>
  <c r="AI363" i="7"/>
  <c r="AI362" i="7"/>
  <c r="AI385" i="7"/>
  <c r="AI384" i="7"/>
  <c r="AI383" i="7"/>
  <c r="AI715" i="7"/>
  <c r="AI714" i="7"/>
  <c r="AI713" i="7"/>
  <c r="AI712" i="7"/>
  <c r="AI711" i="7"/>
  <c r="AI710" i="7"/>
  <c r="AI709" i="7"/>
  <c r="AI707" i="7"/>
  <c r="AI706" i="7"/>
  <c r="AI360" i="7"/>
  <c r="AI361" i="7"/>
  <c r="AI359" i="7"/>
  <c r="AI358" i="7"/>
  <c r="AI595" i="7"/>
  <c r="AI589" i="7"/>
  <c r="AI475" i="7"/>
  <c r="AI474" i="7"/>
  <c r="AI473" i="7"/>
  <c r="AI472" i="7"/>
  <c r="AI471" i="7"/>
  <c r="AI470" i="7"/>
  <c r="AI490" i="7"/>
  <c r="AI353" i="7"/>
  <c r="AI338" i="7"/>
  <c r="AI337" i="7"/>
  <c r="AI336" i="7"/>
  <c r="AI335" i="7"/>
  <c r="AI334" i="7"/>
  <c r="AI333" i="7"/>
  <c r="AI37" i="7"/>
  <c r="AH502" i="7"/>
  <c r="AH500" i="7"/>
  <c r="AH497" i="7"/>
  <c r="AH501" i="7"/>
  <c r="AH521" i="7"/>
  <c r="AH525" i="7"/>
  <c r="AH529" i="7"/>
  <c r="AH549" i="7"/>
  <c r="AH553" i="7"/>
  <c r="AH491" i="7"/>
  <c r="AH522" i="7"/>
  <c r="AH526" i="7"/>
  <c r="AH530" i="7"/>
  <c r="AH550" i="7"/>
  <c r="AH554" i="7"/>
  <c r="AG104" i="7"/>
  <c r="AH498" i="7"/>
  <c r="AH354" i="7"/>
  <c r="AH496" i="7"/>
  <c r="AH504" i="7"/>
  <c r="AH495" i="7"/>
  <c r="AH499" i="7"/>
  <c r="AH503" i="7"/>
  <c r="AH523" i="7"/>
  <c r="AH527" i="7"/>
  <c r="AH547" i="7"/>
  <c r="AH551" i="7"/>
  <c r="AH555" i="7"/>
  <c r="AH524" i="7"/>
  <c r="AH528" i="7"/>
  <c r="AH548" i="7"/>
  <c r="AH552" i="7"/>
  <c r="AH556" i="7"/>
  <c r="AI669" i="7"/>
  <c r="AH736" i="7"/>
  <c r="AH721" i="7" s="1"/>
  <c r="AH102" i="7" s="1"/>
  <c r="AH768" i="7"/>
  <c r="AH753" i="7" s="1"/>
  <c r="AH103" i="7" s="1"/>
  <c r="AO29" i="7" l="1"/>
  <c r="AO649" i="7"/>
  <c r="AO60" i="7"/>
  <c r="AO655" i="7"/>
  <c r="AO656" i="7" s="1"/>
  <c r="AO664" i="7"/>
  <c r="AO665" i="7" s="1"/>
  <c r="AO662" i="7"/>
  <c r="AO644" i="7" s="1"/>
  <c r="AO661" i="7"/>
  <c r="AO660" i="7"/>
  <c r="AO643" i="7"/>
  <c r="AO31" i="7"/>
  <c r="AO61" i="7" s="1"/>
  <c r="AN650" i="7"/>
  <c r="AN642" i="7" s="1"/>
  <c r="AO651" i="7"/>
  <c r="AP196" i="7"/>
  <c r="AO648" i="7"/>
  <c r="AO676" i="7"/>
  <c r="AO682" i="7"/>
  <c r="AO484" i="7"/>
  <c r="AO347" i="7"/>
  <c r="AN95" i="7"/>
  <c r="AO683" i="7"/>
  <c r="AO594" i="7"/>
  <c r="AO588" i="7"/>
  <c r="AO634" i="7"/>
  <c r="AO630" i="7"/>
  <c r="AO626" i="7"/>
  <c r="AO622" i="7"/>
  <c r="AO38" i="7"/>
  <c r="AO42" i="7"/>
  <c r="AO35" i="7"/>
  <c r="AG112" i="7"/>
  <c r="AG113" i="7" s="1"/>
  <c r="AO758" i="7"/>
  <c r="AO735" i="7"/>
  <c r="AO766" i="7"/>
  <c r="AO764" i="7"/>
  <c r="AO762" i="7"/>
  <c r="AO760" i="7"/>
  <c r="AO767" i="7"/>
  <c r="AO761" i="7"/>
  <c r="AO763" i="7"/>
  <c r="AO733" i="7"/>
  <c r="AO731" i="7"/>
  <c r="AO765" i="7"/>
  <c r="AO759" i="7"/>
  <c r="AO734" i="7"/>
  <c r="AO732" i="7"/>
  <c r="AO730" i="7"/>
  <c r="AO728" i="7"/>
  <c r="AO726" i="7"/>
  <c r="AO702" i="7"/>
  <c r="AO727" i="7"/>
  <c r="AO700" i="7"/>
  <c r="AO698" i="7"/>
  <c r="AO696" i="7"/>
  <c r="AO694" i="7"/>
  <c r="AO729" i="7"/>
  <c r="AO703" i="7"/>
  <c r="AO699" i="7"/>
  <c r="AO697" i="7"/>
  <c r="AO695" i="7"/>
  <c r="AO701" i="7"/>
  <c r="AO784" i="7"/>
  <c r="AO62" i="7"/>
  <c r="AO28" i="7"/>
  <c r="AP2" i="7"/>
  <c r="AI652" i="7"/>
  <c r="AJ677" i="7"/>
  <c r="AI248" i="7"/>
  <c r="AI211" i="7"/>
  <c r="AI77" i="7"/>
  <c r="AH104" i="7"/>
  <c r="AJ779" i="7"/>
  <c r="AJ778" i="7"/>
  <c r="AJ777" i="7"/>
  <c r="AJ775" i="7"/>
  <c r="AJ774" i="7"/>
  <c r="AJ773" i="7"/>
  <c r="AJ772" i="7"/>
  <c r="AJ770" i="7"/>
  <c r="AJ418" i="7"/>
  <c r="AJ417" i="7"/>
  <c r="AJ416" i="7"/>
  <c r="AJ415" i="7"/>
  <c r="AJ414" i="7"/>
  <c r="AJ413" i="7"/>
  <c r="AJ412" i="7"/>
  <c r="AJ411" i="7"/>
  <c r="AJ410" i="7"/>
  <c r="AJ747" i="7"/>
  <c r="AJ746" i="7"/>
  <c r="AJ745" i="7"/>
  <c r="AJ744" i="7"/>
  <c r="AJ743" i="7"/>
  <c r="AJ742" i="7"/>
  <c r="AJ741" i="7"/>
  <c r="AJ739" i="7"/>
  <c r="AJ738" i="7"/>
  <c r="AJ392" i="7"/>
  <c r="AJ391" i="7"/>
  <c r="AJ390" i="7"/>
  <c r="AJ389" i="7"/>
  <c r="AJ388" i="7"/>
  <c r="AJ387" i="7"/>
  <c r="AJ386" i="7"/>
  <c r="AJ385" i="7"/>
  <c r="AJ384" i="7"/>
  <c r="AJ383" i="7"/>
  <c r="AJ715" i="7"/>
  <c r="AJ714" i="7"/>
  <c r="AJ713" i="7"/>
  <c r="AJ712" i="7"/>
  <c r="AJ711" i="7"/>
  <c r="AJ710" i="7"/>
  <c r="AJ709" i="7"/>
  <c r="AJ707" i="7"/>
  <c r="AJ706" i="7"/>
  <c r="AJ367" i="7"/>
  <c r="AJ366" i="7"/>
  <c r="AJ365" i="7"/>
  <c r="AJ364" i="7"/>
  <c r="AJ363" i="7"/>
  <c r="AJ362" i="7"/>
  <c r="AJ361" i="7"/>
  <c r="AJ360" i="7"/>
  <c r="AJ359" i="7"/>
  <c r="AJ358" i="7"/>
  <c r="AJ595" i="7"/>
  <c r="AJ589" i="7"/>
  <c r="AJ490" i="7"/>
  <c r="AJ475" i="7"/>
  <c r="AJ474" i="7"/>
  <c r="AJ473" i="7"/>
  <c r="AJ472" i="7"/>
  <c r="AJ471" i="7"/>
  <c r="AJ470" i="7"/>
  <c r="AJ409" i="7"/>
  <c r="AJ353" i="7"/>
  <c r="AJ338" i="7"/>
  <c r="AJ337" i="7"/>
  <c r="AJ336" i="7"/>
  <c r="AJ335" i="7"/>
  <c r="AJ334" i="7"/>
  <c r="AJ333" i="7"/>
  <c r="AJ37" i="7"/>
  <c r="AI354" i="7"/>
  <c r="AI497" i="7"/>
  <c r="AI499" i="7"/>
  <c r="AI496" i="7"/>
  <c r="AI500" i="7"/>
  <c r="AI504" i="7"/>
  <c r="AI524" i="7"/>
  <c r="AI528" i="7"/>
  <c r="AI548" i="7"/>
  <c r="AI552" i="7"/>
  <c r="AI556" i="7"/>
  <c r="AI521" i="7"/>
  <c r="AI525" i="7"/>
  <c r="AI529" i="7"/>
  <c r="AI549" i="7"/>
  <c r="AI553" i="7"/>
  <c r="AI491" i="7"/>
  <c r="AI39" i="7"/>
  <c r="AI93" i="7"/>
  <c r="AI704" i="7"/>
  <c r="AI689" i="7" s="1"/>
  <c r="AI101" i="7" s="1"/>
  <c r="AI736" i="7"/>
  <c r="AI721" i="7" s="1"/>
  <c r="AI102" i="7" s="1"/>
  <c r="AI501" i="7"/>
  <c r="AI495" i="7"/>
  <c r="AI503" i="7"/>
  <c r="AI498" i="7"/>
  <c r="AI502" i="7"/>
  <c r="AI522" i="7"/>
  <c r="AI526" i="7"/>
  <c r="AI530" i="7"/>
  <c r="AI550" i="7"/>
  <c r="AI554" i="7"/>
  <c r="AI523" i="7"/>
  <c r="AI527" i="7"/>
  <c r="AI547" i="7"/>
  <c r="AI551" i="7"/>
  <c r="AI555" i="7"/>
  <c r="AJ669" i="7"/>
  <c r="AI768" i="7"/>
  <c r="AI753" i="7" s="1"/>
  <c r="AI103" i="7" s="1"/>
  <c r="AP649" i="7" l="1"/>
  <c r="AP29" i="7"/>
  <c r="AP60" i="7"/>
  <c r="AP655" i="7"/>
  <c r="AP656" i="7" s="1"/>
  <c r="AP664" i="7"/>
  <c r="AP665" i="7" s="1"/>
  <c r="AP662" i="7"/>
  <c r="AP644" i="7" s="1"/>
  <c r="AP661" i="7"/>
  <c r="AP660" i="7"/>
  <c r="AP651" i="7"/>
  <c r="AP643" i="7"/>
  <c r="AP31" i="7"/>
  <c r="AP61" i="7" s="1"/>
  <c r="AO650" i="7"/>
  <c r="AO642" i="7" s="1"/>
  <c r="AP648" i="7"/>
  <c r="AP682" i="7"/>
  <c r="AP676" i="7"/>
  <c r="AO95" i="7"/>
  <c r="AP484" i="7"/>
  <c r="AP347" i="7"/>
  <c r="AP683" i="7"/>
  <c r="AP594" i="7"/>
  <c r="AP630" i="7"/>
  <c r="AP626" i="7"/>
  <c r="AP622" i="7"/>
  <c r="AP588" i="7"/>
  <c r="AP634" i="7"/>
  <c r="AP38" i="7"/>
  <c r="AP42" i="7"/>
  <c r="AP35" i="7"/>
  <c r="AH112" i="7"/>
  <c r="AH113" i="7" s="1"/>
  <c r="AP767" i="7"/>
  <c r="AP765" i="7"/>
  <c r="AP763" i="7"/>
  <c r="AP761" i="7"/>
  <c r="AP759" i="7"/>
  <c r="AP766" i="7"/>
  <c r="AP762" i="7"/>
  <c r="AP758" i="7"/>
  <c r="AP734" i="7"/>
  <c r="AP733" i="7"/>
  <c r="AP732" i="7"/>
  <c r="AP731" i="7"/>
  <c r="AP730" i="7"/>
  <c r="AP729" i="7"/>
  <c r="AP728" i="7"/>
  <c r="AP727" i="7"/>
  <c r="AP726" i="7"/>
  <c r="AP703" i="7"/>
  <c r="AP702" i="7"/>
  <c r="AP701" i="7"/>
  <c r="AP735" i="7"/>
  <c r="AP764" i="7"/>
  <c r="AP760" i="7"/>
  <c r="AP699" i="7"/>
  <c r="AP697" i="7"/>
  <c r="AP695" i="7"/>
  <c r="AP700" i="7"/>
  <c r="AP698" i="7"/>
  <c r="AP696" i="7"/>
  <c r="AP694" i="7"/>
  <c r="AP784" i="7"/>
  <c r="AP62" i="7"/>
  <c r="AP28" i="7"/>
  <c r="AJ652" i="7"/>
  <c r="AK677" i="7"/>
  <c r="AJ248" i="7"/>
  <c r="AJ211" i="7"/>
  <c r="AJ77" i="7"/>
  <c r="AK779" i="7"/>
  <c r="AK778" i="7"/>
  <c r="AK777" i="7"/>
  <c r="AK775" i="7"/>
  <c r="AK774" i="7"/>
  <c r="AK773" i="7"/>
  <c r="AK772" i="7"/>
  <c r="AK418" i="7"/>
  <c r="AK416" i="7"/>
  <c r="AK415" i="7"/>
  <c r="AK414" i="7"/>
  <c r="AK413" i="7"/>
  <c r="AK412" i="7"/>
  <c r="AK411" i="7"/>
  <c r="AK770" i="7"/>
  <c r="AK410" i="7"/>
  <c r="AK392" i="7"/>
  <c r="AK391" i="7"/>
  <c r="AK390" i="7"/>
  <c r="AK389" i="7"/>
  <c r="AK388" i="7"/>
  <c r="AK387" i="7"/>
  <c r="AK386" i="7"/>
  <c r="AK409" i="7"/>
  <c r="AK747" i="7"/>
  <c r="AK746" i="7"/>
  <c r="AK745" i="7"/>
  <c r="AK744" i="7"/>
  <c r="AK743" i="7"/>
  <c r="AK742" i="7"/>
  <c r="AK741" i="7"/>
  <c r="AK739" i="7"/>
  <c r="AK738" i="7"/>
  <c r="AK385" i="7"/>
  <c r="AK367" i="7"/>
  <c r="AK366" i="7"/>
  <c r="AK365" i="7"/>
  <c r="AK364" i="7"/>
  <c r="AK363" i="7"/>
  <c r="AK362" i="7"/>
  <c r="AK384" i="7"/>
  <c r="AK383" i="7"/>
  <c r="AK715" i="7"/>
  <c r="AK714" i="7"/>
  <c r="AK713" i="7"/>
  <c r="AK712" i="7"/>
  <c r="AK711" i="7"/>
  <c r="AK710" i="7"/>
  <c r="AK709" i="7"/>
  <c r="AK707" i="7"/>
  <c r="AK706" i="7"/>
  <c r="AK361" i="7"/>
  <c r="AK360" i="7"/>
  <c r="AK359" i="7"/>
  <c r="AK358" i="7"/>
  <c r="AK595" i="7"/>
  <c r="AK589" i="7"/>
  <c r="AK475" i="7"/>
  <c r="AK474" i="7"/>
  <c r="AK473" i="7"/>
  <c r="AK472" i="7"/>
  <c r="AK471" i="7"/>
  <c r="AK470" i="7"/>
  <c r="AK417" i="7"/>
  <c r="AK490" i="7"/>
  <c r="AK353" i="7"/>
  <c r="AK338" i="7"/>
  <c r="AK337" i="7"/>
  <c r="AK336" i="7"/>
  <c r="AK335" i="7"/>
  <c r="AK334" i="7"/>
  <c r="AK333" i="7"/>
  <c r="AK37" i="7"/>
  <c r="AJ496" i="7"/>
  <c r="AJ504" i="7"/>
  <c r="AJ502" i="7"/>
  <c r="AJ495" i="7"/>
  <c r="AJ499" i="7"/>
  <c r="AJ503" i="7"/>
  <c r="AJ523" i="7"/>
  <c r="AJ527" i="7"/>
  <c r="AJ547" i="7"/>
  <c r="AJ551" i="7"/>
  <c r="AJ555" i="7"/>
  <c r="AJ524" i="7"/>
  <c r="AJ528" i="7"/>
  <c r="AJ548" i="7"/>
  <c r="AJ552" i="7"/>
  <c r="AJ556" i="7"/>
  <c r="AK669" i="7"/>
  <c r="AJ39" i="7"/>
  <c r="AJ93" i="7"/>
  <c r="AJ704" i="7"/>
  <c r="AJ689" i="7" s="1"/>
  <c r="AJ101" i="7" s="1"/>
  <c r="AJ736" i="7"/>
  <c r="AJ721" i="7" s="1"/>
  <c r="AJ102" i="7" s="1"/>
  <c r="AJ768" i="7"/>
  <c r="AJ753" i="7" s="1"/>
  <c r="AJ103" i="7" s="1"/>
  <c r="AJ500" i="7"/>
  <c r="AJ354" i="7"/>
  <c r="AJ498" i="7"/>
  <c r="AJ497" i="7"/>
  <c r="AJ501" i="7"/>
  <c r="AJ521" i="7"/>
  <c r="AJ525" i="7"/>
  <c r="AJ529" i="7"/>
  <c r="AJ549" i="7"/>
  <c r="AJ553" i="7"/>
  <c r="AJ491" i="7"/>
  <c r="AJ522" i="7"/>
  <c r="AJ526" i="7"/>
  <c r="AJ530" i="7"/>
  <c r="AJ550" i="7"/>
  <c r="AJ554" i="7"/>
  <c r="AI104" i="7"/>
  <c r="AP642" i="7" l="1"/>
  <c r="AP650" i="7"/>
  <c r="AP95" i="7"/>
  <c r="AI112" i="7"/>
  <c r="AI113" i="7" s="1"/>
  <c r="AK652" i="7"/>
  <c r="AL677" i="7"/>
  <c r="AK248" i="7"/>
  <c r="AK211" i="7"/>
  <c r="AK77" i="7"/>
  <c r="AK768" i="7"/>
  <c r="AK753" i="7" s="1"/>
  <c r="AK103" i="7" s="1"/>
  <c r="AK39" i="7"/>
  <c r="AK495" i="7"/>
  <c r="AK503" i="7"/>
  <c r="AK501" i="7"/>
  <c r="AK498" i="7"/>
  <c r="AK502" i="7"/>
  <c r="AK522" i="7"/>
  <c r="AK526" i="7"/>
  <c r="AK530" i="7"/>
  <c r="AK550" i="7"/>
  <c r="AK554" i="7"/>
  <c r="AK523" i="7"/>
  <c r="AK527" i="7"/>
  <c r="AK547" i="7"/>
  <c r="AK551" i="7"/>
  <c r="AK555" i="7"/>
  <c r="AL669" i="7"/>
  <c r="AL779" i="7"/>
  <c r="AL778" i="7"/>
  <c r="AL776" i="7"/>
  <c r="AL775" i="7"/>
  <c r="AL774" i="7"/>
  <c r="AL773" i="7"/>
  <c r="AL772" i="7"/>
  <c r="AL770" i="7"/>
  <c r="AL418" i="7"/>
  <c r="AL416" i="7"/>
  <c r="AL415" i="7"/>
  <c r="AL414" i="7"/>
  <c r="AL413" i="7"/>
  <c r="AL412" i="7"/>
  <c r="AL411" i="7"/>
  <c r="AL410" i="7"/>
  <c r="AL409" i="7"/>
  <c r="AL747" i="7"/>
  <c r="AL746" i="7"/>
  <c r="AL745" i="7"/>
  <c r="AL744" i="7"/>
  <c r="AL743" i="7"/>
  <c r="AL742" i="7"/>
  <c r="AL741" i="7"/>
  <c r="AL739" i="7"/>
  <c r="AL738" i="7"/>
  <c r="AL392" i="7"/>
  <c r="AL391" i="7"/>
  <c r="AL390" i="7"/>
  <c r="AL389" i="7"/>
  <c r="AL388" i="7"/>
  <c r="AL387" i="7"/>
  <c r="AL386" i="7"/>
  <c r="AL385" i="7"/>
  <c r="AL384" i="7"/>
  <c r="AL383" i="7"/>
  <c r="AL715" i="7"/>
  <c r="AL714" i="7"/>
  <c r="AL713" i="7"/>
  <c r="AL712" i="7"/>
  <c r="AL711" i="7"/>
  <c r="AL710" i="7"/>
  <c r="AL709" i="7"/>
  <c r="AL707" i="7"/>
  <c r="AL706" i="7"/>
  <c r="AL367" i="7"/>
  <c r="AL366" i="7"/>
  <c r="AL365" i="7"/>
  <c r="AL364" i="7"/>
  <c r="AL363" i="7"/>
  <c r="AL362" i="7"/>
  <c r="AL361" i="7"/>
  <c r="AL360" i="7"/>
  <c r="AL359" i="7"/>
  <c r="AL358" i="7"/>
  <c r="AL595" i="7"/>
  <c r="AL589" i="7"/>
  <c r="AL490" i="7"/>
  <c r="AL475" i="7"/>
  <c r="AL474" i="7"/>
  <c r="AL473" i="7"/>
  <c r="AL472" i="7"/>
  <c r="AL471" i="7"/>
  <c r="AL470" i="7"/>
  <c r="AL417" i="7"/>
  <c r="AL353" i="7"/>
  <c r="AL338" i="7"/>
  <c r="AL337" i="7"/>
  <c r="AL336" i="7"/>
  <c r="AL335" i="7"/>
  <c r="AL334" i="7"/>
  <c r="AL333" i="7"/>
  <c r="AL37" i="7"/>
  <c r="AK354" i="7"/>
  <c r="AK499" i="7"/>
  <c r="AK497" i="7"/>
  <c r="AK496" i="7"/>
  <c r="AK500" i="7"/>
  <c r="AK504" i="7"/>
  <c r="AK524" i="7"/>
  <c r="AK528" i="7"/>
  <c r="AK548" i="7"/>
  <c r="AK552" i="7"/>
  <c r="AK556" i="7"/>
  <c r="AK521" i="7"/>
  <c r="AK525" i="7"/>
  <c r="AK529" i="7"/>
  <c r="AK549" i="7"/>
  <c r="AK553" i="7"/>
  <c r="AK491" i="7"/>
  <c r="AJ104" i="7"/>
  <c r="AK93" i="7"/>
  <c r="AK704" i="7"/>
  <c r="AK689" i="7" s="1"/>
  <c r="AK101" i="7" s="1"/>
  <c r="AK736" i="7"/>
  <c r="AK721" i="7" s="1"/>
  <c r="AK102" i="7" s="1"/>
  <c r="AJ112" i="7" l="1"/>
  <c r="AJ113" i="7" s="1"/>
  <c r="AL652" i="7"/>
  <c r="AM677" i="7"/>
  <c r="AL248" i="7"/>
  <c r="AL211" i="7"/>
  <c r="AL77" i="7"/>
  <c r="AL704" i="7"/>
  <c r="AL689" i="7" s="1"/>
  <c r="AL101" i="7" s="1"/>
  <c r="AL768" i="7"/>
  <c r="AL753" i="7" s="1"/>
  <c r="AL103" i="7" s="1"/>
  <c r="AL39" i="7"/>
  <c r="AL736" i="7"/>
  <c r="AL721" i="7" s="1"/>
  <c r="AL102" i="7" s="1"/>
  <c r="AL93" i="7"/>
  <c r="AM779" i="7"/>
  <c r="AM778" i="7"/>
  <c r="AM776" i="7"/>
  <c r="AM775" i="7"/>
  <c r="AM774" i="7"/>
  <c r="AM773" i="7"/>
  <c r="AM772" i="7"/>
  <c r="AM770" i="7"/>
  <c r="AM418" i="7"/>
  <c r="AM417" i="7"/>
  <c r="AM416" i="7"/>
  <c r="AM415" i="7"/>
  <c r="AM414" i="7"/>
  <c r="AM413" i="7"/>
  <c r="AM412" i="7"/>
  <c r="AM411" i="7"/>
  <c r="AM409" i="7"/>
  <c r="AM392" i="7"/>
  <c r="AM391" i="7"/>
  <c r="AM390" i="7"/>
  <c r="AM389" i="7"/>
  <c r="AM388" i="7"/>
  <c r="AM387" i="7"/>
  <c r="AM386" i="7"/>
  <c r="AM410" i="7"/>
  <c r="AM747" i="7"/>
  <c r="AM746" i="7"/>
  <c r="AM745" i="7"/>
  <c r="AM744" i="7"/>
  <c r="AM743" i="7"/>
  <c r="AM742" i="7"/>
  <c r="AM741" i="7"/>
  <c r="AM739" i="7"/>
  <c r="AM738" i="7"/>
  <c r="AM367" i="7"/>
  <c r="AM366" i="7"/>
  <c r="AM365" i="7"/>
  <c r="AM364" i="7"/>
  <c r="AM363" i="7"/>
  <c r="AM362" i="7"/>
  <c r="AM385" i="7"/>
  <c r="AM384" i="7"/>
  <c r="AM383" i="7"/>
  <c r="AM715" i="7"/>
  <c r="AM714" i="7"/>
  <c r="AM713" i="7"/>
  <c r="AM712" i="7"/>
  <c r="AM711" i="7"/>
  <c r="AM710" i="7"/>
  <c r="AM708" i="7"/>
  <c r="AM707" i="7"/>
  <c r="AM706" i="7"/>
  <c r="AM360" i="7"/>
  <c r="AM361" i="7"/>
  <c r="AM359" i="7"/>
  <c r="AM358" i="7"/>
  <c r="AM595" i="7"/>
  <c r="AM589" i="7"/>
  <c r="AM475" i="7"/>
  <c r="AM474" i="7"/>
  <c r="AM473" i="7"/>
  <c r="AM472" i="7"/>
  <c r="AM471" i="7"/>
  <c r="AM470" i="7"/>
  <c r="AM490" i="7"/>
  <c r="AM353" i="7"/>
  <c r="AM338" i="7"/>
  <c r="AM337" i="7"/>
  <c r="AM336" i="7"/>
  <c r="AM335" i="7"/>
  <c r="AM334" i="7"/>
  <c r="AM333" i="7"/>
  <c r="AM37" i="7"/>
  <c r="AL502" i="7"/>
  <c r="AL500" i="7"/>
  <c r="AL497" i="7"/>
  <c r="AL501" i="7"/>
  <c r="AL521" i="7"/>
  <c r="AL525" i="7"/>
  <c r="AL529" i="7"/>
  <c r="AL549" i="7"/>
  <c r="AL553" i="7"/>
  <c r="AL491" i="7"/>
  <c r="AL522" i="7"/>
  <c r="AL526" i="7"/>
  <c r="AL530" i="7"/>
  <c r="AL550" i="7"/>
  <c r="AL554" i="7"/>
  <c r="AK104" i="7"/>
  <c r="AL498" i="7"/>
  <c r="AL354" i="7"/>
  <c r="AL496" i="7"/>
  <c r="AL504" i="7"/>
  <c r="AL495" i="7"/>
  <c r="AL499" i="7"/>
  <c r="AL503" i="7"/>
  <c r="AL523" i="7"/>
  <c r="AL527" i="7"/>
  <c r="AL547" i="7"/>
  <c r="AL551" i="7"/>
  <c r="AL555" i="7"/>
  <c r="AL524" i="7"/>
  <c r="AL528" i="7"/>
  <c r="AL548" i="7"/>
  <c r="AL552" i="7"/>
  <c r="AL556" i="7"/>
  <c r="AM669" i="7"/>
  <c r="AK112" i="7" l="1"/>
  <c r="AK113" i="7" s="1"/>
  <c r="AM652" i="7"/>
  <c r="AN677" i="7"/>
  <c r="AM248" i="7"/>
  <c r="AM211" i="7"/>
  <c r="AM77" i="7"/>
  <c r="AL104" i="7"/>
  <c r="AM39" i="7"/>
  <c r="AM704" i="7"/>
  <c r="AM689" i="7" s="1"/>
  <c r="AM101" i="7" s="1"/>
  <c r="AM736" i="7"/>
  <c r="AM721" i="7" s="1"/>
  <c r="AM102" i="7" s="1"/>
  <c r="AM93" i="7"/>
  <c r="AM501" i="7"/>
  <c r="AM495" i="7"/>
  <c r="AM503" i="7"/>
  <c r="AM498" i="7"/>
  <c r="AM502" i="7"/>
  <c r="AM522" i="7"/>
  <c r="AM526" i="7"/>
  <c r="AM530" i="7"/>
  <c r="AM550" i="7"/>
  <c r="AM554" i="7"/>
  <c r="AM523" i="7"/>
  <c r="AM527" i="7"/>
  <c r="AM547" i="7"/>
  <c r="AM551" i="7"/>
  <c r="AM555" i="7"/>
  <c r="AN669" i="7"/>
  <c r="AM768" i="7"/>
  <c r="AM753" i="7" s="1"/>
  <c r="AM103" i="7" s="1"/>
  <c r="AN779" i="7"/>
  <c r="AN778" i="7"/>
  <c r="AN776" i="7"/>
  <c r="AN775" i="7"/>
  <c r="AN774" i="7"/>
  <c r="AN773" i="7"/>
  <c r="AN772" i="7"/>
  <c r="AN770" i="7"/>
  <c r="AN418" i="7"/>
  <c r="AN417" i="7"/>
  <c r="AN416" i="7"/>
  <c r="AN415" i="7"/>
  <c r="AN414" i="7"/>
  <c r="AN413" i="7"/>
  <c r="AN412" i="7"/>
  <c r="AN411" i="7"/>
  <c r="AN410" i="7"/>
  <c r="AN409" i="7"/>
  <c r="AN747" i="7"/>
  <c r="AN746" i="7"/>
  <c r="AN745" i="7"/>
  <c r="AN744" i="7"/>
  <c r="AN743" i="7"/>
  <c r="AN742" i="7"/>
  <c r="AN741" i="7"/>
  <c r="AN739" i="7"/>
  <c r="AN738" i="7"/>
  <c r="AN391" i="7"/>
  <c r="AN390" i="7"/>
  <c r="AN389" i="7"/>
  <c r="AN388" i="7"/>
  <c r="AN387" i="7"/>
  <c r="AN386" i="7"/>
  <c r="AN385" i="7"/>
  <c r="AN384" i="7"/>
  <c r="AN383" i="7"/>
  <c r="AN715" i="7"/>
  <c r="AN714" i="7"/>
  <c r="AN713" i="7"/>
  <c r="AN712" i="7"/>
  <c r="AN711" i="7"/>
  <c r="AN710" i="7"/>
  <c r="AN708" i="7"/>
  <c r="AN707" i="7"/>
  <c r="AN706" i="7"/>
  <c r="AN367" i="7"/>
  <c r="AN366" i="7"/>
  <c r="AN365" i="7"/>
  <c r="AN364" i="7"/>
  <c r="AN363" i="7"/>
  <c r="AN362" i="7"/>
  <c r="AN361" i="7"/>
  <c r="AN360" i="7"/>
  <c r="AN359" i="7"/>
  <c r="AN358" i="7"/>
  <c r="AN595" i="7"/>
  <c r="AN589" i="7"/>
  <c r="AN490" i="7"/>
  <c r="AN392" i="7"/>
  <c r="AN475" i="7"/>
  <c r="AN474" i="7"/>
  <c r="AN473" i="7"/>
  <c r="AN472" i="7"/>
  <c r="AN471" i="7"/>
  <c r="AN470" i="7"/>
  <c r="AN353" i="7"/>
  <c r="AN338" i="7"/>
  <c r="AN337" i="7"/>
  <c r="AN336" i="7"/>
  <c r="AN335" i="7"/>
  <c r="AN334" i="7"/>
  <c r="AN333" i="7"/>
  <c r="AN37" i="7"/>
  <c r="AM354" i="7"/>
  <c r="AM497" i="7"/>
  <c r="AM499" i="7"/>
  <c r="AM496" i="7"/>
  <c r="AM500" i="7"/>
  <c r="AM504" i="7"/>
  <c r="AM524" i="7"/>
  <c r="AM528" i="7"/>
  <c r="AM548" i="7"/>
  <c r="AM552" i="7"/>
  <c r="AM556" i="7"/>
  <c r="AM521" i="7"/>
  <c r="AM525" i="7"/>
  <c r="AM529" i="7"/>
  <c r="AM549" i="7"/>
  <c r="AM553" i="7"/>
  <c r="AM491" i="7"/>
  <c r="AL112" i="7" l="1"/>
  <c r="AL113" i="7" s="1"/>
  <c r="AN652" i="7"/>
  <c r="AO677" i="7"/>
  <c r="AN248" i="7"/>
  <c r="AN211" i="7"/>
  <c r="AN77" i="7"/>
  <c r="AM104" i="7"/>
  <c r="AN500" i="7"/>
  <c r="AN354" i="7"/>
  <c r="AN498" i="7"/>
  <c r="AN497" i="7"/>
  <c r="AN501" i="7"/>
  <c r="AN521" i="7"/>
  <c r="AN525" i="7"/>
  <c r="AN529" i="7"/>
  <c r="AN549" i="7"/>
  <c r="AN553" i="7"/>
  <c r="AN491" i="7"/>
  <c r="AN522" i="7"/>
  <c r="AN526" i="7"/>
  <c r="AN530" i="7"/>
  <c r="AN550" i="7"/>
  <c r="AN554" i="7"/>
  <c r="AO779" i="7"/>
  <c r="AO778" i="7"/>
  <c r="AO776" i="7"/>
  <c r="AO775" i="7"/>
  <c r="AO774" i="7"/>
  <c r="AO773" i="7"/>
  <c r="AO772" i="7"/>
  <c r="AO418" i="7"/>
  <c r="AO416" i="7"/>
  <c r="AO415" i="7"/>
  <c r="AO414" i="7"/>
  <c r="AO413" i="7"/>
  <c r="AO412" i="7"/>
  <c r="AO411" i="7"/>
  <c r="AO770" i="7"/>
  <c r="AO410" i="7"/>
  <c r="AO392" i="7"/>
  <c r="AO391" i="7"/>
  <c r="AO390" i="7"/>
  <c r="AO389" i="7"/>
  <c r="AO388" i="7"/>
  <c r="AO387" i="7"/>
  <c r="AO386" i="7"/>
  <c r="AO409" i="7"/>
  <c r="AO747" i="7"/>
  <c r="AO746" i="7"/>
  <c r="AO745" i="7"/>
  <c r="AO744" i="7"/>
  <c r="AO743" i="7"/>
  <c r="AO742" i="7"/>
  <c r="AO741" i="7"/>
  <c r="AO739" i="7"/>
  <c r="AO738" i="7"/>
  <c r="AO385" i="7"/>
  <c r="AO367" i="7"/>
  <c r="AO366" i="7"/>
  <c r="AO365" i="7"/>
  <c r="AO364" i="7"/>
  <c r="AO363" i="7"/>
  <c r="AO362" i="7"/>
  <c r="AO384" i="7"/>
  <c r="AO383" i="7"/>
  <c r="AO715" i="7"/>
  <c r="AO714" i="7"/>
  <c r="AO713" i="7"/>
  <c r="AO712" i="7"/>
  <c r="AO711" i="7"/>
  <c r="AO710" i="7"/>
  <c r="AO708" i="7"/>
  <c r="AO707" i="7"/>
  <c r="AO706" i="7"/>
  <c r="AO361" i="7"/>
  <c r="AO360" i="7"/>
  <c r="AO359" i="7"/>
  <c r="AO358" i="7"/>
  <c r="AO595" i="7"/>
  <c r="AO589" i="7"/>
  <c r="AO475" i="7"/>
  <c r="AO474" i="7"/>
  <c r="AO473" i="7"/>
  <c r="AO472" i="7"/>
  <c r="AO471" i="7"/>
  <c r="AO470" i="7"/>
  <c r="AO417" i="7"/>
  <c r="AO490" i="7"/>
  <c r="AO353" i="7"/>
  <c r="AO338" i="7"/>
  <c r="AO337" i="7"/>
  <c r="AO336" i="7"/>
  <c r="AO335" i="7"/>
  <c r="AO334" i="7"/>
  <c r="AO333" i="7"/>
  <c r="AO37" i="7"/>
  <c r="AN496" i="7"/>
  <c r="AN504" i="7"/>
  <c r="AN502" i="7"/>
  <c r="AN495" i="7"/>
  <c r="AN499" i="7"/>
  <c r="AN503" i="7"/>
  <c r="AN523" i="7"/>
  <c r="AN527" i="7"/>
  <c r="AN547" i="7"/>
  <c r="AN551" i="7"/>
  <c r="AN555" i="7"/>
  <c r="AN524" i="7"/>
  <c r="AN528" i="7"/>
  <c r="AN548" i="7"/>
  <c r="AN552" i="7"/>
  <c r="AN556" i="7"/>
  <c r="AO669" i="7"/>
  <c r="AN39" i="7"/>
  <c r="AN93" i="7"/>
  <c r="AN704" i="7"/>
  <c r="AN689" i="7" s="1"/>
  <c r="AN101" i="7" s="1"/>
  <c r="AN736" i="7"/>
  <c r="AN721" i="7" s="1"/>
  <c r="AN102" i="7" s="1"/>
  <c r="AN768" i="7"/>
  <c r="AN753" i="7" s="1"/>
  <c r="AN103" i="7" s="1"/>
  <c r="AM112" i="7" l="1"/>
  <c r="AM113" i="7" s="1"/>
  <c r="AO652" i="7"/>
  <c r="AO248" i="7"/>
  <c r="AO211" i="7"/>
  <c r="AO77" i="7"/>
  <c r="AO39" i="7"/>
  <c r="AO704" i="7"/>
  <c r="AO689" i="7" s="1"/>
  <c r="AO101" i="7" s="1"/>
  <c r="AO736" i="7"/>
  <c r="AO721" i="7" s="1"/>
  <c r="AO102" i="7" s="1"/>
  <c r="AO93" i="7"/>
  <c r="AO495" i="7"/>
  <c r="AO503" i="7"/>
  <c r="AO501" i="7"/>
  <c r="AO498" i="7"/>
  <c r="AO502" i="7"/>
  <c r="AO522" i="7"/>
  <c r="AO526" i="7"/>
  <c r="AO530" i="7"/>
  <c r="AO550" i="7"/>
  <c r="AO554" i="7"/>
  <c r="AO523" i="7"/>
  <c r="AO527" i="7"/>
  <c r="AO547" i="7"/>
  <c r="AO551" i="7"/>
  <c r="AO555" i="7"/>
  <c r="AP669" i="7"/>
  <c r="AO768" i="7"/>
  <c r="AO753" i="7" s="1"/>
  <c r="AO103" i="7" s="1"/>
  <c r="AP779" i="7"/>
  <c r="AP778" i="7"/>
  <c r="AP776" i="7"/>
  <c r="AP775" i="7"/>
  <c r="AP774" i="7"/>
  <c r="AP773" i="7"/>
  <c r="AP772" i="7"/>
  <c r="AP770" i="7"/>
  <c r="B767" i="7"/>
  <c r="B766" i="7"/>
  <c r="B765" i="7"/>
  <c r="B764" i="7"/>
  <c r="B763" i="7"/>
  <c r="B762" i="7"/>
  <c r="B761" i="7"/>
  <c r="B760" i="7"/>
  <c r="B759" i="7"/>
  <c r="AP409" i="7"/>
  <c r="AP747" i="7"/>
  <c r="B747" i="7" s="1"/>
  <c r="AP746" i="7"/>
  <c r="B746" i="7" s="1"/>
  <c r="AP745" i="7"/>
  <c r="B745" i="7" s="1"/>
  <c r="AP744" i="7"/>
  <c r="B744" i="7" s="1"/>
  <c r="AP743" i="7"/>
  <c r="B743" i="7" s="1"/>
  <c r="AP742" i="7"/>
  <c r="B742" i="7" s="1"/>
  <c r="AP741" i="7"/>
  <c r="B741" i="7" s="1"/>
  <c r="AP739" i="7"/>
  <c r="AP738" i="7"/>
  <c r="B735" i="7"/>
  <c r="B734" i="7"/>
  <c r="B733" i="7"/>
  <c r="B732" i="7"/>
  <c r="B731" i="7"/>
  <c r="B730" i="7"/>
  <c r="B729" i="7"/>
  <c r="B728" i="7"/>
  <c r="B727" i="7"/>
  <c r="AP383" i="7"/>
  <c r="AP715" i="7"/>
  <c r="B715" i="7" s="1"/>
  <c r="AP714" i="7"/>
  <c r="B714" i="7" s="1"/>
  <c r="AP713" i="7"/>
  <c r="B713" i="7" s="1"/>
  <c r="AP712" i="7"/>
  <c r="B712" i="7" s="1"/>
  <c r="AP711" i="7"/>
  <c r="B711" i="7" s="1"/>
  <c r="AP710" i="7"/>
  <c r="B710" i="7" s="1"/>
  <c r="AP708" i="7"/>
  <c r="AP707" i="7"/>
  <c r="AP706" i="7"/>
  <c r="B703" i="7"/>
  <c r="B702" i="7"/>
  <c r="B701" i="7"/>
  <c r="B700" i="7"/>
  <c r="B699" i="7"/>
  <c r="B698" i="7"/>
  <c r="B697" i="7"/>
  <c r="B696" i="7"/>
  <c r="B695" i="7"/>
  <c r="AP358" i="7"/>
  <c r="AP595" i="7"/>
  <c r="AP589" i="7"/>
  <c r="AP490" i="7"/>
  <c r="AP392" i="7"/>
  <c r="AP475" i="7"/>
  <c r="AP474" i="7"/>
  <c r="AP473" i="7"/>
  <c r="AP472" i="7"/>
  <c r="AP471" i="7"/>
  <c r="AP470" i="7"/>
  <c r="AP353" i="7"/>
  <c r="AP338" i="7"/>
  <c r="AP337" i="7"/>
  <c r="AP336" i="7"/>
  <c r="AP335" i="7"/>
  <c r="AP334" i="7"/>
  <c r="AP333" i="7"/>
  <c r="AP37" i="7"/>
  <c r="AO354" i="7"/>
  <c r="AO499" i="7"/>
  <c r="AO497" i="7"/>
  <c r="AO496" i="7"/>
  <c r="AO500" i="7"/>
  <c r="AO504" i="7"/>
  <c r="AO524" i="7"/>
  <c r="AO528" i="7"/>
  <c r="AO548" i="7"/>
  <c r="AO552" i="7"/>
  <c r="AO556" i="7"/>
  <c r="AO521" i="7"/>
  <c r="AO525" i="7"/>
  <c r="AO529" i="7"/>
  <c r="AO549" i="7"/>
  <c r="AO553" i="7"/>
  <c r="AO491" i="7"/>
  <c r="AN104" i="7"/>
  <c r="AO511" i="7" l="1"/>
  <c r="AO568" i="7"/>
  <c r="AN510" i="7"/>
  <c r="AO561" i="7"/>
  <c r="AO565" i="7"/>
  <c r="AO540" i="7"/>
  <c r="AO537" i="7"/>
  <c r="AO541" i="7"/>
  <c r="AO564" i="7"/>
  <c r="AO370" i="7"/>
  <c r="AN516" i="7"/>
  <c r="AO397" i="7"/>
  <c r="AN562" i="7"/>
  <c r="AN509" i="7"/>
  <c r="AO425" i="7"/>
  <c r="AN514" i="7"/>
  <c r="AN537" i="7"/>
  <c r="AN541" i="7"/>
  <c r="AN564" i="7"/>
  <c r="AP404" i="7"/>
  <c r="AN511" i="7"/>
  <c r="AN534" i="7"/>
  <c r="AN542" i="7"/>
  <c r="AO423" i="7"/>
  <c r="AO427" i="7"/>
  <c r="AO560" i="7"/>
  <c r="AO508" i="7"/>
  <c r="AO516" i="7"/>
  <c r="AO509" i="7"/>
  <c r="AO536" i="7"/>
  <c r="AO562" i="7"/>
  <c r="AN535" i="7"/>
  <c r="AO512" i="7"/>
  <c r="AO396" i="7"/>
  <c r="E374" i="7"/>
  <c r="D374" i="7"/>
  <c r="H374" i="7"/>
  <c r="G374" i="7"/>
  <c r="F374" i="7"/>
  <c r="C374" i="7"/>
  <c r="I374" i="7"/>
  <c r="J374" i="7"/>
  <c r="C512" i="7"/>
  <c r="E512" i="7"/>
  <c r="D512" i="7"/>
  <c r="G512" i="7"/>
  <c r="H512" i="7"/>
  <c r="F512" i="7"/>
  <c r="I512" i="7"/>
  <c r="K374" i="7"/>
  <c r="J512" i="7"/>
  <c r="K512" i="7"/>
  <c r="L374" i="7"/>
  <c r="L512" i="7"/>
  <c r="M374" i="7"/>
  <c r="M512" i="7"/>
  <c r="N374" i="7"/>
  <c r="O374" i="7"/>
  <c r="N512" i="7"/>
  <c r="P374" i="7"/>
  <c r="O512" i="7"/>
  <c r="Q374" i="7"/>
  <c r="P512" i="7"/>
  <c r="R374" i="7"/>
  <c r="Q512" i="7"/>
  <c r="S374" i="7"/>
  <c r="R512" i="7"/>
  <c r="T374" i="7"/>
  <c r="S512" i="7"/>
  <c r="T512" i="7"/>
  <c r="U374" i="7"/>
  <c r="U512" i="7"/>
  <c r="V374" i="7"/>
  <c r="V512" i="7"/>
  <c r="W374" i="7"/>
  <c r="X374" i="7"/>
  <c r="W512" i="7"/>
  <c r="Y374" i="7"/>
  <c r="X512" i="7"/>
  <c r="Y512" i="7"/>
  <c r="Z374" i="7"/>
  <c r="Z512" i="7"/>
  <c r="AA374" i="7"/>
  <c r="AB374" i="7"/>
  <c r="AA512" i="7"/>
  <c r="AC374" i="7"/>
  <c r="AB512" i="7"/>
  <c r="AC512" i="7"/>
  <c r="AD374" i="7"/>
  <c r="AD512" i="7"/>
  <c r="AE374" i="7"/>
  <c r="AF374" i="7"/>
  <c r="AE512" i="7"/>
  <c r="AF512" i="7"/>
  <c r="AG374" i="7"/>
  <c r="AG512" i="7"/>
  <c r="AH374" i="7"/>
  <c r="AH512" i="7"/>
  <c r="AI374" i="7"/>
  <c r="AI512" i="7"/>
  <c r="AJ374" i="7"/>
  <c r="AJ512" i="7"/>
  <c r="AK374" i="7"/>
  <c r="AK512" i="7"/>
  <c r="AL374" i="7"/>
  <c r="AL512" i="7"/>
  <c r="AM374" i="7"/>
  <c r="AN374" i="7"/>
  <c r="AM512" i="7"/>
  <c r="C397" i="7"/>
  <c r="F397" i="7"/>
  <c r="D397" i="7"/>
  <c r="C535" i="7"/>
  <c r="E397" i="7"/>
  <c r="D535" i="7"/>
  <c r="G397" i="7"/>
  <c r="E535" i="7"/>
  <c r="F535" i="7"/>
  <c r="G535" i="7"/>
  <c r="H397" i="7"/>
  <c r="I397" i="7"/>
  <c r="H535" i="7"/>
  <c r="I535" i="7"/>
  <c r="J397" i="7"/>
  <c r="J535" i="7"/>
  <c r="K397" i="7"/>
  <c r="L397" i="7"/>
  <c r="K535" i="7"/>
  <c r="M397" i="7"/>
  <c r="L535" i="7"/>
  <c r="M535" i="7"/>
  <c r="N397" i="7"/>
  <c r="N535" i="7"/>
  <c r="O397" i="7"/>
  <c r="P397" i="7"/>
  <c r="O535" i="7"/>
  <c r="P535" i="7"/>
  <c r="Q397" i="7"/>
  <c r="R397" i="7"/>
  <c r="Q535" i="7"/>
  <c r="R535" i="7"/>
  <c r="S397" i="7"/>
  <c r="T397" i="7"/>
  <c r="S535" i="7"/>
  <c r="U397" i="7"/>
  <c r="T535" i="7"/>
  <c r="V397" i="7"/>
  <c r="U535" i="7"/>
  <c r="V535" i="7"/>
  <c r="W397" i="7"/>
  <c r="W535" i="7"/>
  <c r="X397" i="7"/>
  <c r="Y397" i="7"/>
  <c r="X535" i="7"/>
  <c r="Y535" i="7"/>
  <c r="Z397" i="7"/>
  <c r="Z535" i="7"/>
  <c r="AA397" i="7"/>
  <c r="AA535" i="7"/>
  <c r="AB397" i="7"/>
  <c r="AB535" i="7"/>
  <c r="AC397" i="7"/>
  <c r="AC535" i="7"/>
  <c r="AD397" i="7"/>
  <c r="AD535" i="7"/>
  <c r="AE397" i="7"/>
  <c r="AF397" i="7"/>
  <c r="AE535" i="7"/>
  <c r="AG397" i="7"/>
  <c r="AF535" i="7"/>
  <c r="AG535" i="7"/>
  <c r="AH397" i="7"/>
  <c r="AI397" i="7"/>
  <c r="AH535" i="7"/>
  <c r="AI535" i="7"/>
  <c r="AJ397" i="7"/>
  <c r="AK397" i="7"/>
  <c r="AJ535" i="7"/>
  <c r="AK535" i="7"/>
  <c r="AL397" i="7"/>
  <c r="AL535" i="7"/>
  <c r="AM397" i="7"/>
  <c r="AN397" i="7"/>
  <c r="AM535" i="7"/>
  <c r="H428" i="7"/>
  <c r="D428" i="7"/>
  <c r="E428" i="7"/>
  <c r="G428" i="7"/>
  <c r="F428" i="7"/>
  <c r="C428" i="7"/>
  <c r="I428" i="7"/>
  <c r="J428" i="7"/>
  <c r="K428" i="7"/>
  <c r="J566" i="7"/>
  <c r="L428" i="7"/>
  <c r="I566" i="7"/>
  <c r="H566" i="7"/>
  <c r="C566" i="7"/>
  <c r="E566" i="7"/>
  <c r="G566" i="7"/>
  <c r="K566" i="7"/>
  <c r="F566" i="7"/>
  <c r="D566" i="7"/>
  <c r="L566" i="7"/>
  <c r="M428" i="7"/>
  <c r="M566" i="7"/>
  <c r="N428" i="7"/>
  <c r="N566" i="7"/>
  <c r="O428" i="7"/>
  <c r="P428" i="7"/>
  <c r="O566" i="7"/>
  <c r="P566" i="7"/>
  <c r="Q428" i="7"/>
  <c r="R428" i="7"/>
  <c r="Q566" i="7"/>
  <c r="R566" i="7"/>
  <c r="S428" i="7"/>
  <c r="T428" i="7"/>
  <c r="S566" i="7"/>
  <c r="U428" i="7"/>
  <c r="T566" i="7"/>
  <c r="V428" i="7"/>
  <c r="U566" i="7"/>
  <c r="V566" i="7"/>
  <c r="W428" i="7"/>
  <c r="W566" i="7"/>
  <c r="X428" i="7"/>
  <c r="X566" i="7"/>
  <c r="Y428" i="7"/>
  <c r="Y566" i="7"/>
  <c r="Z428" i="7"/>
  <c r="Z566" i="7"/>
  <c r="AA428" i="7"/>
  <c r="AB428" i="7"/>
  <c r="AA566" i="7"/>
  <c r="AC428" i="7"/>
  <c r="AB566" i="7"/>
  <c r="AC566" i="7"/>
  <c r="AD428" i="7"/>
  <c r="AE428" i="7"/>
  <c r="AD566" i="7"/>
  <c r="AF428" i="7"/>
  <c r="AE566" i="7"/>
  <c r="AG428" i="7"/>
  <c r="AF566" i="7"/>
  <c r="AH428" i="7"/>
  <c r="AG566" i="7"/>
  <c r="AI428" i="7"/>
  <c r="AH566" i="7"/>
  <c r="AI566" i="7"/>
  <c r="AJ428" i="7"/>
  <c r="AK428" i="7"/>
  <c r="AJ566" i="7"/>
  <c r="AL428" i="7"/>
  <c r="AK566" i="7"/>
  <c r="AL566" i="7"/>
  <c r="AM428" i="7"/>
  <c r="AN428" i="7"/>
  <c r="AM566" i="7"/>
  <c r="AO539" i="7"/>
  <c r="AO510" i="7"/>
  <c r="AN561" i="7"/>
  <c r="AN565" i="7"/>
  <c r="AO378" i="7"/>
  <c r="AO371" i="7"/>
  <c r="G375" i="7"/>
  <c r="F375" i="7"/>
  <c r="H375" i="7"/>
  <c r="D375" i="7"/>
  <c r="C375" i="7"/>
  <c r="I375" i="7"/>
  <c r="E375" i="7"/>
  <c r="J375" i="7"/>
  <c r="C513" i="7"/>
  <c r="K375" i="7"/>
  <c r="J513" i="7"/>
  <c r="I513" i="7"/>
  <c r="D513" i="7"/>
  <c r="F513" i="7"/>
  <c r="E513" i="7"/>
  <c r="G513" i="7"/>
  <c r="H513" i="7"/>
  <c r="L375" i="7"/>
  <c r="K513" i="7"/>
  <c r="M375" i="7"/>
  <c r="L513" i="7"/>
  <c r="N375" i="7"/>
  <c r="M513" i="7"/>
  <c r="O375" i="7"/>
  <c r="N513" i="7"/>
  <c r="P375" i="7"/>
  <c r="O513" i="7"/>
  <c r="P513" i="7"/>
  <c r="Q375" i="7"/>
  <c r="R375" i="7"/>
  <c r="Q513" i="7"/>
  <c r="S375" i="7"/>
  <c r="R513" i="7"/>
  <c r="T375" i="7"/>
  <c r="S513" i="7"/>
  <c r="T513" i="7"/>
  <c r="U375" i="7"/>
  <c r="V375" i="7"/>
  <c r="U513" i="7"/>
  <c r="V513" i="7"/>
  <c r="W375" i="7"/>
  <c r="X375" i="7"/>
  <c r="W513" i="7"/>
  <c r="Y375" i="7"/>
  <c r="X513" i="7"/>
  <c r="Z375" i="7"/>
  <c r="Y513" i="7"/>
  <c r="AA375" i="7"/>
  <c r="Z513" i="7"/>
  <c r="AB375" i="7"/>
  <c r="AA513" i="7"/>
  <c r="AC375" i="7"/>
  <c r="AB513" i="7"/>
  <c r="AD375" i="7"/>
  <c r="AC513" i="7"/>
  <c r="AE375" i="7"/>
  <c r="AD513" i="7"/>
  <c r="AF375" i="7"/>
  <c r="AE513" i="7"/>
  <c r="AG375" i="7"/>
  <c r="AF513" i="7"/>
  <c r="AH375" i="7"/>
  <c r="AG513" i="7"/>
  <c r="AI375" i="7"/>
  <c r="AH513" i="7"/>
  <c r="AI513" i="7"/>
  <c r="AJ375" i="7"/>
  <c r="AJ513" i="7"/>
  <c r="AK375" i="7"/>
  <c r="AK513" i="7"/>
  <c r="AL375" i="7"/>
  <c r="AM375" i="7"/>
  <c r="AL513" i="7"/>
  <c r="AM513" i="7"/>
  <c r="AN375" i="7"/>
  <c r="D398" i="7"/>
  <c r="F398" i="7"/>
  <c r="G398" i="7"/>
  <c r="E398" i="7"/>
  <c r="C398" i="7"/>
  <c r="G536" i="7"/>
  <c r="C536" i="7"/>
  <c r="H398" i="7"/>
  <c r="E536" i="7"/>
  <c r="F536" i="7"/>
  <c r="D536" i="7"/>
  <c r="I398" i="7"/>
  <c r="H536" i="7"/>
  <c r="I536" i="7"/>
  <c r="J398" i="7"/>
  <c r="J536" i="7"/>
  <c r="K398" i="7"/>
  <c r="L398" i="7"/>
  <c r="K536" i="7"/>
  <c r="L536" i="7"/>
  <c r="M398" i="7"/>
  <c r="M536" i="7"/>
  <c r="N398" i="7"/>
  <c r="N536" i="7"/>
  <c r="O398" i="7"/>
  <c r="P398" i="7"/>
  <c r="O536" i="7"/>
  <c r="Q398" i="7"/>
  <c r="P536" i="7"/>
  <c r="R398" i="7"/>
  <c r="Q536" i="7"/>
  <c r="R536" i="7"/>
  <c r="S398" i="7"/>
  <c r="T398" i="7"/>
  <c r="S536" i="7"/>
  <c r="U398" i="7"/>
  <c r="T536" i="7"/>
  <c r="V398" i="7"/>
  <c r="U536" i="7"/>
  <c r="V536" i="7"/>
  <c r="W398" i="7"/>
  <c r="X398" i="7"/>
  <c r="W536" i="7"/>
  <c r="Y398" i="7"/>
  <c r="X536" i="7"/>
  <c r="Z398" i="7"/>
  <c r="Y536" i="7"/>
  <c r="Z536" i="7"/>
  <c r="AA398" i="7"/>
  <c r="AA536" i="7"/>
  <c r="AB398" i="7"/>
  <c r="AC398" i="7"/>
  <c r="AB536" i="7"/>
  <c r="AD398" i="7"/>
  <c r="AC536" i="7"/>
  <c r="AE398" i="7"/>
  <c r="AD536" i="7"/>
  <c r="AF398" i="7"/>
  <c r="AE536" i="7"/>
  <c r="AF536" i="7"/>
  <c r="AG398" i="7"/>
  <c r="AG536" i="7"/>
  <c r="AH398" i="7"/>
  <c r="AH536" i="7"/>
  <c r="AI398" i="7"/>
  <c r="AJ398" i="7"/>
  <c r="AI536" i="7"/>
  <c r="AK398" i="7"/>
  <c r="AJ536" i="7"/>
  <c r="AK536" i="7"/>
  <c r="AL398" i="7"/>
  <c r="AL536" i="7"/>
  <c r="AM398" i="7"/>
  <c r="AM536" i="7"/>
  <c r="AN398" i="7"/>
  <c r="E429" i="7"/>
  <c r="D429" i="7"/>
  <c r="F429" i="7"/>
  <c r="L429" i="7"/>
  <c r="C429" i="7"/>
  <c r="K429" i="7"/>
  <c r="J429" i="7"/>
  <c r="I429" i="7"/>
  <c r="H429" i="7"/>
  <c r="G429" i="7"/>
  <c r="L567" i="7"/>
  <c r="M429" i="7"/>
  <c r="G567" i="7"/>
  <c r="C567" i="7"/>
  <c r="H567" i="7"/>
  <c r="F567" i="7"/>
  <c r="E567" i="7"/>
  <c r="I567" i="7"/>
  <c r="D567" i="7"/>
  <c r="J567" i="7"/>
  <c r="K567" i="7"/>
  <c r="M567" i="7"/>
  <c r="N429" i="7"/>
  <c r="O429" i="7"/>
  <c r="N567" i="7"/>
  <c r="O567" i="7"/>
  <c r="P429" i="7"/>
  <c r="Q429" i="7"/>
  <c r="P567" i="7"/>
  <c r="Q567" i="7"/>
  <c r="R429" i="7"/>
  <c r="R567" i="7"/>
  <c r="S429" i="7"/>
  <c r="S567" i="7"/>
  <c r="T429" i="7"/>
  <c r="U429" i="7"/>
  <c r="T567" i="7"/>
  <c r="U567" i="7"/>
  <c r="V429" i="7"/>
  <c r="W429" i="7"/>
  <c r="V567" i="7"/>
  <c r="W567" i="7"/>
  <c r="X429" i="7"/>
  <c r="X567" i="7"/>
  <c r="Y429" i="7"/>
  <c r="Y567" i="7"/>
  <c r="Z429" i="7"/>
  <c r="AA429" i="7"/>
  <c r="Z567" i="7"/>
  <c r="AA567" i="7"/>
  <c r="AB429" i="7"/>
  <c r="AC429" i="7"/>
  <c r="AB567" i="7"/>
  <c r="AD429" i="7"/>
  <c r="AC567" i="7"/>
  <c r="AE429" i="7"/>
  <c r="AD567" i="7"/>
  <c r="AE567" i="7"/>
  <c r="AF429" i="7"/>
  <c r="AF567" i="7"/>
  <c r="AG429" i="7"/>
  <c r="AG567" i="7"/>
  <c r="AH429" i="7"/>
  <c r="AH567" i="7"/>
  <c r="AI429" i="7"/>
  <c r="AJ429" i="7"/>
  <c r="AI567" i="7"/>
  <c r="AK429" i="7"/>
  <c r="AJ567" i="7"/>
  <c r="AK567" i="7"/>
  <c r="AL429" i="7"/>
  <c r="AM429" i="7"/>
  <c r="AL567" i="7"/>
  <c r="AM567" i="7"/>
  <c r="AN429" i="7"/>
  <c r="AO535" i="7"/>
  <c r="AO513" i="7"/>
  <c r="AO373" i="7"/>
  <c r="AO428" i="7"/>
  <c r="AN567" i="7"/>
  <c r="AN536" i="7"/>
  <c r="H376" i="7"/>
  <c r="G376" i="7"/>
  <c r="K376" i="7"/>
  <c r="F376" i="7"/>
  <c r="I376" i="7"/>
  <c r="J376" i="7"/>
  <c r="C376" i="7"/>
  <c r="D376" i="7"/>
  <c r="E376" i="7"/>
  <c r="G514" i="7"/>
  <c r="H514" i="7"/>
  <c r="D514" i="7"/>
  <c r="C514" i="7"/>
  <c r="I514" i="7"/>
  <c r="F514" i="7"/>
  <c r="L376" i="7"/>
  <c r="K514" i="7"/>
  <c r="J514" i="7"/>
  <c r="E514" i="7"/>
  <c r="L514" i="7"/>
  <c r="M376" i="7"/>
  <c r="M514" i="7"/>
  <c r="N376" i="7"/>
  <c r="N514" i="7"/>
  <c r="O376" i="7"/>
  <c r="O514" i="7"/>
  <c r="P376" i="7"/>
  <c r="P514" i="7"/>
  <c r="Q376" i="7"/>
  <c r="Q514" i="7"/>
  <c r="R376" i="7"/>
  <c r="R514" i="7"/>
  <c r="S376" i="7"/>
  <c r="S514" i="7"/>
  <c r="T376" i="7"/>
  <c r="U376" i="7"/>
  <c r="T514" i="7"/>
  <c r="V376" i="7"/>
  <c r="U514" i="7"/>
  <c r="V514" i="7"/>
  <c r="W376" i="7"/>
  <c r="X376" i="7"/>
  <c r="W514" i="7"/>
  <c r="X514" i="7"/>
  <c r="Y376" i="7"/>
  <c r="Y514" i="7"/>
  <c r="Z376" i="7"/>
  <c r="Z514" i="7"/>
  <c r="AA376" i="7"/>
  <c r="AB376" i="7"/>
  <c r="AA514" i="7"/>
  <c r="AB514" i="7"/>
  <c r="AC376" i="7"/>
  <c r="AC514" i="7"/>
  <c r="AD376" i="7"/>
  <c r="AE376" i="7"/>
  <c r="AD514" i="7"/>
  <c r="AF376" i="7"/>
  <c r="AE514" i="7"/>
  <c r="AG376" i="7"/>
  <c r="AF514" i="7"/>
  <c r="AH376" i="7"/>
  <c r="AG514" i="7"/>
  <c r="AI376" i="7"/>
  <c r="AH514" i="7"/>
  <c r="AJ376" i="7"/>
  <c r="AI514" i="7"/>
  <c r="AJ514" i="7"/>
  <c r="AK376" i="7"/>
  <c r="AK514" i="7"/>
  <c r="AL376" i="7"/>
  <c r="AM376" i="7"/>
  <c r="AL514" i="7"/>
  <c r="AM514" i="7"/>
  <c r="AN376" i="7"/>
  <c r="E399" i="7"/>
  <c r="C399" i="7"/>
  <c r="D399" i="7"/>
  <c r="G399" i="7"/>
  <c r="H399" i="7"/>
  <c r="F399" i="7"/>
  <c r="D537" i="7"/>
  <c r="C537" i="7"/>
  <c r="F537" i="7"/>
  <c r="G537" i="7"/>
  <c r="H537" i="7"/>
  <c r="E537" i="7"/>
  <c r="I399" i="7"/>
  <c r="J399" i="7"/>
  <c r="I537" i="7"/>
  <c r="K399" i="7"/>
  <c r="J537" i="7"/>
  <c r="K537" i="7"/>
  <c r="L399" i="7"/>
  <c r="L537" i="7"/>
  <c r="M399" i="7"/>
  <c r="N399" i="7"/>
  <c r="M537" i="7"/>
  <c r="N537" i="7"/>
  <c r="O399" i="7"/>
  <c r="P399" i="7"/>
  <c r="O537" i="7"/>
  <c r="P537" i="7"/>
  <c r="Q399" i="7"/>
  <c r="R399" i="7"/>
  <c r="Q537" i="7"/>
  <c r="S399" i="7"/>
  <c r="R537" i="7"/>
  <c r="T399" i="7"/>
  <c r="S537" i="7"/>
  <c r="T537" i="7"/>
  <c r="U399" i="7"/>
  <c r="U537" i="7"/>
  <c r="V399" i="7"/>
  <c r="W399" i="7"/>
  <c r="V537" i="7"/>
  <c r="X399" i="7"/>
  <c r="W537" i="7"/>
  <c r="X537" i="7"/>
  <c r="Y399" i="7"/>
  <c r="Y537" i="7"/>
  <c r="Z399" i="7"/>
  <c r="AA399" i="7"/>
  <c r="Z537" i="7"/>
  <c r="AA537" i="7"/>
  <c r="AB399" i="7"/>
  <c r="AB537" i="7"/>
  <c r="AC399" i="7"/>
  <c r="AC537" i="7"/>
  <c r="AD399" i="7"/>
  <c r="AE399" i="7"/>
  <c r="AD537" i="7"/>
  <c r="AE537" i="7"/>
  <c r="AF399" i="7"/>
  <c r="AG399" i="7"/>
  <c r="AF537" i="7"/>
  <c r="AH399" i="7"/>
  <c r="AG537" i="7"/>
  <c r="AI399" i="7"/>
  <c r="AH537" i="7"/>
  <c r="AI537" i="7"/>
  <c r="AJ399" i="7"/>
  <c r="AK399" i="7"/>
  <c r="AJ537" i="7"/>
  <c r="AL399" i="7"/>
  <c r="AK537" i="7"/>
  <c r="AM399" i="7"/>
  <c r="AL537" i="7"/>
  <c r="AM537" i="7"/>
  <c r="AN399" i="7"/>
  <c r="C422" i="7"/>
  <c r="C560" i="7"/>
  <c r="D422" i="7"/>
  <c r="F422" i="7"/>
  <c r="D560" i="7"/>
  <c r="E422" i="7"/>
  <c r="G422" i="7"/>
  <c r="E560" i="7"/>
  <c r="F560" i="7"/>
  <c r="G560" i="7"/>
  <c r="H422" i="7"/>
  <c r="I422" i="7"/>
  <c r="H560" i="7"/>
  <c r="J422" i="7"/>
  <c r="I560" i="7"/>
  <c r="J560" i="7"/>
  <c r="K422" i="7"/>
  <c r="L422" i="7"/>
  <c r="K560" i="7"/>
  <c r="L560" i="7"/>
  <c r="M422" i="7"/>
  <c r="M560" i="7"/>
  <c r="N422" i="7"/>
  <c r="N560" i="7"/>
  <c r="O422" i="7"/>
  <c r="P422" i="7"/>
  <c r="O560" i="7"/>
  <c r="Q422" i="7"/>
  <c r="P560" i="7"/>
  <c r="Q560" i="7"/>
  <c r="R422" i="7"/>
  <c r="R560" i="7"/>
  <c r="S422" i="7"/>
  <c r="S560" i="7"/>
  <c r="T422" i="7"/>
  <c r="U422" i="7"/>
  <c r="T560" i="7"/>
  <c r="U560" i="7"/>
  <c r="V422" i="7"/>
  <c r="V560" i="7"/>
  <c r="W422" i="7"/>
  <c r="X422" i="7"/>
  <c r="W560" i="7"/>
  <c r="Y422" i="7"/>
  <c r="X560" i="7"/>
  <c r="Y560" i="7"/>
  <c r="Z422" i="7"/>
  <c r="AA422" i="7"/>
  <c r="Z560" i="7"/>
  <c r="AB422" i="7"/>
  <c r="AA560" i="7"/>
  <c r="AC422" i="7"/>
  <c r="AB560" i="7"/>
  <c r="AC560" i="7"/>
  <c r="AD422" i="7"/>
  <c r="AD560" i="7"/>
  <c r="AE422" i="7"/>
  <c r="AE560" i="7"/>
  <c r="AF422" i="7"/>
  <c r="AG422" i="7"/>
  <c r="AF560" i="7"/>
  <c r="AH422" i="7"/>
  <c r="AG560" i="7"/>
  <c r="AI422" i="7"/>
  <c r="AH560" i="7"/>
  <c r="AJ422" i="7"/>
  <c r="AI560" i="7"/>
  <c r="AK422" i="7"/>
  <c r="AJ560" i="7"/>
  <c r="AL422" i="7"/>
  <c r="AK560" i="7"/>
  <c r="AL560" i="7"/>
  <c r="AM422" i="7"/>
  <c r="AN422" i="7"/>
  <c r="AM560" i="7"/>
  <c r="C430" i="7"/>
  <c r="L430" i="7"/>
  <c r="D430" i="7"/>
  <c r="I430" i="7"/>
  <c r="E430" i="7"/>
  <c r="K430" i="7"/>
  <c r="G430" i="7"/>
  <c r="F430" i="7"/>
  <c r="J430" i="7"/>
  <c r="H430" i="7"/>
  <c r="M430" i="7"/>
  <c r="F568" i="7"/>
  <c r="G568" i="7"/>
  <c r="K568" i="7"/>
  <c r="H568" i="7"/>
  <c r="D568" i="7"/>
  <c r="E568" i="7"/>
  <c r="L568" i="7"/>
  <c r="C568" i="7"/>
  <c r="J568" i="7"/>
  <c r="M568" i="7"/>
  <c r="N430" i="7"/>
  <c r="I568" i="7"/>
  <c r="N568" i="7"/>
  <c r="O430" i="7"/>
  <c r="O568" i="7"/>
  <c r="P430" i="7"/>
  <c r="P568" i="7"/>
  <c r="Q430" i="7"/>
  <c r="R430" i="7"/>
  <c r="Q568" i="7"/>
  <c r="S430" i="7"/>
  <c r="R568" i="7"/>
  <c r="T430" i="7"/>
  <c r="S568" i="7"/>
  <c r="T568" i="7"/>
  <c r="U430" i="7"/>
  <c r="V430" i="7"/>
  <c r="U568" i="7"/>
  <c r="W430" i="7"/>
  <c r="V568" i="7"/>
  <c r="W568" i="7"/>
  <c r="X430" i="7"/>
  <c r="X568" i="7"/>
  <c r="Y430" i="7"/>
  <c r="Y568" i="7"/>
  <c r="Z430" i="7"/>
  <c r="AA430" i="7"/>
  <c r="Z568" i="7"/>
  <c r="AB430" i="7"/>
  <c r="AA568" i="7"/>
  <c r="AB568" i="7"/>
  <c r="AC430" i="7"/>
  <c r="AC568" i="7"/>
  <c r="AD430" i="7"/>
  <c r="AD568" i="7"/>
  <c r="AE430" i="7"/>
  <c r="AF430" i="7"/>
  <c r="AE568" i="7"/>
  <c r="AF568" i="7"/>
  <c r="AG430" i="7"/>
  <c r="AH430" i="7"/>
  <c r="AG568" i="7"/>
  <c r="AH568" i="7"/>
  <c r="AI430" i="7"/>
  <c r="AJ430" i="7"/>
  <c r="AI568" i="7"/>
  <c r="AK430" i="7"/>
  <c r="AJ568" i="7"/>
  <c r="AL430" i="7"/>
  <c r="AK568" i="7"/>
  <c r="AL568" i="7"/>
  <c r="AM430" i="7"/>
  <c r="AN430" i="7"/>
  <c r="AM568" i="7"/>
  <c r="AO566" i="7"/>
  <c r="AO515" i="7"/>
  <c r="AO429" i="7"/>
  <c r="AO404" i="7"/>
  <c r="AO403" i="7"/>
  <c r="AN513" i="7"/>
  <c r="AO398" i="7"/>
  <c r="E400" i="7"/>
  <c r="I400" i="7"/>
  <c r="F400" i="7"/>
  <c r="H400" i="7"/>
  <c r="C400" i="7"/>
  <c r="G400" i="7"/>
  <c r="D400" i="7"/>
  <c r="C538" i="7"/>
  <c r="E538" i="7"/>
  <c r="J400" i="7"/>
  <c r="F538" i="7"/>
  <c r="H538" i="7"/>
  <c r="I538" i="7"/>
  <c r="D538" i="7"/>
  <c r="G538" i="7"/>
  <c r="J538" i="7"/>
  <c r="K400" i="7"/>
  <c r="K538" i="7"/>
  <c r="L400" i="7"/>
  <c r="L538" i="7"/>
  <c r="M400" i="7"/>
  <c r="N400" i="7"/>
  <c r="M538" i="7"/>
  <c r="O400" i="7"/>
  <c r="N538" i="7"/>
  <c r="P400" i="7"/>
  <c r="O538" i="7"/>
  <c r="P538" i="7"/>
  <c r="Q400" i="7"/>
  <c r="Q538" i="7"/>
  <c r="R400" i="7"/>
  <c r="S400" i="7"/>
  <c r="R538" i="7"/>
  <c r="T400" i="7"/>
  <c r="S538" i="7"/>
  <c r="U400" i="7"/>
  <c r="T538" i="7"/>
  <c r="V400" i="7"/>
  <c r="U538" i="7"/>
  <c r="V538" i="7"/>
  <c r="W400" i="7"/>
  <c r="X400" i="7"/>
  <c r="W538" i="7"/>
  <c r="X538" i="7"/>
  <c r="Y400" i="7"/>
  <c r="Y538" i="7"/>
  <c r="Z400" i="7"/>
  <c r="AA400" i="7"/>
  <c r="Z538" i="7"/>
  <c r="AB400" i="7"/>
  <c r="AA538" i="7"/>
  <c r="AC400" i="7"/>
  <c r="AB538" i="7"/>
  <c r="AC538" i="7"/>
  <c r="AD400" i="7"/>
  <c r="AE400" i="7"/>
  <c r="AD538" i="7"/>
  <c r="AE538" i="7"/>
  <c r="AF400" i="7"/>
  <c r="AG400" i="7"/>
  <c r="AF538" i="7"/>
  <c r="AG538" i="7"/>
  <c r="AH400" i="7"/>
  <c r="AH538" i="7"/>
  <c r="AI400" i="7"/>
  <c r="AJ400" i="7"/>
  <c r="AI538" i="7"/>
  <c r="AK400" i="7"/>
  <c r="AJ538" i="7"/>
  <c r="AL400" i="7"/>
  <c r="AK538" i="7"/>
  <c r="AM400" i="7"/>
  <c r="AL538" i="7"/>
  <c r="AM538" i="7"/>
  <c r="AN400" i="7"/>
  <c r="C370" i="7"/>
  <c r="D370" i="7"/>
  <c r="F370" i="7"/>
  <c r="E370" i="7"/>
  <c r="C508" i="7"/>
  <c r="D508" i="7"/>
  <c r="E508" i="7"/>
  <c r="F508" i="7"/>
  <c r="G370" i="7"/>
  <c r="G508" i="7"/>
  <c r="H370" i="7"/>
  <c r="I370" i="7"/>
  <c r="H508" i="7"/>
  <c r="I508" i="7"/>
  <c r="J370" i="7"/>
  <c r="K370" i="7"/>
  <c r="J508" i="7"/>
  <c r="K508" i="7"/>
  <c r="L370" i="7"/>
  <c r="L508" i="7"/>
  <c r="M370" i="7"/>
  <c r="N370" i="7"/>
  <c r="M508" i="7"/>
  <c r="O370" i="7"/>
  <c r="N508" i="7"/>
  <c r="O508" i="7"/>
  <c r="P370" i="7"/>
  <c r="Q370" i="7"/>
  <c r="P508" i="7"/>
  <c r="R370" i="7"/>
  <c r="Q508" i="7"/>
  <c r="S370" i="7"/>
  <c r="R508" i="7"/>
  <c r="T370" i="7"/>
  <c r="S508" i="7"/>
  <c r="T508" i="7"/>
  <c r="U370" i="7"/>
  <c r="U508" i="7"/>
  <c r="V370" i="7"/>
  <c r="W370" i="7"/>
  <c r="V508" i="7"/>
  <c r="X370" i="7"/>
  <c r="W508" i="7"/>
  <c r="X508" i="7"/>
  <c r="Y370" i="7"/>
  <c r="Y508" i="7"/>
  <c r="Z370" i="7"/>
  <c r="Z508" i="7"/>
  <c r="AA370" i="7"/>
  <c r="AB370" i="7"/>
  <c r="AA508" i="7"/>
  <c r="AB508" i="7"/>
  <c r="AC370" i="7"/>
  <c r="AD370" i="7"/>
  <c r="AC508" i="7"/>
  <c r="AD508" i="7"/>
  <c r="AE370" i="7"/>
  <c r="AE508" i="7"/>
  <c r="AF370" i="7"/>
  <c r="AF508" i="7"/>
  <c r="AG370" i="7"/>
  <c r="AH370" i="7"/>
  <c r="AG508" i="7"/>
  <c r="AI370" i="7"/>
  <c r="AH508" i="7"/>
  <c r="AI508" i="7"/>
  <c r="AJ370" i="7"/>
  <c r="AJ508" i="7"/>
  <c r="AK370" i="7"/>
  <c r="AL370" i="7"/>
  <c r="AK508" i="7"/>
  <c r="AM370" i="7"/>
  <c r="AL508" i="7"/>
  <c r="AM508" i="7"/>
  <c r="AN370" i="7"/>
  <c r="G378" i="7"/>
  <c r="C378" i="7"/>
  <c r="J378" i="7"/>
  <c r="H378" i="7"/>
  <c r="E378" i="7"/>
  <c r="L378" i="7"/>
  <c r="I378" i="7"/>
  <c r="F378" i="7"/>
  <c r="K378" i="7"/>
  <c r="M378" i="7"/>
  <c r="D378" i="7"/>
  <c r="K516" i="7"/>
  <c r="H516" i="7"/>
  <c r="M516" i="7"/>
  <c r="J516" i="7"/>
  <c r="N378" i="7"/>
  <c r="F516" i="7"/>
  <c r="D516" i="7"/>
  <c r="L516" i="7"/>
  <c r="E516" i="7"/>
  <c r="I516" i="7"/>
  <c r="G516" i="7"/>
  <c r="C516" i="7"/>
  <c r="O378" i="7"/>
  <c r="N516" i="7"/>
  <c r="O516" i="7"/>
  <c r="P378" i="7"/>
  <c r="P516" i="7"/>
  <c r="Q378" i="7"/>
  <c r="R378" i="7"/>
  <c r="Q516" i="7"/>
  <c r="R516" i="7"/>
  <c r="S378" i="7"/>
  <c r="T378" i="7"/>
  <c r="S516" i="7"/>
  <c r="U378" i="7"/>
  <c r="T516" i="7"/>
  <c r="U516" i="7"/>
  <c r="V378" i="7"/>
  <c r="V516" i="7"/>
  <c r="W378" i="7"/>
  <c r="X378" i="7"/>
  <c r="W516" i="7"/>
  <c r="Y378" i="7"/>
  <c r="X516" i="7"/>
  <c r="Z378" i="7"/>
  <c r="Y516" i="7"/>
  <c r="AA378" i="7"/>
  <c r="Z516" i="7"/>
  <c r="AB378" i="7"/>
  <c r="AA516" i="7"/>
  <c r="AC378" i="7"/>
  <c r="AB516" i="7"/>
  <c r="AD378" i="7"/>
  <c r="AC516" i="7"/>
  <c r="AE378" i="7"/>
  <c r="AD516" i="7"/>
  <c r="AF378" i="7"/>
  <c r="AE516" i="7"/>
  <c r="AF516" i="7"/>
  <c r="AG378" i="7"/>
  <c r="AG516" i="7"/>
  <c r="AH378" i="7"/>
  <c r="AH516" i="7"/>
  <c r="AI378" i="7"/>
  <c r="AJ378" i="7"/>
  <c r="AI516" i="7"/>
  <c r="AJ516" i="7"/>
  <c r="AK378" i="7"/>
  <c r="AL378" i="7"/>
  <c r="AK516" i="7"/>
  <c r="AM378" i="7"/>
  <c r="AL516" i="7"/>
  <c r="AM516" i="7"/>
  <c r="AN378" i="7"/>
  <c r="I401" i="7"/>
  <c r="E401" i="7"/>
  <c r="D401" i="7"/>
  <c r="F401" i="7"/>
  <c r="H401" i="7"/>
  <c r="J401" i="7"/>
  <c r="C401" i="7"/>
  <c r="G401" i="7"/>
  <c r="J539" i="7"/>
  <c r="K401" i="7"/>
  <c r="E539" i="7"/>
  <c r="G539" i="7"/>
  <c r="F539" i="7"/>
  <c r="I539" i="7"/>
  <c r="D539" i="7"/>
  <c r="C539" i="7"/>
  <c r="H539" i="7"/>
  <c r="L401" i="7"/>
  <c r="K539" i="7"/>
  <c r="L539" i="7"/>
  <c r="M401" i="7"/>
  <c r="N401" i="7"/>
  <c r="M539" i="7"/>
  <c r="O401" i="7"/>
  <c r="N539" i="7"/>
  <c r="P401" i="7"/>
  <c r="O539" i="7"/>
  <c r="P539" i="7"/>
  <c r="Q401" i="7"/>
  <c r="Q539" i="7"/>
  <c r="R401" i="7"/>
  <c r="S401" i="7"/>
  <c r="R539" i="7"/>
  <c r="S539" i="7"/>
  <c r="T401" i="7"/>
  <c r="T539" i="7"/>
  <c r="U401" i="7"/>
  <c r="U539" i="7"/>
  <c r="V401" i="7"/>
  <c r="W401" i="7"/>
  <c r="V539" i="7"/>
  <c r="W539" i="7"/>
  <c r="X401" i="7"/>
  <c r="X539" i="7"/>
  <c r="Y401" i="7"/>
  <c r="Y539" i="7"/>
  <c r="Z401" i="7"/>
  <c r="Z539" i="7"/>
  <c r="AA401" i="7"/>
  <c r="AA539" i="7"/>
  <c r="AB401" i="7"/>
  <c r="AB539" i="7"/>
  <c r="AC401" i="7"/>
  <c r="AC539" i="7"/>
  <c r="AD401" i="7"/>
  <c r="AE401" i="7"/>
  <c r="AD539" i="7"/>
  <c r="AF401" i="7"/>
  <c r="AE539" i="7"/>
  <c r="AG401" i="7"/>
  <c r="AF539" i="7"/>
  <c r="AG539" i="7"/>
  <c r="AH401" i="7"/>
  <c r="AI401" i="7"/>
  <c r="AH539" i="7"/>
  <c r="AJ401" i="7"/>
  <c r="AI539" i="7"/>
  <c r="AK401" i="7"/>
  <c r="AJ539" i="7"/>
  <c r="AK539" i="7"/>
  <c r="AL401" i="7"/>
  <c r="AM401" i="7"/>
  <c r="AL539" i="7"/>
  <c r="AM539" i="7"/>
  <c r="AN401" i="7"/>
  <c r="F424" i="7"/>
  <c r="G424" i="7"/>
  <c r="E424" i="7"/>
  <c r="C424" i="7"/>
  <c r="D424" i="7"/>
  <c r="F562" i="7"/>
  <c r="C562" i="7"/>
  <c r="D562" i="7"/>
  <c r="H424" i="7"/>
  <c r="E562" i="7"/>
  <c r="G562" i="7"/>
  <c r="I424" i="7"/>
  <c r="H562" i="7"/>
  <c r="I562" i="7"/>
  <c r="J424" i="7"/>
  <c r="J562" i="7"/>
  <c r="K424" i="7"/>
  <c r="K562" i="7"/>
  <c r="L424" i="7"/>
  <c r="M424" i="7"/>
  <c r="L562" i="7"/>
  <c r="N424" i="7"/>
  <c r="M562" i="7"/>
  <c r="O424" i="7"/>
  <c r="N562" i="7"/>
  <c r="P424" i="7"/>
  <c r="O562" i="7"/>
  <c r="P562" i="7"/>
  <c r="Q424" i="7"/>
  <c r="Q562" i="7"/>
  <c r="R424" i="7"/>
  <c r="S424" i="7"/>
  <c r="R562" i="7"/>
  <c r="S562" i="7"/>
  <c r="T424" i="7"/>
  <c r="U424" i="7"/>
  <c r="T562" i="7"/>
  <c r="V424" i="7"/>
  <c r="U562" i="7"/>
  <c r="V562" i="7"/>
  <c r="W424" i="7"/>
  <c r="W562" i="7"/>
  <c r="X424" i="7"/>
  <c r="X562" i="7"/>
  <c r="Y424" i="7"/>
  <c r="Y562" i="7"/>
  <c r="Z424" i="7"/>
  <c r="AA424" i="7"/>
  <c r="Z562" i="7"/>
  <c r="AB424" i="7"/>
  <c r="AA562" i="7"/>
  <c r="AC424" i="7"/>
  <c r="AB562" i="7"/>
  <c r="AD424" i="7"/>
  <c r="AC562" i="7"/>
  <c r="AE424" i="7"/>
  <c r="AD562" i="7"/>
  <c r="AF424" i="7"/>
  <c r="AE562" i="7"/>
  <c r="AG424" i="7"/>
  <c r="AF562" i="7"/>
  <c r="AG562" i="7"/>
  <c r="AH424" i="7"/>
  <c r="AI424" i="7"/>
  <c r="AH562" i="7"/>
  <c r="AI562" i="7"/>
  <c r="AJ424" i="7"/>
  <c r="AK424" i="7"/>
  <c r="AJ562" i="7"/>
  <c r="AK562" i="7"/>
  <c r="AL424" i="7"/>
  <c r="AM424" i="7"/>
  <c r="AL562" i="7"/>
  <c r="AN424" i="7"/>
  <c r="AM562" i="7"/>
  <c r="AO542" i="7"/>
  <c r="AN539" i="7"/>
  <c r="AN538" i="7"/>
  <c r="AO374" i="7"/>
  <c r="C377" i="7"/>
  <c r="F377" i="7"/>
  <c r="D377" i="7"/>
  <c r="L377" i="7"/>
  <c r="E377" i="7"/>
  <c r="I377" i="7"/>
  <c r="H377" i="7"/>
  <c r="J377" i="7"/>
  <c r="G377" i="7"/>
  <c r="K377" i="7"/>
  <c r="L515" i="7"/>
  <c r="D515" i="7"/>
  <c r="C515" i="7"/>
  <c r="E515" i="7"/>
  <c r="F515" i="7"/>
  <c r="H515" i="7"/>
  <c r="I515" i="7"/>
  <c r="M377" i="7"/>
  <c r="K515" i="7"/>
  <c r="J515" i="7"/>
  <c r="G515" i="7"/>
  <c r="M515" i="7"/>
  <c r="N377" i="7"/>
  <c r="O377" i="7"/>
  <c r="N515" i="7"/>
  <c r="P377" i="7"/>
  <c r="O515" i="7"/>
  <c r="Q377" i="7"/>
  <c r="P515" i="7"/>
  <c r="R377" i="7"/>
  <c r="Q515" i="7"/>
  <c r="R515" i="7"/>
  <c r="S377" i="7"/>
  <c r="S515" i="7"/>
  <c r="T377" i="7"/>
  <c r="T515" i="7"/>
  <c r="U377" i="7"/>
  <c r="U515" i="7"/>
  <c r="V377" i="7"/>
  <c r="V515" i="7"/>
  <c r="W377" i="7"/>
  <c r="W515" i="7"/>
  <c r="X377" i="7"/>
  <c r="Y377" i="7"/>
  <c r="X515" i="7"/>
  <c r="Y515" i="7"/>
  <c r="Z377" i="7"/>
  <c r="AA377" i="7"/>
  <c r="Z515" i="7"/>
  <c r="AB377" i="7"/>
  <c r="AA515" i="7"/>
  <c r="AC377" i="7"/>
  <c r="AB515" i="7"/>
  <c r="AC515" i="7"/>
  <c r="AD377" i="7"/>
  <c r="AD515" i="7"/>
  <c r="AE377" i="7"/>
  <c r="AF377" i="7"/>
  <c r="AE515" i="7"/>
  <c r="AF515" i="7"/>
  <c r="AG377" i="7"/>
  <c r="AG515" i="7"/>
  <c r="AH377" i="7"/>
  <c r="AI377" i="7"/>
  <c r="AH515" i="7"/>
  <c r="AJ377" i="7"/>
  <c r="AI515" i="7"/>
  <c r="AK377" i="7"/>
  <c r="AJ515" i="7"/>
  <c r="AK515" i="7"/>
  <c r="AL377" i="7"/>
  <c r="AM377" i="7"/>
  <c r="AL515" i="7"/>
  <c r="AM515" i="7"/>
  <c r="AN377" i="7"/>
  <c r="C371" i="7"/>
  <c r="D371" i="7"/>
  <c r="C509" i="7"/>
  <c r="E371" i="7"/>
  <c r="F371" i="7"/>
  <c r="G371" i="7"/>
  <c r="D509" i="7"/>
  <c r="G509" i="7"/>
  <c r="H371" i="7"/>
  <c r="F509" i="7"/>
  <c r="E509" i="7"/>
  <c r="H509" i="7"/>
  <c r="I371" i="7"/>
  <c r="J371" i="7"/>
  <c r="I509" i="7"/>
  <c r="J509" i="7"/>
  <c r="K371" i="7"/>
  <c r="K509" i="7"/>
  <c r="L371" i="7"/>
  <c r="L509" i="7"/>
  <c r="M371" i="7"/>
  <c r="N371" i="7"/>
  <c r="M509" i="7"/>
  <c r="N509" i="7"/>
  <c r="O371" i="7"/>
  <c r="P371" i="7"/>
  <c r="O509" i="7"/>
  <c r="Q371" i="7"/>
  <c r="P509" i="7"/>
  <c r="R371" i="7"/>
  <c r="Q509" i="7"/>
  <c r="R509" i="7"/>
  <c r="S371" i="7"/>
  <c r="T371" i="7"/>
  <c r="S509" i="7"/>
  <c r="U371" i="7"/>
  <c r="T509" i="7"/>
  <c r="V371" i="7"/>
  <c r="U509" i="7"/>
  <c r="W371" i="7"/>
  <c r="V509" i="7"/>
  <c r="W509" i="7"/>
  <c r="X371" i="7"/>
  <c r="Y371" i="7"/>
  <c r="X509" i="7"/>
  <c r="Z371" i="7"/>
  <c r="Y509" i="7"/>
  <c r="Z509" i="7"/>
  <c r="AA371" i="7"/>
  <c r="AA509" i="7"/>
  <c r="AB371" i="7"/>
  <c r="AC371" i="7"/>
  <c r="AB509" i="7"/>
  <c r="AD371" i="7"/>
  <c r="AC509" i="7"/>
  <c r="AE371" i="7"/>
  <c r="AD509" i="7"/>
  <c r="AE509" i="7"/>
  <c r="AF371" i="7"/>
  <c r="AG371" i="7"/>
  <c r="AF509" i="7"/>
  <c r="AH371" i="7"/>
  <c r="AG509" i="7"/>
  <c r="AH509" i="7"/>
  <c r="AI371" i="7"/>
  <c r="AI509" i="7"/>
  <c r="AJ371" i="7"/>
  <c r="AK371" i="7"/>
  <c r="AJ509" i="7"/>
  <c r="AK509" i="7"/>
  <c r="AL371" i="7"/>
  <c r="AM371" i="7"/>
  <c r="AL509" i="7"/>
  <c r="AN371" i="7"/>
  <c r="AM509" i="7"/>
  <c r="I402" i="7"/>
  <c r="H402" i="7"/>
  <c r="E402" i="7"/>
  <c r="C402" i="7"/>
  <c r="K402" i="7"/>
  <c r="D402" i="7"/>
  <c r="G402" i="7"/>
  <c r="J402" i="7"/>
  <c r="F402" i="7"/>
  <c r="C540" i="7"/>
  <c r="L402" i="7"/>
  <c r="J540" i="7"/>
  <c r="E540" i="7"/>
  <c r="H540" i="7"/>
  <c r="G540" i="7"/>
  <c r="F540" i="7"/>
  <c r="I540" i="7"/>
  <c r="K540" i="7"/>
  <c r="D540" i="7"/>
  <c r="L540" i="7"/>
  <c r="M402" i="7"/>
  <c r="N402" i="7"/>
  <c r="M540" i="7"/>
  <c r="N540" i="7"/>
  <c r="O402" i="7"/>
  <c r="O540" i="7"/>
  <c r="P402" i="7"/>
  <c r="P540" i="7"/>
  <c r="Q402" i="7"/>
  <c r="R402" i="7"/>
  <c r="Q540" i="7"/>
  <c r="R540" i="7"/>
  <c r="S402" i="7"/>
  <c r="T402" i="7"/>
  <c r="S540" i="7"/>
  <c r="U402" i="7"/>
  <c r="T540" i="7"/>
  <c r="U540" i="7"/>
  <c r="V402" i="7"/>
  <c r="V540" i="7"/>
  <c r="W402" i="7"/>
  <c r="X402" i="7"/>
  <c r="W540" i="7"/>
  <c r="Y402" i="7"/>
  <c r="X540" i="7"/>
  <c r="Z402" i="7"/>
  <c r="Y540" i="7"/>
  <c r="AA402" i="7"/>
  <c r="Z540" i="7"/>
  <c r="AA540" i="7"/>
  <c r="AB402" i="7"/>
  <c r="AC402" i="7"/>
  <c r="AB540" i="7"/>
  <c r="AD402" i="7"/>
  <c r="AC540" i="7"/>
  <c r="AE402" i="7"/>
  <c r="AD540" i="7"/>
  <c r="AE540" i="7"/>
  <c r="AF402" i="7"/>
  <c r="AF540" i="7"/>
  <c r="AG402" i="7"/>
  <c r="AH402" i="7"/>
  <c r="AG540" i="7"/>
  <c r="AH540" i="7"/>
  <c r="AI402" i="7"/>
  <c r="AJ402" i="7"/>
  <c r="AI540" i="7"/>
  <c r="AK402" i="7"/>
  <c r="AJ540" i="7"/>
  <c r="AL402" i="7"/>
  <c r="AK540" i="7"/>
  <c r="AL540" i="7"/>
  <c r="AM402" i="7"/>
  <c r="AM540" i="7"/>
  <c r="AN402" i="7"/>
  <c r="C425" i="7"/>
  <c r="E425" i="7"/>
  <c r="F425" i="7"/>
  <c r="H425" i="7"/>
  <c r="D425" i="7"/>
  <c r="G425" i="7"/>
  <c r="F563" i="7"/>
  <c r="G563" i="7"/>
  <c r="D563" i="7"/>
  <c r="E563" i="7"/>
  <c r="C563" i="7"/>
  <c r="I425" i="7"/>
  <c r="H563" i="7"/>
  <c r="I563" i="7"/>
  <c r="J425" i="7"/>
  <c r="K425" i="7"/>
  <c r="J563" i="7"/>
  <c r="K563" i="7"/>
  <c r="L425" i="7"/>
  <c r="L563" i="7"/>
  <c r="M425" i="7"/>
  <c r="N425" i="7"/>
  <c r="M563" i="7"/>
  <c r="O425" i="7"/>
  <c r="N563" i="7"/>
  <c r="O563" i="7"/>
  <c r="P425" i="7"/>
  <c r="Q425" i="7"/>
  <c r="P563" i="7"/>
  <c r="R425" i="7"/>
  <c r="Q563" i="7"/>
  <c r="R563" i="7"/>
  <c r="S425" i="7"/>
  <c r="T425" i="7"/>
  <c r="S563" i="7"/>
  <c r="U425" i="7"/>
  <c r="T563" i="7"/>
  <c r="V425" i="7"/>
  <c r="U563" i="7"/>
  <c r="V563" i="7"/>
  <c r="W425" i="7"/>
  <c r="X425" i="7"/>
  <c r="W563" i="7"/>
  <c r="Y425" i="7"/>
  <c r="X563" i="7"/>
  <c r="Y563" i="7"/>
  <c r="Z425" i="7"/>
  <c r="AA425" i="7"/>
  <c r="Z563" i="7"/>
  <c r="AA563" i="7"/>
  <c r="AB425" i="7"/>
  <c r="AB563" i="7"/>
  <c r="AC425" i="7"/>
  <c r="AC563" i="7"/>
  <c r="AD425" i="7"/>
  <c r="AE425" i="7"/>
  <c r="AD563" i="7"/>
  <c r="AE563" i="7"/>
  <c r="AF425" i="7"/>
  <c r="AG425" i="7"/>
  <c r="AF563" i="7"/>
  <c r="AG563" i="7"/>
  <c r="AH425" i="7"/>
  <c r="AH563" i="7"/>
  <c r="AI425" i="7"/>
  <c r="AJ425" i="7"/>
  <c r="AI563" i="7"/>
  <c r="AK425" i="7"/>
  <c r="AJ563" i="7"/>
  <c r="AL425" i="7"/>
  <c r="AK563" i="7"/>
  <c r="AM425" i="7"/>
  <c r="AL563" i="7"/>
  <c r="AN425" i="7"/>
  <c r="AM563" i="7"/>
  <c r="AO567" i="7"/>
  <c r="AO538" i="7"/>
  <c r="AN566" i="7"/>
  <c r="AN508" i="7"/>
  <c r="AN568" i="7"/>
  <c r="AO401" i="7"/>
  <c r="AO424" i="7"/>
  <c r="E372" i="7"/>
  <c r="C372" i="7"/>
  <c r="D372" i="7"/>
  <c r="F372" i="7"/>
  <c r="G372" i="7"/>
  <c r="G510" i="7"/>
  <c r="E510" i="7"/>
  <c r="F510" i="7"/>
  <c r="C510" i="7"/>
  <c r="H372" i="7"/>
  <c r="D510" i="7"/>
  <c r="I372" i="7"/>
  <c r="H510" i="7"/>
  <c r="J372" i="7"/>
  <c r="I510" i="7"/>
  <c r="K372" i="7"/>
  <c r="J510" i="7"/>
  <c r="L372" i="7"/>
  <c r="K510" i="7"/>
  <c r="L510" i="7"/>
  <c r="M372" i="7"/>
  <c r="N372" i="7"/>
  <c r="M510" i="7"/>
  <c r="O372" i="7"/>
  <c r="N510" i="7"/>
  <c r="P372" i="7"/>
  <c r="O510" i="7"/>
  <c r="P510" i="7"/>
  <c r="Q372" i="7"/>
  <c r="Q510" i="7"/>
  <c r="R372" i="7"/>
  <c r="S372" i="7"/>
  <c r="R510" i="7"/>
  <c r="T372" i="7"/>
  <c r="S510" i="7"/>
  <c r="U372" i="7"/>
  <c r="T510" i="7"/>
  <c r="V372" i="7"/>
  <c r="U510" i="7"/>
  <c r="V510" i="7"/>
  <c r="W372" i="7"/>
  <c r="W510" i="7"/>
  <c r="X372" i="7"/>
  <c r="X510" i="7"/>
  <c r="Y372" i="7"/>
  <c r="Y510" i="7"/>
  <c r="Z372" i="7"/>
  <c r="AA372" i="7"/>
  <c r="Z510" i="7"/>
  <c r="AA510" i="7"/>
  <c r="AB372" i="7"/>
  <c r="AB510" i="7"/>
  <c r="AC372" i="7"/>
  <c r="AC510" i="7"/>
  <c r="AD372" i="7"/>
  <c r="AE372" i="7"/>
  <c r="AD510" i="7"/>
  <c r="AF372" i="7"/>
  <c r="AE510" i="7"/>
  <c r="AF510" i="7"/>
  <c r="AG372" i="7"/>
  <c r="AG510" i="7"/>
  <c r="AH372" i="7"/>
  <c r="AH510" i="7"/>
  <c r="AI372" i="7"/>
  <c r="AJ372" i="7"/>
  <c r="AI510" i="7"/>
  <c r="AJ510" i="7"/>
  <c r="AK372" i="7"/>
  <c r="AK510" i="7"/>
  <c r="AL372" i="7"/>
  <c r="AL510" i="7"/>
  <c r="AM372" i="7"/>
  <c r="AM510" i="7"/>
  <c r="AN372" i="7"/>
  <c r="K403" i="7"/>
  <c r="L403" i="7"/>
  <c r="E403" i="7"/>
  <c r="F403" i="7"/>
  <c r="J403" i="7"/>
  <c r="C403" i="7"/>
  <c r="D403" i="7"/>
  <c r="G403" i="7"/>
  <c r="I403" i="7"/>
  <c r="H403" i="7"/>
  <c r="K541" i="7"/>
  <c r="I541" i="7"/>
  <c r="H541" i="7"/>
  <c r="E541" i="7"/>
  <c r="G541" i="7"/>
  <c r="L541" i="7"/>
  <c r="J541" i="7"/>
  <c r="D541" i="7"/>
  <c r="C541" i="7"/>
  <c r="M403" i="7"/>
  <c r="F541" i="7"/>
  <c r="M541" i="7"/>
  <c r="N403" i="7"/>
  <c r="O403" i="7"/>
  <c r="N541" i="7"/>
  <c r="P403" i="7"/>
  <c r="O541" i="7"/>
  <c r="P541" i="7"/>
  <c r="Q403" i="7"/>
  <c r="R403" i="7"/>
  <c r="Q541" i="7"/>
  <c r="R541" i="7"/>
  <c r="S403" i="7"/>
  <c r="T403" i="7"/>
  <c r="S541" i="7"/>
  <c r="T541" i="7"/>
  <c r="U403" i="7"/>
  <c r="U541" i="7"/>
  <c r="V403" i="7"/>
  <c r="V541" i="7"/>
  <c r="W403" i="7"/>
  <c r="W541" i="7"/>
  <c r="X403" i="7"/>
  <c r="X541" i="7"/>
  <c r="Y403" i="7"/>
  <c r="Y541" i="7"/>
  <c r="Z403" i="7"/>
  <c r="Z541" i="7"/>
  <c r="AA403" i="7"/>
  <c r="AA541" i="7"/>
  <c r="AB403" i="7"/>
  <c r="AB541" i="7"/>
  <c r="AC403" i="7"/>
  <c r="AD403" i="7"/>
  <c r="AC541" i="7"/>
  <c r="AE403" i="7"/>
  <c r="AD541" i="7"/>
  <c r="AF403" i="7"/>
  <c r="AE541" i="7"/>
  <c r="AG403" i="7"/>
  <c r="AF541" i="7"/>
  <c r="AH403" i="7"/>
  <c r="AG541" i="7"/>
  <c r="AI403" i="7"/>
  <c r="AH541" i="7"/>
  <c r="AI541" i="7"/>
  <c r="AJ403" i="7"/>
  <c r="AJ541" i="7"/>
  <c r="AK403" i="7"/>
  <c r="AK541" i="7"/>
  <c r="AL403" i="7"/>
  <c r="AM403" i="7"/>
  <c r="AL541" i="7"/>
  <c r="AM541" i="7"/>
  <c r="AN403" i="7"/>
  <c r="E426" i="7"/>
  <c r="F426" i="7"/>
  <c r="D426" i="7"/>
  <c r="G426" i="7"/>
  <c r="H426" i="7"/>
  <c r="I426" i="7"/>
  <c r="C426" i="7"/>
  <c r="F564" i="7"/>
  <c r="C564" i="7"/>
  <c r="E564" i="7"/>
  <c r="J426" i="7"/>
  <c r="I564" i="7"/>
  <c r="H564" i="7"/>
  <c r="G564" i="7"/>
  <c r="D564" i="7"/>
  <c r="J564" i="7"/>
  <c r="K426" i="7"/>
  <c r="K564" i="7"/>
  <c r="L426" i="7"/>
  <c r="M426" i="7"/>
  <c r="L564" i="7"/>
  <c r="M564" i="7"/>
  <c r="N426" i="7"/>
  <c r="O426" i="7"/>
  <c r="N564" i="7"/>
  <c r="P426" i="7"/>
  <c r="O564" i="7"/>
  <c r="P564" i="7"/>
  <c r="Q426" i="7"/>
  <c r="R426" i="7"/>
  <c r="Q564" i="7"/>
  <c r="R564" i="7"/>
  <c r="S426" i="7"/>
  <c r="S564" i="7"/>
  <c r="T426" i="7"/>
  <c r="T564" i="7"/>
  <c r="U426" i="7"/>
  <c r="V426" i="7"/>
  <c r="U564" i="7"/>
  <c r="V564" i="7"/>
  <c r="W426" i="7"/>
  <c r="X426" i="7"/>
  <c r="W564" i="7"/>
  <c r="Y426" i="7"/>
  <c r="X564" i="7"/>
  <c r="Z426" i="7"/>
  <c r="Y564" i="7"/>
  <c r="Z564" i="7"/>
  <c r="AA426" i="7"/>
  <c r="AB426" i="7"/>
  <c r="AA564" i="7"/>
  <c r="AC426" i="7"/>
  <c r="AB564" i="7"/>
  <c r="AC564" i="7"/>
  <c r="AD426" i="7"/>
  <c r="AE426" i="7"/>
  <c r="AD564" i="7"/>
  <c r="AE564" i="7"/>
  <c r="AF426" i="7"/>
  <c r="AG426" i="7"/>
  <c r="AF564" i="7"/>
  <c r="AG564" i="7"/>
  <c r="AH426" i="7"/>
  <c r="AI426" i="7"/>
  <c r="AH564" i="7"/>
  <c r="AJ426" i="7"/>
  <c r="AI564" i="7"/>
  <c r="AJ564" i="7"/>
  <c r="AK426" i="7"/>
  <c r="AL426" i="7"/>
  <c r="AK564" i="7"/>
  <c r="AL564" i="7"/>
  <c r="AM426" i="7"/>
  <c r="AM564" i="7"/>
  <c r="AN426" i="7"/>
  <c r="AO563" i="7"/>
  <c r="AO534" i="7"/>
  <c r="AO430" i="7"/>
  <c r="AN563" i="7"/>
  <c r="AO426" i="7"/>
  <c r="AO377" i="7"/>
  <c r="AO400" i="7"/>
  <c r="AO399" i="7"/>
  <c r="AN515" i="7"/>
  <c r="C423" i="7"/>
  <c r="F423" i="7"/>
  <c r="C561" i="7"/>
  <c r="E423" i="7"/>
  <c r="D423" i="7"/>
  <c r="D561" i="7"/>
  <c r="E561" i="7"/>
  <c r="F561" i="7"/>
  <c r="G423" i="7"/>
  <c r="G561" i="7"/>
  <c r="H423" i="7"/>
  <c r="I423" i="7"/>
  <c r="H561" i="7"/>
  <c r="I561" i="7"/>
  <c r="J423" i="7"/>
  <c r="J561" i="7"/>
  <c r="K423" i="7"/>
  <c r="L423" i="7"/>
  <c r="K561" i="7"/>
  <c r="M423" i="7"/>
  <c r="L561" i="7"/>
  <c r="M561" i="7"/>
  <c r="N423" i="7"/>
  <c r="N561" i="7"/>
  <c r="O423" i="7"/>
  <c r="P423" i="7"/>
  <c r="O561" i="7"/>
  <c r="Q423" i="7"/>
  <c r="P561" i="7"/>
  <c r="R423" i="7"/>
  <c r="Q561" i="7"/>
  <c r="S423" i="7"/>
  <c r="R561" i="7"/>
  <c r="S561" i="7"/>
  <c r="T423" i="7"/>
  <c r="T561" i="7"/>
  <c r="U423" i="7"/>
  <c r="U561" i="7"/>
  <c r="V423" i="7"/>
  <c r="V561" i="7"/>
  <c r="W423" i="7"/>
  <c r="X423" i="7"/>
  <c r="W561" i="7"/>
  <c r="X561" i="7"/>
  <c r="Y423" i="7"/>
  <c r="Y561" i="7"/>
  <c r="Z423" i="7"/>
  <c r="AA423" i="7"/>
  <c r="Z561" i="7"/>
  <c r="AA561" i="7"/>
  <c r="AB423" i="7"/>
  <c r="AC423" i="7"/>
  <c r="AB561" i="7"/>
  <c r="AD423" i="7"/>
  <c r="AC561" i="7"/>
  <c r="AE423" i="7"/>
  <c r="AD561" i="7"/>
  <c r="AE561" i="7"/>
  <c r="AF423" i="7"/>
  <c r="AG423" i="7"/>
  <c r="AF561" i="7"/>
  <c r="AH423" i="7"/>
  <c r="AG561" i="7"/>
  <c r="AI423" i="7"/>
  <c r="AH561" i="7"/>
  <c r="AJ423" i="7"/>
  <c r="AI561" i="7"/>
  <c r="AK423" i="7"/>
  <c r="AJ561" i="7"/>
  <c r="AL423" i="7"/>
  <c r="AK561" i="7"/>
  <c r="AM423" i="7"/>
  <c r="AL561" i="7"/>
  <c r="AN423" i="7"/>
  <c r="AM561" i="7"/>
  <c r="C373" i="7"/>
  <c r="F373" i="7"/>
  <c r="E373" i="7"/>
  <c r="G373" i="7"/>
  <c r="H373" i="7"/>
  <c r="D373" i="7"/>
  <c r="I373" i="7"/>
  <c r="F511" i="7"/>
  <c r="D511" i="7"/>
  <c r="C511" i="7"/>
  <c r="G511" i="7"/>
  <c r="H511" i="7"/>
  <c r="E511" i="7"/>
  <c r="I511" i="7"/>
  <c r="J373" i="7"/>
  <c r="J511" i="7"/>
  <c r="K373" i="7"/>
  <c r="L373" i="7"/>
  <c r="K511" i="7"/>
  <c r="L511" i="7"/>
  <c r="M373" i="7"/>
  <c r="M511" i="7"/>
  <c r="N373" i="7"/>
  <c r="N511" i="7"/>
  <c r="O373" i="7"/>
  <c r="O511" i="7"/>
  <c r="P373" i="7"/>
  <c r="P511" i="7"/>
  <c r="Q373" i="7"/>
  <c r="R373" i="7"/>
  <c r="Q511" i="7"/>
  <c r="R511" i="7"/>
  <c r="S373" i="7"/>
  <c r="T373" i="7"/>
  <c r="S511" i="7"/>
  <c r="T511" i="7"/>
  <c r="U373" i="7"/>
  <c r="U511" i="7"/>
  <c r="V373" i="7"/>
  <c r="V511" i="7"/>
  <c r="W373" i="7"/>
  <c r="W511" i="7"/>
  <c r="X373" i="7"/>
  <c r="Y373" i="7"/>
  <c r="X511" i="7"/>
  <c r="Y511" i="7"/>
  <c r="Z373" i="7"/>
  <c r="AA373" i="7"/>
  <c r="Z511" i="7"/>
  <c r="AA511" i="7"/>
  <c r="AB373" i="7"/>
  <c r="AC373" i="7"/>
  <c r="AB511" i="7"/>
  <c r="AD373" i="7"/>
  <c r="AC511" i="7"/>
  <c r="AE373" i="7"/>
  <c r="AD511" i="7"/>
  <c r="AF373" i="7"/>
  <c r="AE511" i="7"/>
  <c r="AF511" i="7"/>
  <c r="AG373" i="7"/>
  <c r="AG511" i="7"/>
  <c r="AH373" i="7"/>
  <c r="AI373" i="7"/>
  <c r="AH511" i="7"/>
  <c r="AJ373" i="7"/>
  <c r="AI511" i="7"/>
  <c r="AJ511" i="7"/>
  <c r="AK373" i="7"/>
  <c r="AK511" i="7"/>
  <c r="AL373" i="7"/>
  <c r="AL511" i="7"/>
  <c r="AM373" i="7"/>
  <c r="AM511" i="7"/>
  <c r="AN373" i="7"/>
  <c r="C396" i="7"/>
  <c r="C534" i="7"/>
  <c r="F396" i="7"/>
  <c r="E396" i="7"/>
  <c r="D396" i="7"/>
  <c r="F534" i="7"/>
  <c r="G396" i="7"/>
  <c r="D534" i="7"/>
  <c r="E534" i="7"/>
  <c r="H396" i="7"/>
  <c r="G534" i="7"/>
  <c r="H534" i="7"/>
  <c r="I396" i="7"/>
  <c r="I534" i="7"/>
  <c r="J396" i="7"/>
  <c r="J534" i="7"/>
  <c r="K396" i="7"/>
  <c r="L396" i="7"/>
  <c r="K534" i="7"/>
  <c r="L534" i="7"/>
  <c r="M396" i="7"/>
  <c r="N396" i="7"/>
  <c r="M534" i="7"/>
  <c r="O396" i="7"/>
  <c r="N534" i="7"/>
  <c r="P396" i="7"/>
  <c r="O534" i="7"/>
  <c r="Q396" i="7"/>
  <c r="P534" i="7"/>
  <c r="Q534" i="7"/>
  <c r="R396" i="7"/>
  <c r="R534" i="7"/>
  <c r="S396" i="7"/>
  <c r="S534" i="7"/>
  <c r="T396" i="7"/>
  <c r="T534" i="7"/>
  <c r="U396" i="7"/>
  <c r="U534" i="7"/>
  <c r="V396" i="7"/>
  <c r="V534" i="7"/>
  <c r="W396" i="7"/>
  <c r="X396" i="7"/>
  <c r="W534" i="7"/>
  <c r="Y396" i="7"/>
  <c r="X534" i="7"/>
  <c r="Y534" i="7"/>
  <c r="Z396" i="7"/>
  <c r="Z534" i="7"/>
  <c r="AA396" i="7"/>
  <c r="AA534" i="7"/>
  <c r="AB396" i="7"/>
  <c r="AB534" i="7"/>
  <c r="AC396" i="7"/>
  <c r="AC534" i="7"/>
  <c r="AD396" i="7"/>
  <c r="AD534" i="7"/>
  <c r="AE396" i="7"/>
  <c r="AF396" i="7"/>
  <c r="AE534" i="7"/>
  <c r="AG396" i="7"/>
  <c r="AF534" i="7"/>
  <c r="AH396" i="7"/>
  <c r="AG534" i="7"/>
  <c r="AI396" i="7"/>
  <c r="AH534" i="7"/>
  <c r="AJ396" i="7"/>
  <c r="AI534" i="7"/>
  <c r="AK396" i="7"/>
  <c r="AJ534" i="7"/>
  <c r="AK534" i="7"/>
  <c r="AL396" i="7"/>
  <c r="AM396" i="7"/>
  <c r="AL534" i="7"/>
  <c r="AM534" i="7"/>
  <c r="AN396" i="7"/>
  <c r="C404" i="7"/>
  <c r="M404" i="7"/>
  <c r="G404" i="7"/>
  <c r="D404" i="7"/>
  <c r="F404" i="7"/>
  <c r="L404" i="7"/>
  <c r="I404" i="7"/>
  <c r="J404" i="7"/>
  <c r="H404" i="7"/>
  <c r="E404" i="7"/>
  <c r="K404" i="7"/>
  <c r="J542" i="7"/>
  <c r="M542" i="7"/>
  <c r="C542" i="7"/>
  <c r="K542" i="7"/>
  <c r="I542" i="7"/>
  <c r="L542" i="7"/>
  <c r="N404" i="7"/>
  <c r="E542" i="7"/>
  <c r="F542" i="7"/>
  <c r="D542" i="7"/>
  <c r="H542" i="7"/>
  <c r="G542" i="7"/>
  <c r="O404" i="7"/>
  <c r="N542" i="7"/>
  <c r="O542" i="7"/>
  <c r="P404" i="7"/>
  <c r="P542" i="7"/>
  <c r="Q404" i="7"/>
  <c r="Q542" i="7"/>
  <c r="R404" i="7"/>
  <c r="S404" i="7"/>
  <c r="R542" i="7"/>
  <c r="T404" i="7"/>
  <c r="S542" i="7"/>
  <c r="T542" i="7"/>
  <c r="U404" i="7"/>
  <c r="U542" i="7"/>
  <c r="V404" i="7"/>
  <c r="W404" i="7"/>
  <c r="V542" i="7"/>
  <c r="W542" i="7"/>
  <c r="X404" i="7"/>
  <c r="Y404" i="7"/>
  <c r="X542" i="7"/>
  <c r="Y542" i="7"/>
  <c r="Z404" i="7"/>
  <c r="Z542" i="7"/>
  <c r="AA404" i="7"/>
  <c r="AA542" i="7"/>
  <c r="AB404" i="7"/>
  <c r="AC404" i="7"/>
  <c r="AB542" i="7"/>
  <c r="AD404" i="7"/>
  <c r="AC542" i="7"/>
  <c r="AD542" i="7"/>
  <c r="AE404" i="7"/>
  <c r="AF404" i="7"/>
  <c r="AE542" i="7"/>
  <c r="AG404" i="7"/>
  <c r="AF542" i="7"/>
  <c r="AG542" i="7"/>
  <c r="AH404" i="7"/>
  <c r="AH542" i="7"/>
  <c r="AI404" i="7"/>
  <c r="AI542" i="7"/>
  <c r="AJ404" i="7"/>
  <c r="AK404" i="7"/>
  <c r="AJ542" i="7"/>
  <c r="AL404" i="7"/>
  <c r="AK542" i="7"/>
  <c r="AM404" i="7"/>
  <c r="AL542" i="7"/>
  <c r="AM542" i="7"/>
  <c r="AN404" i="7"/>
  <c r="J427" i="7"/>
  <c r="F427" i="7"/>
  <c r="H427" i="7"/>
  <c r="D427" i="7"/>
  <c r="G427" i="7"/>
  <c r="C427" i="7"/>
  <c r="E427" i="7"/>
  <c r="I427" i="7"/>
  <c r="J565" i="7"/>
  <c r="C565" i="7"/>
  <c r="G565" i="7"/>
  <c r="F565" i="7"/>
  <c r="D565" i="7"/>
  <c r="I565" i="7"/>
  <c r="K427" i="7"/>
  <c r="E565" i="7"/>
  <c r="H565" i="7"/>
  <c r="L427" i="7"/>
  <c r="K565" i="7"/>
  <c r="L565" i="7"/>
  <c r="M427" i="7"/>
  <c r="M565" i="7"/>
  <c r="N427" i="7"/>
  <c r="O427" i="7"/>
  <c r="N565" i="7"/>
  <c r="P427" i="7"/>
  <c r="O565" i="7"/>
  <c r="P565" i="7"/>
  <c r="Q427" i="7"/>
  <c r="Q565" i="7"/>
  <c r="R427" i="7"/>
  <c r="S427" i="7"/>
  <c r="R565" i="7"/>
  <c r="T427" i="7"/>
  <c r="S565" i="7"/>
  <c r="U427" i="7"/>
  <c r="T565" i="7"/>
  <c r="V427" i="7"/>
  <c r="U565" i="7"/>
  <c r="W427" i="7"/>
  <c r="V565" i="7"/>
  <c r="X427" i="7"/>
  <c r="W565" i="7"/>
  <c r="X565" i="7"/>
  <c r="Y427" i="7"/>
  <c r="Y565" i="7"/>
  <c r="Z427" i="7"/>
  <c r="AA427" i="7"/>
  <c r="Z565" i="7"/>
  <c r="AB427" i="7"/>
  <c r="AA565" i="7"/>
  <c r="AC427" i="7"/>
  <c r="AB565" i="7"/>
  <c r="AC565" i="7"/>
  <c r="AD427" i="7"/>
  <c r="AE427" i="7"/>
  <c r="AD565" i="7"/>
  <c r="AF427" i="7"/>
  <c r="AE565" i="7"/>
  <c r="AG427" i="7"/>
  <c r="AF565" i="7"/>
  <c r="AH427" i="7"/>
  <c r="AG565" i="7"/>
  <c r="AI427" i="7"/>
  <c r="AH565" i="7"/>
  <c r="AJ427" i="7"/>
  <c r="AI565" i="7"/>
  <c r="AJ565" i="7"/>
  <c r="AK427" i="7"/>
  <c r="AL427" i="7"/>
  <c r="AK565" i="7"/>
  <c r="AM427" i="7"/>
  <c r="AL565" i="7"/>
  <c r="AM565" i="7"/>
  <c r="AN427" i="7"/>
  <c r="AO514" i="7"/>
  <c r="AO422" i="7"/>
  <c r="AN512" i="7"/>
  <c r="AN540" i="7"/>
  <c r="AO402" i="7"/>
  <c r="AO372" i="7"/>
  <c r="AO376" i="7"/>
  <c r="AO375" i="7"/>
  <c r="AN560" i="7"/>
  <c r="AN112" i="7"/>
  <c r="AN113" i="7" s="1"/>
  <c r="B333" i="7" a="1"/>
  <c r="B333" i="7" s="1"/>
  <c r="B335" i="7" a="1"/>
  <c r="B335" i="7" s="1"/>
  <c r="B337" i="7" a="1"/>
  <c r="B337" i="7" s="1"/>
  <c r="B471" i="7" a="1"/>
  <c r="B471" i="7" s="1"/>
  <c r="B473" i="7" a="1"/>
  <c r="B473" i="7" s="1"/>
  <c r="B475" i="7" a="1"/>
  <c r="B475" i="7" s="1"/>
  <c r="B334" i="7" a="1"/>
  <c r="B334" i="7" s="1"/>
  <c r="B336" i="7" a="1"/>
  <c r="B336" i="7" s="1"/>
  <c r="B470" i="7" a="1"/>
  <c r="B470" i="7" s="1"/>
  <c r="B472" i="7" a="1"/>
  <c r="B472" i="7" s="1"/>
  <c r="B474" i="7" a="1"/>
  <c r="B474" i="7" s="1"/>
  <c r="AP652" i="7"/>
  <c r="R773" i="7"/>
  <c r="S773" i="7"/>
  <c r="T773" i="7"/>
  <c r="U773" i="7"/>
  <c r="V773" i="7"/>
  <c r="AL777" i="7"/>
  <c r="AM777" i="7"/>
  <c r="AN777" i="7"/>
  <c r="AO777" i="7"/>
  <c r="W774" i="7"/>
  <c r="X774" i="7"/>
  <c r="Y774" i="7"/>
  <c r="Z774" i="7"/>
  <c r="AA774" i="7"/>
  <c r="AP777" i="7"/>
  <c r="I771" i="7"/>
  <c r="J771" i="7"/>
  <c r="K771" i="7"/>
  <c r="L771" i="7"/>
  <c r="AB775" i="7"/>
  <c r="AC775" i="7"/>
  <c r="AD775" i="7"/>
  <c r="AE775" i="7"/>
  <c r="AF775" i="7"/>
  <c r="M772" i="7"/>
  <c r="N772" i="7"/>
  <c r="O772" i="7"/>
  <c r="P772" i="7"/>
  <c r="Q772" i="7"/>
  <c r="AG776" i="7"/>
  <c r="AH776" i="7"/>
  <c r="AI776" i="7"/>
  <c r="AJ776" i="7"/>
  <c r="AK776" i="7"/>
  <c r="AP361" i="7"/>
  <c r="AP372" i="7" s="1"/>
  <c r="AP411" i="7"/>
  <c r="AP423" i="7" s="1"/>
  <c r="AP413" i="7"/>
  <c r="AP417" i="7"/>
  <c r="AP366" i="7"/>
  <c r="AP377" i="7" s="1"/>
  <c r="AP415" i="7"/>
  <c r="AP384" i="7"/>
  <c r="AP396" i="7" s="1"/>
  <c r="AP386" i="7"/>
  <c r="AP388" i="7"/>
  <c r="AP400" i="7" s="1"/>
  <c r="AP364" i="7"/>
  <c r="AP362" i="7"/>
  <c r="AP390" i="7"/>
  <c r="AP402" i="7" s="1"/>
  <c r="AP360" i="7"/>
  <c r="AP389" i="7"/>
  <c r="AP367" i="7"/>
  <c r="AP414" i="7"/>
  <c r="AP359" i="7"/>
  <c r="AP370" i="7" s="1"/>
  <c r="AP385" i="7"/>
  <c r="AP410" i="7"/>
  <c r="AP418" i="7"/>
  <c r="AP365" i="7"/>
  <c r="AP363" i="7"/>
  <c r="AP387" i="7"/>
  <c r="AP399" i="7" s="1"/>
  <c r="AP391" i="7"/>
  <c r="AP412" i="7"/>
  <c r="AP416" i="7"/>
  <c r="AP428" i="7" s="1"/>
  <c r="AP248" i="7"/>
  <c r="AP211" i="7"/>
  <c r="AP77" i="7"/>
  <c r="AP771" i="7"/>
  <c r="F771" i="7"/>
  <c r="G771" i="7"/>
  <c r="H771" i="7"/>
  <c r="L773" i="7"/>
  <c r="M773" i="7"/>
  <c r="N773" i="7"/>
  <c r="R775" i="7"/>
  <c r="S775" i="7"/>
  <c r="T775" i="7"/>
  <c r="X777" i="7"/>
  <c r="Y777" i="7"/>
  <c r="Z777" i="7"/>
  <c r="AD779" i="7"/>
  <c r="AE779" i="7"/>
  <c r="AF779" i="7"/>
  <c r="I772" i="7"/>
  <c r="J772" i="7"/>
  <c r="K772" i="7"/>
  <c r="O774" i="7"/>
  <c r="P774" i="7"/>
  <c r="Q774" i="7"/>
  <c r="U776" i="7"/>
  <c r="V776" i="7"/>
  <c r="W776" i="7"/>
  <c r="AA778" i="7"/>
  <c r="AB778" i="7"/>
  <c r="AC778" i="7"/>
  <c r="AP39" i="7"/>
  <c r="AO104" i="7"/>
  <c r="AP93" i="7"/>
  <c r="AP521" i="7"/>
  <c r="AP491" i="7"/>
  <c r="AP530" i="7"/>
  <c r="AP542" i="7" s="1"/>
  <c r="O707" i="7"/>
  <c r="O716" i="7" s="1"/>
  <c r="O688" i="7" s="1"/>
  <c r="P707" i="7"/>
  <c r="P716" i="7" s="1"/>
  <c r="P688" i="7" s="1"/>
  <c r="Q707" i="7"/>
  <c r="Q716" i="7" s="1"/>
  <c r="Q688" i="7" s="1"/>
  <c r="R707" i="7"/>
  <c r="R716" i="7" s="1"/>
  <c r="R688" i="7" s="1"/>
  <c r="S707" i="7"/>
  <c r="S716" i="7" s="1"/>
  <c r="S688" i="7" s="1"/>
  <c r="T707" i="7"/>
  <c r="T716" i="7" s="1"/>
  <c r="T688" i="7" s="1"/>
  <c r="U707" i="7"/>
  <c r="U716" i="7" s="1"/>
  <c r="U688" i="7" s="1"/>
  <c r="V707" i="7"/>
  <c r="V716" i="7" s="1"/>
  <c r="V688" i="7" s="1"/>
  <c r="W707" i="7"/>
  <c r="W716" i="7" s="1"/>
  <c r="W688" i="7" s="1"/>
  <c r="W96" i="7" s="1"/>
  <c r="X707" i="7"/>
  <c r="X716" i="7" s="1"/>
  <c r="X688" i="7" s="1"/>
  <c r="X96" i="7" s="1"/>
  <c r="Y707" i="7"/>
  <c r="Y716" i="7" s="1"/>
  <c r="Y688" i="7" s="1"/>
  <c r="Y96" i="7" s="1"/>
  <c r="Z707" i="7"/>
  <c r="Z716" i="7" s="1"/>
  <c r="Z688" i="7" s="1"/>
  <c r="Z96" i="7" s="1"/>
  <c r="AM709" i="7"/>
  <c r="AM716" i="7" s="1"/>
  <c r="AM688" i="7" s="1"/>
  <c r="AM96" i="7" s="1"/>
  <c r="AN709" i="7"/>
  <c r="AN716" i="7" s="1"/>
  <c r="AN688" i="7" s="1"/>
  <c r="AN96" i="7" s="1"/>
  <c r="AO709" i="7"/>
  <c r="AO716" i="7" s="1"/>
  <c r="AO688" i="7" s="1"/>
  <c r="AO96" i="7" s="1"/>
  <c r="R739" i="7"/>
  <c r="R748" i="7" s="1"/>
  <c r="R720" i="7" s="1"/>
  <c r="R97" i="7" s="1"/>
  <c r="S739" i="7"/>
  <c r="S748" i="7" s="1"/>
  <c r="S720" i="7" s="1"/>
  <c r="S97" i="7" s="1"/>
  <c r="T739" i="7"/>
  <c r="T748" i="7" s="1"/>
  <c r="T720" i="7" s="1"/>
  <c r="T97" i="7" s="1"/>
  <c r="U739" i="7"/>
  <c r="U748" i="7" s="1"/>
  <c r="U720" i="7" s="1"/>
  <c r="U97" i="7" s="1"/>
  <c r="V739" i="7"/>
  <c r="V748" i="7" s="1"/>
  <c r="V720" i="7" s="1"/>
  <c r="V97" i="7" s="1"/>
  <c r="W739" i="7"/>
  <c r="W748" i="7" s="1"/>
  <c r="W720" i="7" s="1"/>
  <c r="W97" i="7" s="1"/>
  <c r="X739" i="7"/>
  <c r="X748" i="7" s="1"/>
  <c r="X720" i="7" s="1"/>
  <c r="X97" i="7" s="1"/>
  <c r="Y739" i="7"/>
  <c r="Y748" i="7" s="1"/>
  <c r="Y720" i="7" s="1"/>
  <c r="Y97" i="7" s="1"/>
  <c r="Z739" i="7"/>
  <c r="Z748" i="7" s="1"/>
  <c r="Z720" i="7" s="1"/>
  <c r="Z97" i="7" s="1"/>
  <c r="AA739" i="7"/>
  <c r="AA748" i="7" s="1"/>
  <c r="AA720" i="7" s="1"/>
  <c r="AA97" i="7" s="1"/>
  <c r="AB739" i="7"/>
  <c r="AB748" i="7" s="1"/>
  <c r="AB720" i="7" s="1"/>
  <c r="AB97" i="7" s="1"/>
  <c r="AC739" i="7"/>
  <c r="AC748" i="7" s="1"/>
  <c r="AC720" i="7" s="1"/>
  <c r="AC97" i="7" s="1"/>
  <c r="AD739" i="7"/>
  <c r="AD748" i="7" s="1"/>
  <c r="AD720" i="7" s="1"/>
  <c r="AD97" i="7" s="1"/>
  <c r="AE739" i="7"/>
  <c r="AE748" i="7" s="1"/>
  <c r="AE720" i="7" s="1"/>
  <c r="AE97" i="7" s="1"/>
  <c r="AF739" i="7"/>
  <c r="AF748" i="7" s="1"/>
  <c r="AF720" i="7" s="1"/>
  <c r="AF97" i="7" s="1"/>
  <c r="W771" i="7"/>
  <c r="X771" i="7"/>
  <c r="Y771" i="7"/>
  <c r="Z771" i="7"/>
  <c r="AA771" i="7"/>
  <c r="AB771" i="7"/>
  <c r="AC771" i="7"/>
  <c r="AD771" i="7"/>
  <c r="AE771" i="7"/>
  <c r="AF771" i="7"/>
  <c r="AG771" i="7"/>
  <c r="AH771" i="7"/>
  <c r="AI771" i="7"/>
  <c r="AJ771" i="7"/>
  <c r="AK771" i="7"/>
  <c r="AL771" i="7"/>
  <c r="AM771" i="7"/>
  <c r="AN771" i="7"/>
  <c r="AO771" i="7"/>
  <c r="AP709" i="7"/>
  <c r="AP716" i="7" s="1"/>
  <c r="AP688" i="7" s="1"/>
  <c r="AP354" i="7"/>
  <c r="AP495" i="7"/>
  <c r="AP547" i="7"/>
  <c r="AP704" i="7"/>
  <c r="AP689" i="7" s="1"/>
  <c r="AP101" i="7" s="1"/>
  <c r="B694" i="7"/>
  <c r="C369" i="7" s="1"/>
  <c r="AA708" i="7"/>
  <c r="AA716" i="7" s="1"/>
  <c r="AA688" i="7" s="1"/>
  <c r="AA96" i="7" s="1"/>
  <c r="AB708" i="7"/>
  <c r="AB716" i="7" s="1"/>
  <c r="AB688" i="7" s="1"/>
  <c r="AB96" i="7" s="1"/>
  <c r="AC708" i="7"/>
  <c r="AC716" i="7" s="1"/>
  <c r="AC688" i="7" s="1"/>
  <c r="AC96" i="7" s="1"/>
  <c r="AD708" i="7"/>
  <c r="AD716" i="7" s="1"/>
  <c r="AD688" i="7" s="1"/>
  <c r="AD96" i="7" s="1"/>
  <c r="AE708" i="7"/>
  <c r="AE716" i="7" s="1"/>
  <c r="AE688" i="7" s="1"/>
  <c r="AE96" i="7" s="1"/>
  <c r="AF708" i="7"/>
  <c r="AF716" i="7" s="1"/>
  <c r="AF688" i="7" s="1"/>
  <c r="AF96" i="7" s="1"/>
  <c r="AG708" i="7"/>
  <c r="AG716" i="7" s="1"/>
  <c r="AG688" i="7" s="1"/>
  <c r="AG96" i="7" s="1"/>
  <c r="AH708" i="7"/>
  <c r="AH716" i="7" s="1"/>
  <c r="AH688" i="7" s="1"/>
  <c r="AH96" i="7" s="1"/>
  <c r="AI708" i="7"/>
  <c r="AI716" i="7" s="1"/>
  <c r="AI688" i="7" s="1"/>
  <c r="AI96" i="7" s="1"/>
  <c r="AJ708" i="7"/>
  <c r="AJ716" i="7" s="1"/>
  <c r="AJ688" i="7" s="1"/>
  <c r="AJ96" i="7" s="1"/>
  <c r="AK708" i="7"/>
  <c r="AK716" i="7" s="1"/>
  <c r="AK688" i="7" s="1"/>
  <c r="AK96" i="7" s="1"/>
  <c r="AL708" i="7"/>
  <c r="AL716" i="7" s="1"/>
  <c r="AL688" i="7" s="1"/>
  <c r="AL96" i="7" s="1"/>
  <c r="AP736" i="7"/>
  <c r="AP721" i="7" s="1"/>
  <c r="AP102" i="7" s="1"/>
  <c r="B726" i="7"/>
  <c r="AP395" i="7" s="1"/>
  <c r="AG740" i="7"/>
  <c r="AG748" i="7" s="1"/>
  <c r="AG720" i="7" s="1"/>
  <c r="AG97" i="7" s="1"/>
  <c r="AH740" i="7"/>
  <c r="AH748" i="7" s="1"/>
  <c r="AH720" i="7" s="1"/>
  <c r="AH97" i="7" s="1"/>
  <c r="AI740" i="7"/>
  <c r="AI748" i="7" s="1"/>
  <c r="AI720" i="7" s="1"/>
  <c r="AI97" i="7" s="1"/>
  <c r="AJ740" i="7"/>
  <c r="AJ748" i="7" s="1"/>
  <c r="AJ720" i="7" s="1"/>
  <c r="AJ97" i="7" s="1"/>
  <c r="AK740" i="7"/>
  <c r="AK748" i="7" s="1"/>
  <c r="AK720" i="7" s="1"/>
  <c r="AK97" i="7" s="1"/>
  <c r="AL740" i="7"/>
  <c r="AL748" i="7" s="1"/>
  <c r="AL720" i="7" s="1"/>
  <c r="AL97" i="7" s="1"/>
  <c r="AM740" i="7"/>
  <c r="AM748" i="7" s="1"/>
  <c r="AM720" i="7" s="1"/>
  <c r="AM97" i="7" s="1"/>
  <c r="AN740" i="7"/>
  <c r="AN748" i="7" s="1"/>
  <c r="AN720" i="7" s="1"/>
  <c r="AN97" i="7" s="1"/>
  <c r="AO740" i="7"/>
  <c r="AO748" i="7" s="1"/>
  <c r="AO720" i="7" s="1"/>
  <c r="AO97" i="7" s="1"/>
  <c r="AP768" i="7"/>
  <c r="AP753" i="7" s="1"/>
  <c r="AP103" i="7" s="1"/>
  <c r="B758" i="7"/>
  <c r="AP740" i="7"/>
  <c r="U96" i="7" l="1"/>
  <c r="V96" i="7"/>
  <c r="AP533" i="7"/>
  <c r="AP507" i="7"/>
  <c r="AP550" i="7"/>
  <c r="AP562" i="7" s="1"/>
  <c r="B562" i="7" s="1"/>
  <c r="AP424" i="7"/>
  <c r="AP529" i="7"/>
  <c r="AP541" i="7" s="1"/>
  <c r="B541" i="7" s="1"/>
  <c r="AP403" i="7"/>
  <c r="B403" i="7" s="1"/>
  <c r="AP552" i="7"/>
  <c r="AP564" i="7" s="1"/>
  <c r="B564" i="7" s="1"/>
  <c r="AP426" i="7"/>
  <c r="B426" i="7" s="1"/>
  <c r="AP524" i="7"/>
  <c r="AP536" i="7" s="1"/>
  <c r="B536" i="7" s="1"/>
  <c r="AP398" i="7"/>
  <c r="B398" i="7" s="1"/>
  <c r="C421" i="7"/>
  <c r="D421" i="7"/>
  <c r="D431" i="7" s="1"/>
  <c r="C559" i="7"/>
  <c r="F421" i="7"/>
  <c r="F431" i="7" s="1"/>
  <c r="D559" i="7"/>
  <c r="D569" i="7" s="1"/>
  <c r="E421" i="7"/>
  <c r="E431" i="7" s="1"/>
  <c r="G421" i="7"/>
  <c r="G431" i="7" s="1"/>
  <c r="E559" i="7"/>
  <c r="E569" i="7" s="1"/>
  <c r="F559" i="7"/>
  <c r="F569" i="7" s="1"/>
  <c r="H421" i="7"/>
  <c r="H431" i="7" s="1"/>
  <c r="G559" i="7"/>
  <c r="G569" i="7" s="1"/>
  <c r="H559" i="7"/>
  <c r="H569" i="7" s="1"/>
  <c r="I421" i="7"/>
  <c r="I431" i="7" s="1"/>
  <c r="I559" i="7"/>
  <c r="J421" i="7"/>
  <c r="J431" i="7" s="1"/>
  <c r="J559" i="7"/>
  <c r="J569" i="7" s="1"/>
  <c r="K421" i="7"/>
  <c r="K431" i="7" s="1"/>
  <c r="K559" i="7"/>
  <c r="K569" i="7" s="1"/>
  <c r="L421" i="7"/>
  <c r="L431" i="7" s="1"/>
  <c r="M421" i="7"/>
  <c r="M431" i="7" s="1"/>
  <c r="N421" i="7"/>
  <c r="N431" i="7" s="1"/>
  <c r="L559" i="7"/>
  <c r="L569" i="7" s="1"/>
  <c r="N559" i="7"/>
  <c r="N569" i="7" s="1"/>
  <c r="M559" i="7"/>
  <c r="M569" i="7" s="1"/>
  <c r="O421" i="7"/>
  <c r="O431" i="7" s="1"/>
  <c r="O559" i="7"/>
  <c r="O569" i="7" s="1"/>
  <c r="P421" i="7"/>
  <c r="P431" i="7" s="1"/>
  <c r="Q421" i="7"/>
  <c r="Q431" i="7" s="1"/>
  <c r="P559" i="7"/>
  <c r="P569" i="7" s="1"/>
  <c r="R421" i="7"/>
  <c r="R431" i="7" s="1"/>
  <c r="Q559" i="7"/>
  <c r="Q569" i="7" s="1"/>
  <c r="S421" i="7"/>
  <c r="S431" i="7" s="1"/>
  <c r="R559" i="7"/>
  <c r="R569" i="7" s="1"/>
  <c r="S559" i="7"/>
  <c r="S569" i="7" s="1"/>
  <c r="T421" i="7"/>
  <c r="T431" i="7" s="1"/>
  <c r="T559" i="7"/>
  <c r="T569" i="7" s="1"/>
  <c r="U421" i="7"/>
  <c r="U431" i="7" s="1"/>
  <c r="V421" i="7"/>
  <c r="V431" i="7" s="1"/>
  <c r="U559" i="7"/>
  <c r="U569" i="7" s="1"/>
  <c r="V559" i="7"/>
  <c r="V569" i="7" s="1"/>
  <c r="W421" i="7"/>
  <c r="W431" i="7" s="1"/>
  <c r="X421" i="7"/>
  <c r="X431" i="7" s="1"/>
  <c r="W559" i="7"/>
  <c r="W569" i="7" s="1"/>
  <c r="Y421" i="7"/>
  <c r="Y431" i="7" s="1"/>
  <c r="X559" i="7"/>
  <c r="X569" i="7" s="1"/>
  <c r="Y559" i="7"/>
  <c r="Y569" i="7" s="1"/>
  <c r="Z421" i="7"/>
  <c r="Z431" i="7" s="1"/>
  <c r="AA421" i="7"/>
  <c r="AA431" i="7" s="1"/>
  <c r="Z559" i="7"/>
  <c r="Z569" i="7" s="1"/>
  <c r="AA559" i="7"/>
  <c r="AA569" i="7" s="1"/>
  <c r="AB421" i="7"/>
  <c r="AB431" i="7" s="1"/>
  <c r="AC421" i="7"/>
  <c r="AC431" i="7" s="1"/>
  <c r="AB559" i="7"/>
  <c r="AB569" i="7" s="1"/>
  <c r="AD421" i="7"/>
  <c r="AD431" i="7" s="1"/>
  <c r="AC559" i="7"/>
  <c r="AC569" i="7" s="1"/>
  <c r="AD559" i="7"/>
  <c r="AD569" i="7" s="1"/>
  <c r="AE421" i="7"/>
  <c r="AE431" i="7" s="1"/>
  <c r="AF421" i="7"/>
  <c r="AF431" i="7" s="1"/>
  <c r="AE559" i="7"/>
  <c r="AE569" i="7" s="1"/>
  <c r="AG421" i="7"/>
  <c r="AG431" i="7" s="1"/>
  <c r="AF559" i="7"/>
  <c r="AF569" i="7" s="1"/>
  <c r="AH421" i="7"/>
  <c r="AH431" i="7" s="1"/>
  <c r="AG559" i="7"/>
  <c r="AG569" i="7" s="1"/>
  <c r="AH559" i="7"/>
  <c r="AH569" i="7" s="1"/>
  <c r="AI421" i="7"/>
  <c r="AI559" i="7"/>
  <c r="AI569" i="7" s="1"/>
  <c r="AJ421" i="7"/>
  <c r="AJ431" i="7" s="1"/>
  <c r="AJ559" i="7"/>
  <c r="AJ569" i="7" s="1"/>
  <c r="AK421" i="7"/>
  <c r="AK431" i="7" s="1"/>
  <c r="AL421" i="7"/>
  <c r="AL431" i="7" s="1"/>
  <c r="AK559" i="7"/>
  <c r="AK569" i="7" s="1"/>
  <c r="AL559" i="7"/>
  <c r="AL569" i="7" s="1"/>
  <c r="AM421" i="7"/>
  <c r="AM431" i="7" s="1"/>
  <c r="AM559" i="7"/>
  <c r="AM569" i="7" s="1"/>
  <c r="AN421" i="7"/>
  <c r="AN431" i="7" s="1"/>
  <c r="AN559" i="7"/>
  <c r="AN569" i="7" s="1"/>
  <c r="AO421" i="7"/>
  <c r="AO431" i="7" s="1"/>
  <c r="AP504" i="7"/>
  <c r="AP516" i="7" s="1"/>
  <c r="B516" i="7" s="1"/>
  <c r="AP378" i="7"/>
  <c r="B378" i="7" s="1"/>
  <c r="D369" i="7"/>
  <c r="C507" i="7"/>
  <c r="F369" i="7"/>
  <c r="F379" i="7" s="1"/>
  <c r="D507" i="7"/>
  <c r="D517" i="7" s="1"/>
  <c r="E369" i="7"/>
  <c r="E379" i="7" s="1"/>
  <c r="F507" i="7"/>
  <c r="F517" i="7" s="1"/>
  <c r="E507" i="7"/>
  <c r="E517" i="7" s="1"/>
  <c r="G369" i="7"/>
  <c r="G379" i="7" s="1"/>
  <c r="G507" i="7"/>
  <c r="G517" i="7" s="1"/>
  <c r="H369" i="7"/>
  <c r="H379" i="7" s="1"/>
  <c r="I369" i="7"/>
  <c r="I379" i="7" s="1"/>
  <c r="H507" i="7"/>
  <c r="H517" i="7" s="1"/>
  <c r="I507" i="7"/>
  <c r="I517" i="7" s="1"/>
  <c r="J369" i="7"/>
  <c r="J379" i="7" s="1"/>
  <c r="J507" i="7"/>
  <c r="J517" i="7" s="1"/>
  <c r="K369" i="7"/>
  <c r="K379" i="7" s="1"/>
  <c r="M369" i="7"/>
  <c r="M379" i="7" s="1"/>
  <c r="L369" i="7"/>
  <c r="L379" i="7" s="1"/>
  <c r="K507" i="7"/>
  <c r="K517" i="7" s="1"/>
  <c r="N369" i="7"/>
  <c r="N379" i="7" s="1"/>
  <c r="L507" i="7"/>
  <c r="L517" i="7" s="1"/>
  <c r="M507" i="7"/>
  <c r="M517" i="7" s="1"/>
  <c r="N507" i="7"/>
  <c r="N517" i="7" s="1"/>
  <c r="O369" i="7"/>
  <c r="O379" i="7" s="1"/>
  <c r="O507" i="7"/>
  <c r="O517" i="7" s="1"/>
  <c r="P369" i="7"/>
  <c r="P379" i="7" s="1"/>
  <c r="Q369" i="7"/>
  <c r="Q379" i="7" s="1"/>
  <c r="P507" i="7"/>
  <c r="P517" i="7" s="1"/>
  <c r="R369" i="7"/>
  <c r="R379" i="7" s="1"/>
  <c r="Q507" i="7"/>
  <c r="Q517" i="7" s="1"/>
  <c r="S369" i="7"/>
  <c r="S379" i="7" s="1"/>
  <c r="R507" i="7"/>
  <c r="R517" i="7" s="1"/>
  <c r="S507" i="7"/>
  <c r="S517" i="7" s="1"/>
  <c r="T369" i="7"/>
  <c r="T379" i="7" s="1"/>
  <c r="U369" i="7"/>
  <c r="U379" i="7" s="1"/>
  <c r="T507" i="7"/>
  <c r="T517" i="7" s="1"/>
  <c r="V369" i="7"/>
  <c r="V379" i="7" s="1"/>
  <c r="U507" i="7"/>
  <c r="U517" i="7" s="1"/>
  <c r="W369" i="7"/>
  <c r="W379" i="7" s="1"/>
  <c r="V507" i="7"/>
  <c r="V517" i="7" s="1"/>
  <c r="X369" i="7"/>
  <c r="X379" i="7" s="1"/>
  <c r="W507" i="7"/>
  <c r="W517" i="7" s="1"/>
  <c r="X507" i="7"/>
  <c r="X517" i="7" s="1"/>
  <c r="Y369" i="7"/>
  <c r="Y379" i="7" s="1"/>
  <c r="Z369" i="7"/>
  <c r="Z379" i="7" s="1"/>
  <c r="Y507" i="7"/>
  <c r="Y517" i="7" s="1"/>
  <c r="AA369" i="7"/>
  <c r="AA379" i="7" s="1"/>
  <c r="AB369" i="7"/>
  <c r="AB379" i="7" s="1"/>
  <c r="Z507" i="7"/>
  <c r="Z517" i="7" s="1"/>
  <c r="AC369" i="7"/>
  <c r="AC379" i="7" s="1"/>
  <c r="AA507" i="7"/>
  <c r="AA517" i="7" s="1"/>
  <c r="AB507" i="7"/>
  <c r="AB517" i="7" s="1"/>
  <c r="AC507" i="7"/>
  <c r="AC517" i="7" s="1"/>
  <c r="AD369" i="7"/>
  <c r="AD379" i="7" s="1"/>
  <c r="AE369" i="7"/>
  <c r="AE379" i="7" s="1"/>
  <c r="AD507" i="7"/>
  <c r="AD517" i="7" s="1"/>
  <c r="AF369" i="7"/>
  <c r="AF379" i="7" s="1"/>
  <c r="AE507" i="7"/>
  <c r="AE517" i="7" s="1"/>
  <c r="AG369" i="7"/>
  <c r="AG379" i="7" s="1"/>
  <c r="AF507" i="7"/>
  <c r="AF517" i="7" s="1"/>
  <c r="AG507" i="7"/>
  <c r="AG517" i="7" s="1"/>
  <c r="AH369" i="7"/>
  <c r="AH379" i="7" s="1"/>
  <c r="AI369" i="7"/>
  <c r="AI379" i="7" s="1"/>
  <c r="AH507" i="7"/>
  <c r="AH517" i="7" s="1"/>
  <c r="AJ369" i="7"/>
  <c r="AJ379" i="7" s="1"/>
  <c r="AI507" i="7"/>
  <c r="AI517" i="7" s="1"/>
  <c r="AJ507" i="7"/>
  <c r="AJ517" i="7" s="1"/>
  <c r="AK369" i="7"/>
  <c r="AK379" i="7" s="1"/>
  <c r="AK507" i="7"/>
  <c r="AK517" i="7" s="1"/>
  <c r="AL369" i="7"/>
  <c r="AL379" i="7" s="1"/>
  <c r="AL507" i="7"/>
  <c r="AL517" i="7" s="1"/>
  <c r="AM369" i="7"/>
  <c r="AM379" i="7" s="1"/>
  <c r="AM507" i="7"/>
  <c r="AM517" i="7" s="1"/>
  <c r="AN369" i="7"/>
  <c r="AN379" i="7" s="1"/>
  <c r="AO369" i="7"/>
  <c r="AO379" i="7" s="1"/>
  <c r="AN507" i="7"/>
  <c r="AN517" i="7" s="1"/>
  <c r="AM780" i="7"/>
  <c r="AM752" i="7" s="1"/>
  <c r="AM98" i="7" s="1"/>
  <c r="AP500" i="7"/>
  <c r="AP512" i="7" s="1"/>
  <c r="B512" i="7" s="1"/>
  <c r="AP374" i="7"/>
  <c r="B374" i="7" s="1"/>
  <c r="AP527" i="7"/>
  <c r="AP539" i="7" s="1"/>
  <c r="B539" i="7" s="1"/>
  <c r="AP401" i="7"/>
  <c r="AP553" i="7"/>
  <c r="AP565" i="7" s="1"/>
  <c r="B565" i="7" s="1"/>
  <c r="AP427" i="7"/>
  <c r="B427" i="7" s="1"/>
  <c r="AO559" i="7"/>
  <c r="AO569" i="7" s="1"/>
  <c r="AP421" i="7"/>
  <c r="AP497" i="7"/>
  <c r="AP509" i="7" s="1"/>
  <c r="B509" i="7" s="1"/>
  <c r="AP371" i="7"/>
  <c r="B371" i="7" s="1"/>
  <c r="C395" i="7"/>
  <c r="D395" i="7"/>
  <c r="D405" i="7" s="1"/>
  <c r="F395" i="7"/>
  <c r="F405" i="7" s="1"/>
  <c r="C533" i="7"/>
  <c r="D533" i="7"/>
  <c r="D543" i="7" s="1"/>
  <c r="E395" i="7"/>
  <c r="E405" i="7" s="1"/>
  <c r="F533" i="7"/>
  <c r="F543" i="7" s="1"/>
  <c r="G395" i="7"/>
  <c r="G405" i="7" s="1"/>
  <c r="H395" i="7"/>
  <c r="H405" i="7" s="1"/>
  <c r="G533" i="7"/>
  <c r="G543" i="7" s="1"/>
  <c r="E533" i="7"/>
  <c r="E543" i="7" s="1"/>
  <c r="I395" i="7"/>
  <c r="I405" i="7" s="1"/>
  <c r="H533" i="7"/>
  <c r="H543" i="7" s="1"/>
  <c r="I533" i="7"/>
  <c r="I543" i="7" s="1"/>
  <c r="J395" i="7"/>
  <c r="J405" i="7" s="1"/>
  <c r="K395" i="7"/>
  <c r="K405" i="7" s="1"/>
  <c r="J533" i="7"/>
  <c r="J543" i="7" s="1"/>
  <c r="K533" i="7"/>
  <c r="K543" i="7" s="1"/>
  <c r="L395" i="7"/>
  <c r="L405" i="7" s="1"/>
  <c r="L533" i="7"/>
  <c r="L543" i="7" s="1"/>
  <c r="M395" i="7"/>
  <c r="M405" i="7" s="1"/>
  <c r="M533" i="7"/>
  <c r="M543" i="7" s="1"/>
  <c r="N395" i="7"/>
  <c r="N405" i="7" s="1"/>
  <c r="N533" i="7"/>
  <c r="N543" i="7" s="1"/>
  <c r="O395" i="7"/>
  <c r="O405" i="7" s="1"/>
  <c r="P395" i="7"/>
  <c r="P405" i="7" s="1"/>
  <c r="O533" i="7"/>
  <c r="O543" i="7" s="1"/>
  <c r="P533" i="7"/>
  <c r="P543" i="7" s="1"/>
  <c r="Q395" i="7"/>
  <c r="Q405" i="7" s="1"/>
  <c r="R395" i="7"/>
  <c r="R405" i="7" s="1"/>
  <c r="Q533" i="7"/>
  <c r="Q543" i="7" s="1"/>
  <c r="S395" i="7"/>
  <c r="S405" i="7" s="1"/>
  <c r="R533" i="7"/>
  <c r="R543" i="7" s="1"/>
  <c r="S533" i="7"/>
  <c r="S543" i="7" s="1"/>
  <c r="T395" i="7"/>
  <c r="T405" i="7" s="1"/>
  <c r="T533" i="7"/>
  <c r="T543" i="7" s="1"/>
  <c r="U395" i="7"/>
  <c r="U405" i="7" s="1"/>
  <c r="U533" i="7"/>
  <c r="U543" i="7" s="1"/>
  <c r="V395" i="7"/>
  <c r="V405" i="7" s="1"/>
  <c r="V533" i="7"/>
  <c r="V543" i="7" s="1"/>
  <c r="W395" i="7"/>
  <c r="W405" i="7" s="1"/>
  <c r="W533" i="7"/>
  <c r="W543" i="7" s="1"/>
  <c r="X395" i="7"/>
  <c r="X405" i="7" s="1"/>
  <c r="X533" i="7"/>
  <c r="X543" i="7" s="1"/>
  <c r="Y395" i="7"/>
  <c r="Y405" i="7" s="1"/>
  <c r="Y533" i="7"/>
  <c r="Y543" i="7" s="1"/>
  <c r="Z395" i="7"/>
  <c r="Z405" i="7" s="1"/>
  <c r="Z533" i="7"/>
  <c r="Z543" i="7" s="1"/>
  <c r="AA395" i="7"/>
  <c r="AA405" i="7" s="1"/>
  <c r="AB395" i="7"/>
  <c r="AB405" i="7" s="1"/>
  <c r="AA533" i="7"/>
  <c r="AA543" i="7" s="1"/>
  <c r="AC395" i="7"/>
  <c r="AC405" i="7" s="1"/>
  <c r="AB533" i="7"/>
  <c r="AB543" i="7" s="1"/>
  <c r="AC533" i="7"/>
  <c r="AC543" i="7" s="1"/>
  <c r="AD395" i="7"/>
  <c r="AD405" i="7" s="1"/>
  <c r="AE395" i="7"/>
  <c r="AE405" i="7" s="1"/>
  <c r="AD533" i="7"/>
  <c r="AD543" i="7" s="1"/>
  <c r="AF395" i="7"/>
  <c r="AF405" i="7" s="1"/>
  <c r="AE533" i="7"/>
  <c r="AE543" i="7" s="1"/>
  <c r="AG395" i="7"/>
  <c r="AG405" i="7" s="1"/>
  <c r="AF533" i="7"/>
  <c r="AF543" i="7" s="1"/>
  <c r="AG533" i="7"/>
  <c r="AG543" i="7" s="1"/>
  <c r="AH395" i="7"/>
  <c r="AH405" i="7" s="1"/>
  <c r="AH533" i="7"/>
  <c r="AH543" i="7" s="1"/>
  <c r="AI395" i="7"/>
  <c r="AI405" i="7" s="1"/>
  <c r="AJ395" i="7"/>
  <c r="AJ405" i="7" s="1"/>
  <c r="AI533" i="7"/>
  <c r="AI543" i="7" s="1"/>
  <c r="AK395" i="7"/>
  <c r="AK405" i="7" s="1"/>
  <c r="AJ533" i="7"/>
  <c r="AJ543" i="7" s="1"/>
  <c r="AK533" i="7"/>
  <c r="AK543" i="7" s="1"/>
  <c r="AL395" i="7"/>
  <c r="AL405" i="7" s="1"/>
  <c r="AM395" i="7"/>
  <c r="AM405" i="7" s="1"/>
  <c r="AL533" i="7"/>
  <c r="AL543" i="7" s="1"/>
  <c r="AM533" i="7"/>
  <c r="AM543" i="7" s="1"/>
  <c r="AN395" i="7"/>
  <c r="AN405" i="7" s="1"/>
  <c r="AO395" i="7"/>
  <c r="AO405" i="7" s="1"/>
  <c r="AN533" i="7"/>
  <c r="AN543" i="7" s="1"/>
  <c r="AP559" i="7"/>
  <c r="AP556" i="7"/>
  <c r="AP568" i="7" s="1"/>
  <c r="B568" i="7" s="1"/>
  <c r="AP430" i="7"/>
  <c r="B430" i="7" s="1"/>
  <c r="AP555" i="7"/>
  <c r="AP567" i="7" s="1"/>
  <c r="B567" i="7" s="1"/>
  <c r="AP429" i="7"/>
  <c r="B429" i="7" s="1"/>
  <c r="AP369" i="7"/>
  <c r="AP548" i="7"/>
  <c r="AP560" i="7" s="1"/>
  <c r="B560" i="7" s="1"/>
  <c r="AP422" i="7"/>
  <c r="B422" i="7" s="1"/>
  <c r="AP499" i="7"/>
  <c r="AP511" i="7" s="1"/>
  <c r="B511" i="7" s="1"/>
  <c r="AP373" i="7"/>
  <c r="B373" i="7" s="1"/>
  <c r="AP551" i="7"/>
  <c r="AP563" i="7" s="1"/>
  <c r="B563" i="7" s="1"/>
  <c r="AP425" i="7"/>
  <c r="B425" i="7" s="1"/>
  <c r="AO533" i="7"/>
  <c r="AO543" i="7" s="1"/>
  <c r="AP502" i="7"/>
  <c r="AP514" i="7" s="1"/>
  <c r="B514" i="7" s="1"/>
  <c r="AP376" i="7"/>
  <c r="B376" i="7" s="1"/>
  <c r="AP523" i="7"/>
  <c r="AP535" i="7" s="1"/>
  <c r="B535" i="7" s="1"/>
  <c r="AP397" i="7"/>
  <c r="B397" i="7" s="1"/>
  <c r="AP501" i="7"/>
  <c r="AP513" i="7" s="1"/>
  <c r="B513" i="7" s="1"/>
  <c r="AP375" i="7"/>
  <c r="AO507" i="7"/>
  <c r="AO517" i="7" s="1"/>
  <c r="AO780" i="7"/>
  <c r="AO752" i="7" s="1"/>
  <c r="AO98" i="7" s="1"/>
  <c r="AO112" i="7"/>
  <c r="AO113" i="7" s="1"/>
  <c r="Q96" i="7"/>
  <c r="T96" i="7"/>
  <c r="P96" i="7"/>
  <c r="S96" i="7"/>
  <c r="R96" i="7"/>
  <c r="AP528" i="7"/>
  <c r="AP540" i="7" s="1"/>
  <c r="B540" i="7" s="1"/>
  <c r="AP503" i="7"/>
  <c r="AP515" i="7" s="1"/>
  <c r="B515" i="7" s="1"/>
  <c r="AP498" i="7"/>
  <c r="AP780" i="7"/>
  <c r="AP752" i="7" s="1"/>
  <c r="AP98" i="7" s="1"/>
  <c r="AJ780" i="7"/>
  <c r="AJ752" i="7" s="1"/>
  <c r="AJ98" i="7" s="1"/>
  <c r="AH780" i="7"/>
  <c r="AH752" i="7" s="1"/>
  <c r="AH98" i="7" s="1"/>
  <c r="AK780" i="7"/>
  <c r="AK752" i="7" s="1"/>
  <c r="AK98" i="7" s="1"/>
  <c r="AL780" i="7"/>
  <c r="AL752" i="7" s="1"/>
  <c r="AL98" i="7" s="1"/>
  <c r="AG780" i="7"/>
  <c r="AG752" i="7" s="1"/>
  <c r="AG98" i="7" s="1"/>
  <c r="AA780" i="7"/>
  <c r="AA752" i="7" s="1"/>
  <c r="AA98" i="7" s="1"/>
  <c r="AN780" i="7"/>
  <c r="AN752" i="7" s="1"/>
  <c r="AN98" i="7" s="1"/>
  <c r="AI780" i="7"/>
  <c r="AI752" i="7" s="1"/>
  <c r="AI98" i="7" s="1"/>
  <c r="AP549" i="7"/>
  <c r="AF780" i="7"/>
  <c r="AF752" i="7" s="1"/>
  <c r="AF98" i="7" s="1"/>
  <c r="AC780" i="7"/>
  <c r="AC752" i="7" s="1"/>
  <c r="AC98" i="7" s="1"/>
  <c r="Z780" i="7"/>
  <c r="Z752" i="7" s="1"/>
  <c r="Z98" i="7" s="1"/>
  <c r="W780" i="7"/>
  <c r="W752" i="7" s="1"/>
  <c r="W98" i="7" s="1"/>
  <c r="AP526" i="7"/>
  <c r="AP522" i="7"/>
  <c r="AP554" i="7"/>
  <c r="X780" i="7"/>
  <c r="X752" i="7" s="1"/>
  <c r="X98" i="7" s="1"/>
  <c r="AD780" i="7"/>
  <c r="AD752" i="7" s="1"/>
  <c r="AD98" i="7" s="1"/>
  <c r="AP496" i="7"/>
  <c r="AB780" i="7"/>
  <c r="AB752" i="7" s="1"/>
  <c r="AB98" i="7" s="1"/>
  <c r="B424" i="7"/>
  <c r="AP525" i="7"/>
  <c r="AE780" i="7"/>
  <c r="AE752" i="7" s="1"/>
  <c r="AE98" i="7" s="1"/>
  <c r="Y780" i="7"/>
  <c r="Y752" i="7" s="1"/>
  <c r="Y98" i="7" s="1"/>
  <c r="O96" i="7"/>
  <c r="B775" i="7"/>
  <c r="B707" i="7"/>
  <c r="B774" i="7"/>
  <c r="B779" i="7"/>
  <c r="B778" i="7"/>
  <c r="B772" i="7"/>
  <c r="B777" i="7"/>
  <c r="B773" i="7"/>
  <c r="B776" i="7"/>
  <c r="B771" i="7"/>
  <c r="B708" i="7"/>
  <c r="B739" i="7"/>
  <c r="B740" i="7"/>
  <c r="AP96" i="7"/>
  <c r="B709" i="7"/>
  <c r="D770" i="7"/>
  <c r="D780" i="7" s="1"/>
  <c r="D752" i="7" s="1"/>
  <c r="D98" i="7" s="1"/>
  <c r="C770" i="7"/>
  <c r="E770" i="7"/>
  <c r="E780" i="7" s="1"/>
  <c r="E752" i="7" s="1"/>
  <c r="E98" i="7" s="1"/>
  <c r="F770" i="7"/>
  <c r="F780" i="7" s="1"/>
  <c r="F752" i="7" s="1"/>
  <c r="F98" i="7" s="1"/>
  <c r="G770" i="7"/>
  <c r="G780" i="7" s="1"/>
  <c r="G752" i="7" s="1"/>
  <c r="G98" i="7" s="1"/>
  <c r="H770" i="7"/>
  <c r="H780" i="7" s="1"/>
  <c r="H752" i="7" s="1"/>
  <c r="H98" i="7" s="1"/>
  <c r="I770" i="7"/>
  <c r="I780" i="7" s="1"/>
  <c r="I752" i="7" s="1"/>
  <c r="I98" i="7" s="1"/>
  <c r="J770" i="7"/>
  <c r="J780" i="7" s="1"/>
  <c r="J752" i="7" s="1"/>
  <c r="J98" i="7" s="1"/>
  <c r="K770" i="7"/>
  <c r="K780" i="7" s="1"/>
  <c r="K752" i="7" s="1"/>
  <c r="K98" i="7" s="1"/>
  <c r="L770" i="7"/>
  <c r="L780" i="7" s="1"/>
  <c r="L752" i="7" s="1"/>
  <c r="L98" i="7" s="1"/>
  <c r="M770" i="7"/>
  <c r="M780" i="7" s="1"/>
  <c r="M752" i="7" s="1"/>
  <c r="M98" i="7" s="1"/>
  <c r="N770" i="7"/>
  <c r="N780" i="7" s="1"/>
  <c r="N752" i="7" s="1"/>
  <c r="N98" i="7" s="1"/>
  <c r="O770" i="7"/>
  <c r="O780" i="7" s="1"/>
  <c r="O752" i="7" s="1"/>
  <c r="O98" i="7" s="1"/>
  <c r="P770" i="7"/>
  <c r="P780" i="7" s="1"/>
  <c r="P752" i="7" s="1"/>
  <c r="P98" i="7" s="1"/>
  <c r="Q770" i="7"/>
  <c r="Q780" i="7" s="1"/>
  <c r="Q752" i="7" s="1"/>
  <c r="Q98" i="7" s="1"/>
  <c r="R770" i="7"/>
  <c r="R780" i="7" s="1"/>
  <c r="R752" i="7" s="1"/>
  <c r="R98" i="7" s="1"/>
  <c r="S770" i="7"/>
  <c r="S780" i="7" s="1"/>
  <c r="S752" i="7" s="1"/>
  <c r="S98" i="7" s="1"/>
  <c r="T770" i="7"/>
  <c r="T780" i="7" s="1"/>
  <c r="T752" i="7" s="1"/>
  <c r="T98" i="7" s="1"/>
  <c r="U770" i="7"/>
  <c r="U780" i="7" s="1"/>
  <c r="U752" i="7" s="1"/>
  <c r="U98" i="7" s="1"/>
  <c r="V770" i="7"/>
  <c r="V780" i="7" s="1"/>
  <c r="V752" i="7" s="1"/>
  <c r="V98" i="7" s="1"/>
  <c r="I569" i="7"/>
  <c r="AI431" i="7"/>
  <c r="AP748" i="7"/>
  <c r="AP720" i="7" s="1"/>
  <c r="AP97" i="7" s="1"/>
  <c r="B423" i="7"/>
  <c r="B377" i="7"/>
  <c r="AP104" i="7"/>
  <c r="B404" i="7"/>
  <c r="B542" i="7"/>
  <c r="B402" i="7"/>
  <c r="B396" i="7"/>
  <c r="D738" i="7"/>
  <c r="D748" i="7" s="1"/>
  <c r="D720" i="7" s="1"/>
  <c r="D97" i="7" s="1"/>
  <c r="C738" i="7"/>
  <c r="E738" i="7"/>
  <c r="E748" i="7" s="1"/>
  <c r="E720" i="7" s="1"/>
  <c r="E97" i="7" s="1"/>
  <c r="F738" i="7"/>
  <c r="F748" i="7" s="1"/>
  <c r="F720" i="7" s="1"/>
  <c r="F97" i="7" s="1"/>
  <c r="G738" i="7"/>
  <c r="G748" i="7" s="1"/>
  <c r="G720" i="7" s="1"/>
  <c r="G97" i="7" s="1"/>
  <c r="H738" i="7"/>
  <c r="H748" i="7" s="1"/>
  <c r="H720" i="7" s="1"/>
  <c r="H97" i="7" s="1"/>
  <c r="I738" i="7"/>
  <c r="I748" i="7" s="1"/>
  <c r="I720" i="7" s="1"/>
  <c r="I97" i="7" s="1"/>
  <c r="J738" i="7"/>
  <c r="J748" i="7" s="1"/>
  <c r="J720" i="7" s="1"/>
  <c r="J97" i="7" s="1"/>
  <c r="K738" i="7"/>
  <c r="K748" i="7" s="1"/>
  <c r="K720" i="7" s="1"/>
  <c r="K97" i="7" s="1"/>
  <c r="L738" i="7"/>
  <c r="L748" i="7" s="1"/>
  <c r="L720" i="7" s="1"/>
  <c r="L97" i="7" s="1"/>
  <c r="M738" i="7"/>
  <c r="M748" i="7" s="1"/>
  <c r="M720" i="7" s="1"/>
  <c r="N738" i="7"/>
  <c r="N748" i="7" s="1"/>
  <c r="N720" i="7" s="1"/>
  <c r="O738" i="7"/>
  <c r="O748" i="7" s="1"/>
  <c r="O720" i="7" s="1"/>
  <c r="P738" i="7"/>
  <c r="P748" i="7" s="1"/>
  <c r="P720" i="7" s="1"/>
  <c r="Q738" i="7"/>
  <c r="Q748" i="7" s="1"/>
  <c r="Q720" i="7" s="1"/>
  <c r="D706" i="7"/>
  <c r="D716" i="7" s="1"/>
  <c r="D688" i="7" s="1"/>
  <c r="C706" i="7"/>
  <c r="E706" i="7"/>
  <c r="E716" i="7" s="1"/>
  <c r="E688" i="7" s="1"/>
  <c r="F706" i="7"/>
  <c r="F716" i="7" s="1"/>
  <c r="F688" i="7" s="1"/>
  <c r="G706" i="7"/>
  <c r="G716" i="7" s="1"/>
  <c r="G688" i="7" s="1"/>
  <c r="H706" i="7"/>
  <c r="H716" i="7" s="1"/>
  <c r="H688" i="7" s="1"/>
  <c r="I706" i="7"/>
  <c r="I716" i="7" s="1"/>
  <c r="I688" i="7" s="1"/>
  <c r="J706" i="7"/>
  <c r="J716" i="7" s="1"/>
  <c r="J688" i="7" s="1"/>
  <c r="K706" i="7"/>
  <c r="K716" i="7" s="1"/>
  <c r="K688" i="7" s="1"/>
  <c r="L706" i="7"/>
  <c r="L716" i="7" s="1"/>
  <c r="L688" i="7" s="1"/>
  <c r="M706" i="7"/>
  <c r="M716" i="7" s="1"/>
  <c r="M688" i="7" s="1"/>
  <c r="N706" i="7"/>
  <c r="N716" i="7" s="1"/>
  <c r="N688" i="7" s="1"/>
  <c r="B399" i="7"/>
  <c r="B428" i="7"/>
  <c r="B400" i="7"/>
  <c r="B372" i="7"/>
  <c r="B370" i="7"/>
  <c r="D379" i="7" l="1"/>
  <c r="B369" i="7"/>
  <c r="AP537" i="7"/>
  <c r="B537" i="7" s="1"/>
  <c r="AP538" i="7"/>
  <c r="B538" i="7" s="1"/>
  <c r="AP510" i="7"/>
  <c r="B510" i="7" s="1"/>
  <c r="AP566" i="7"/>
  <c r="B566" i="7" s="1"/>
  <c r="AP561" i="7"/>
  <c r="B561" i="7" s="1"/>
  <c r="AP534" i="7"/>
  <c r="B534" i="7" s="1"/>
  <c r="AP508" i="7"/>
  <c r="B508" i="7" s="1"/>
  <c r="AP112" i="7"/>
  <c r="AP113" i="7" s="1"/>
  <c r="AP405" i="7"/>
  <c r="AP431" i="7"/>
  <c r="B401" i="7"/>
  <c r="AP379" i="7"/>
  <c r="B375" i="7"/>
  <c r="N96" i="7"/>
  <c r="M96" i="7"/>
  <c r="P97" i="7"/>
  <c r="N97" i="7"/>
  <c r="Q97" i="7"/>
  <c r="O97" i="7"/>
  <c r="M97" i="7"/>
  <c r="K96" i="7"/>
  <c r="I96" i="7"/>
  <c r="G96" i="7"/>
  <c r="E96" i="7"/>
  <c r="D96" i="7"/>
  <c r="L96" i="7"/>
  <c r="J96" i="7"/>
  <c r="H96" i="7"/>
  <c r="F96" i="7"/>
  <c r="B706" i="7"/>
  <c r="C716" i="7"/>
  <c r="C688" i="7" s="1"/>
  <c r="B533" i="7"/>
  <c r="C543" i="7"/>
  <c r="B738" i="7"/>
  <c r="C748" i="7"/>
  <c r="C720" i="7" s="1"/>
  <c r="C780" i="7"/>
  <c r="C752" i="7" s="1"/>
  <c r="B770" i="7"/>
  <c r="C379" i="7"/>
  <c r="C517" i="7"/>
  <c r="B507" i="7"/>
  <c r="C405" i="7"/>
  <c r="B395" i="7"/>
  <c r="C431" i="7"/>
  <c r="B421" i="7"/>
  <c r="B559" i="7"/>
  <c r="C569" i="7"/>
  <c r="AP543" i="7" l="1"/>
  <c r="AP517" i="7"/>
  <c r="AP569" i="7"/>
  <c r="C98" i="7"/>
  <c r="C754" i="7"/>
  <c r="D751" i="7" s="1"/>
  <c r="D754" i="7" s="1"/>
  <c r="E751" i="7" s="1"/>
  <c r="E754" i="7" s="1"/>
  <c r="F751" i="7" s="1"/>
  <c r="F754" i="7" s="1"/>
  <c r="G751" i="7" s="1"/>
  <c r="G754" i="7" s="1"/>
  <c r="H751" i="7" s="1"/>
  <c r="H754" i="7" s="1"/>
  <c r="I751" i="7" s="1"/>
  <c r="I754" i="7" s="1"/>
  <c r="J751" i="7" s="1"/>
  <c r="J754" i="7" s="1"/>
  <c r="K751" i="7" s="1"/>
  <c r="K754" i="7" s="1"/>
  <c r="L751" i="7" s="1"/>
  <c r="L754" i="7" s="1"/>
  <c r="M751" i="7" s="1"/>
  <c r="M754" i="7" s="1"/>
  <c r="N751" i="7" s="1"/>
  <c r="N754" i="7" s="1"/>
  <c r="O751" i="7" s="1"/>
  <c r="O754" i="7" s="1"/>
  <c r="P751" i="7" s="1"/>
  <c r="P754" i="7" s="1"/>
  <c r="Q751" i="7" s="1"/>
  <c r="Q754" i="7" s="1"/>
  <c r="R751" i="7" s="1"/>
  <c r="R754" i="7" s="1"/>
  <c r="S751" i="7" s="1"/>
  <c r="S754" i="7" s="1"/>
  <c r="T751" i="7" s="1"/>
  <c r="T754" i="7" s="1"/>
  <c r="U751" i="7" s="1"/>
  <c r="U754" i="7" s="1"/>
  <c r="V751" i="7" s="1"/>
  <c r="V754" i="7" s="1"/>
  <c r="W751" i="7" s="1"/>
  <c r="W754" i="7" s="1"/>
  <c r="X751" i="7" s="1"/>
  <c r="X754" i="7" s="1"/>
  <c r="Y751" i="7" s="1"/>
  <c r="Y754" i="7" s="1"/>
  <c r="Z751" i="7" s="1"/>
  <c r="Z754" i="7" s="1"/>
  <c r="AA751" i="7" s="1"/>
  <c r="AA754" i="7" s="1"/>
  <c r="AB751" i="7" s="1"/>
  <c r="AB754" i="7" s="1"/>
  <c r="AC751" i="7" s="1"/>
  <c r="AC754" i="7" s="1"/>
  <c r="AD751" i="7" s="1"/>
  <c r="AD754" i="7" s="1"/>
  <c r="AE751" i="7" s="1"/>
  <c r="AE754" i="7" s="1"/>
  <c r="AF751" i="7" s="1"/>
  <c r="AF754" i="7" s="1"/>
  <c r="AG751" i="7" s="1"/>
  <c r="AG754" i="7" s="1"/>
  <c r="AH751" i="7" s="1"/>
  <c r="AH754" i="7" s="1"/>
  <c r="AI751" i="7" s="1"/>
  <c r="AI754" i="7" s="1"/>
  <c r="AJ751" i="7" s="1"/>
  <c r="AJ754" i="7" s="1"/>
  <c r="AK751" i="7" s="1"/>
  <c r="AK754" i="7" s="1"/>
  <c r="AL751" i="7" s="1"/>
  <c r="AL754" i="7" s="1"/>
  <c r="AM751" i="7" s="1"/>
  <c r="AM754" i="7" s="1"/>
  <c r="AN751" i="7" s="1"/>
  <c r="AN754" i="7" s="1"/>
  <c r="AO751" i="7" s="1"/>
  <c r="AO754" i="7" s="1"/>
  <c r="AP751" i="7" s="1"/>
  <c r="AP754" i="7" s="1"/>
  <c r="C97" i="7"/>
  <c r="C722" i="7"/>
  <c r="D719" i="7" s="1"/>
  <c r="D722" i="7" s="1"/>
  <c r="E719" i="7" s="1"/>
  <c r="E722" i="7" s="1"/>
  <c r="F719" i="7" s="1"/>
  <c r="F722" i="7" s="1"/>
  <c r="G719" i="7" s="1"/>
  <c r="G722" i="7" s="1"/>
  <c r="H719" i="7" s="1"/>
  <c r="H722" i="7" s="1"/>
  <c r="I719" i="7" s="1"/>
  <c r="I722" i="7" s="1"/>
  <c r="J719" i="7" s="1"/>
  <c r="J722" i="7" s="1"/>
  <c r="K719" i="7" s="1"/>
  <c r="K722" i="7" s="1"/>
  <c r="L719" i="7" s="1"/>
  <c r="L722" i="7" s="1"/>
  <c r="M719" i="7" s="1"/>
  <c r="M722" i="7" s="1"/>
  <c r="N719" i="7" s="1"/>
  <c r="N722" i="7" s="1"/>
  <c r="O719" i="7" s="1"/>
  <c r="O722" i="7" s="1"/>
  <c r="P719" i="7" s="1"/>
  <c r="P722" i="7" s="1"/>
  <c r="Q719" i="7" s="1"/>
  <c r="Q722" i="7" s="1"/>
  <c r="R719" i="7" s="1"/>
  <c r="R722" i="7" s="1"/>
  <c r="S719" i="7" s="1"/>
  <c r="S722" i="7" s="1"/>
  <c r="T719" i="7" s="1"/>
  <c r="T722" i="7" s="1"/>
  <c r="U719" i="7" s="1"/>
  <c r="U722" i="7" s="1"/>
  <c r="V719" i="7" s="1"/>
  <c r="V722" i="7" s="1"/>
  <c r="W719" i="7" s="1"/>
  <c r="W722" i="7" s="1"/>
  <c r="X719" i="7" s="1"/>
  <c r="X722" i="7" s="1"/>
  <c r="Y719" i="7" s="1"/>
  <c r="Y722" i="7" s="1"/>
  <c r="Z719" i="7" s="1"/>
  <c r="Z722" i="7" s="1"/>
  <c r="AA719" i="7" s="1"/>
  <c r="AA722" i="7" s="1"/>
  <c r="AB719" i="7" s="1"/>
  <c r="AB722" i="7" s="1"/>
  <c r="AC719" i="7" s="1"/>
  <c r="AC722" i="7" s="1"/>
  <c r="AD719" i="7" s="1"/>
  <c r="AD722" i="7" s="1"/>
  <c r="AE719" i="7" s="1"/>
  <c r="AE722" i="7" s="1"/>
  <c r="AF719" i="7" s="1"/>
  <c r="AF722" i="7" s="1"/>
  <c r="AG719" i="7" s="1"/>
  <c r="AG722" i="7" s="1"/>
  <c r="AH719" i="7" s="1"/>
  <c r="AH722" i="7" s="1"/>
  <c r="AI719" i="7" s="1"/>
  <c r="AI722" i="7" s="1"/>
  <c r="AJ719" i="7" s="1"/>
  <c r="AJ722" i="7" s="1"/>
  <c r="AK719" i="7" s="1"/>
  <c r="AK722" i="7" s="1"/>
  <c r="AL719" i="7" s="1"/>
  <c r="AL722" i="7" s="1"/>
  <c r="AM719" i="7" s="1"/>
  <c r="AM722" i="7" s="1"/>
  <c r="AN719" i="7" s="1"/>
  <c r="AN722" i="7" s="1"/>
  <c r="AO719" i="7" s="1"/>
  <c r="AO722" i="7" s="1"/>
  <c r="AP719" i="7" s="1"/>
  <c r="AP722" i="7" s="1"/>
  <c r="C96" i="7"/>
  <c r="C690" i="7"/>
  <c r="D687" i="7" s="1"/>
  <c r="D690" i="7" s="1"/>
  <c r="E687" i="7" s="1"/>
  <c r="E690" i="7" s="1"/>
  <c r="F687" i="7" s="1"/>
  <c r="F690" i="7" s="1"/>
  <c r="G687" i="7" s="1"/>
  <c r="G690" i="7" s="1"/>
  <c r="H687" i="7" s="1"/>
  <c r="H690" i="7" s="1"/>
  <c r="I687" i="7" s="1"/>
  <c r="I690" i="7" s="1"/>
  <c r="J687" i="7" s="1"/>
  <c r="J690" i="7" s="1"/>
  <c r="K687" i="7" s="1"/>
  <c r="K690" i="7" s="1"/>
  <c r="L687" i="7" s="1"/>
  <c r="L690" i="7" s="1"/>
  <c r="M687" i="7" l="1"/>
  <c r="M690" i="7" s="1"/>
  <c r="N687" i="7" l="1"/>
  <c r="N690" i="7" s="1"/>
  <c r="AO636" i="7" l="1"/>
  <c r="AO26" i="7" s="1"/>
  <c r="AO632" i="7"/>
  <c r="AO597" i="7"/>
  <c r="AO128" i="7" s="1"/>
  <c r="AO628" i="7"/>
  <c r="AO624" i="7"/>
  <c r="AO591" i="7"/>
  <c r="AO127" i="7" s="1"/>
  <c r="AO43" i="7"/>
  <c r="AN632" i="7"/>
  <c r="AN597" i="7"/>
  <c r="AN128" i="7" s="1"/>
  <c r="AN636" i="7"/>
  <c r="AN26" i="7" s="1"/>
  <c r="AN624" i="7"/>
  <c r="AN591" i="7"/>
  <c r="AN127" i="7" s="1"/>
  <c r="AN628" i="7"/>
  <c r="AN43" i="7"/>
  <c r="AM628" i="7"/>
  <c r="AM624" i="7"/>
  <c r="AM591" i="7"/>
  <c r="AM127" i="7" s="1"/>
  <c r="AM43" i="7"/>
  <c r="AM636" i="7"/>
  <c r="AM26" i="7" s="1"/>
  <c r="AM632" i="7"/>
  <c r="AM597" i="7"/>
  <c r="AM128" i="7" s="1"/>
  <c r="AL632" i="7"/>
  <c r="AL597" i="7"/>
  <c r="AL128" i="7" s="1"/>
  <c r="AL636" i="7"/>
  <c r="AL26" i="7" s="1"/>
  <c r="AL624" i="7"/>
  <c r="AL591" i="7"/>
  <c r="AL127" i="7" s="1"/>
  <c r="AL628" i="7"/>
  <c r="AL43" i="7"/>
  <c r="AK636" i="7"/>
  <c r="AK26" i="7" s="1"/>
  <c r="AK632" i="7"/>
  <c r="AK628" i="7"/>
  <c r="AK624" i="7"/>
  <c r="AK591" i="7"/>
  <c r="AK127" i="7" s="1"/>
  <c r="AK43" i="7"/>
  <c r="AK597" i="7"/>
  <c r="AK128" i="7" s="1"/>
  <c r="AJ624" i="7"/>
  <c r="AJ591" i="7"/>
  <c r="AJ127" i="7" s="1"/>
  <c r="AJ628" i="7"/>
  <c r="AJ43" i="7"/>
  <c r="AJ632" i="7"/>
  <c r="AJ597" i="7"/>
  <c r="AJ128" i="7" s="1"/>
  <c r="AJ636" i="7"/>
  <c r="AJ26" i="7" s="1"/>
  <c r="AH624" i="7"/>
  <c r="AH591" i="7"/>
  <c r="AH127" i="7" s="1"/>
  <c r="AH628" i="7"/>
  <c r="AH43" i="7"/>
  <c r="AH632" i="7"/>
  <c r="AH597" i="7"/>
  <c r="AH128" i="7" s="1"/>
  <c r="AH636" i="7"/>
  <c r="AH26" i="7" s="1"/>
  <c r="AG628" i="7"/>
  <c r="AG624" i="7"/>
  <c r="AG591" i="7"/>
  <c r="AG127" i="7" s="1"/>
  <c r="AG43" i="7"/>
  <c r="AG636" i="7"/>
  <c r="AG26" i="7" s="1"/>
  <c r="AG632" i="7"/>
  <c r="AG597" i="7"/>
  <c r="AG128" i="7" s="1"/>
  <c r="AP632" i="7"/>
  <c r="AP597" i="7"/>
  <c r="AP128" i="7" s="1"/>
  <c r="AP636" i="7"/>
  <c r="AP26" i="7" s="1"/>
  <c r="AP624" i="7"/>
  <c r="AP591" i="7"/>
  <c r="AP127" i="7" s="1"/>
  <c r="AP628" i="7"/>
  <c r="AP43" i="7"/>
  <c r="AI628" i="7"/>
  <c r="AI591" i="7"/>
  <c r="AI127" i="7" s="1"/>
  <c r="AI636" i="7"/>
  <c r="AI26" i="7" s="1"/>
  <c r="AI632" i="7"/>
  <c r="AI597" i="7"/>
  <c r="AI128" i="7" s="1"/>
  <c r="AI624" i="7"/>
  <c r="AI43" i="7"/>
  <c r="C624" i="7"/>
  <c r="C43" i="7"/>
  <c r="C632" i="7"/>
  <c r="C628" i="7"/>
  <c r="C591" i="7"/>
  <c r="C127" i="7" s="1"/>
  <c r="C636" i="7"/>
  <c r="C26" i="7" s="1"/>
  <c r="C27" i="7" s="1"/>
  <c r="C597" i="7"/>
  <c r="C128" i="7" s="1"/>
  <c r="G636" i="7"/>
  <c r="G26" i="7" s="1"/>
  <c r="G597" i="7"/>
  <c r="G128" i="7" s="1"/>
  <c r="G624" i="7"/>
  <c r="G43" i="7"/>
  <c r="G632" i="7"/>
  <c r="G628" i="7"/>
  <c r="G591" i="7"/>
  <c r="G127" i="7" s="1"/>
  <c r="K636" i="7"/>
  <c r="K26" i="7" s="1"/>
  <c r="K597" i="7"/>
  <c r="K128" i="7" s="1"/>
  <c r="K591" i="7"/>
  <c r="K127" i="7" s="1"/>
  <c r="K624" i="7"/>
  <c r="K632" i="7"/>
  <c r="K628" i="7"/>
  <c r="K43" i="7"/>
  <c r="O636" i="7"/>
  <c r="O26" i="7" s="1"/>
  <c r="O624" i="7"/>
  <c r="O43" i="7"/>
  <c r="O632" i="7"/>
  <c r="O628" i="7"/>
  <c r="O591" i="7"/>
  <c r="O127" i="7" s="1"/>
  <c r="O597" i="7"/>
  <c r="O128" i="7" s="1"/>
  <c r="S628" i="7"/>
  <c r="S591" i="7"/>
  <c r="S127" i="7" s="1"/>
  <c r="S636" i="7"/>
  <c r="S26" i="7" s="1"/>
  <c r="S597" i="7"/>
  <c r="S128" i="7" s="1"/>
  <c r="S624" i="7"/>
  <c r="S43" i="7"/>
  <c r="S632" i="7"/>
  <c r="W628" i="7"/>
  <c r="W591" i="7"/>
  <c r="W127" i="7" s="1"/>
  <c r="W636" i="7"/>
  <c r="W26" i="7" s="1"/>
  <c r="W597" i="7"/>
  <c r="W128" i="7" s="1"/>
  <c r="W624" i="7"/>
  <c r="W43" i="7"/>
  <c r="W632" i="7"/>
  <c r="AA628" i="7"/>
  <c r="AA591" i="7"/>
  <c r="AA127" i="7" s="1"/>
  <c r="AA636" i="7"/>
  <c r="AA26" i="7" s="1"/>
  <c r="AA597" i="7"/>
  <c r="AA128" i="7" s="1"/>
  <c r="AA624" i="7"/>
  <c r="AA43" i="7"/>
  <c r="AA632" i="7"/>
  <c r="AE636" i="7"/>
  <c r="AE26" i="7" s="1"/>
  <c r="AE597" i="7"/>
  <c r="AE128" i="7" s="1"/>
  <c r="AE624" i="7"/>
  <c r="AE43" i="7"/>
  <c r="AE632" i="7"/>
  <c r="AE628" i="7"/>
  <c r="AE591" i="7"/>
  <c r="AE127" i="7" s="1"/>
  <c r="F632" i="7"/>
  <c r="F636" i="7"/>
  <c r="F26" i="7" s="1"/>
  <c r="F591" i="7"/>
  <c r="F127" i="7" s="1"/>
  <c r="F43" i="7"/>
  <c r="F597" i="7"/>
  <c r="F128" i="7" s="1"/>
  <c r="F624" i="7"/>
  <c r="F628" i="7"/>
  <c r="J591" i="7"/>
  <c r="J127" i="7" s="1"/>
  <c r="J43" i="7"/>
  <c r="J597" i="7"/>
  <c r="J128" i="7" s="1"/>
  <c r="J624" i="7"/>
  <c r="J628" i="7"/>
  <c r="J632" i="7"/>
  <c r="J636" i="7"/>
  <c r="J26" i="7" s="1"/>
  <c r="N591" i="7"/>
  <c r="N127" i="7" s="1"/>
  <c r="N43" i="7"/>
  <c r="N597" i="7"/>
  <c r="N128" i="7" s="1"/>
  <c r="N624" i="7"/>
  <c r="N628" i="7"/>
  <c r="N632" i="7"/>
  <c r="N636" i="7"/>
  <c r="N26" i="7" s="1"/>
  <c r="R624" i="7"/>
  <c r="R628" i="7"/>
  <c r="R632" i="7"/>
  <c r="R636" i="7"/>
  <c r="R26" i="7" s="1"/>
  <c r="R591" i="7"/>
  <c r="R127" i="7" s="1"/>
  <c r="R43" i="7"/>
  <c r="R597" i="7"/>
  <c r="R128" i="7" s="1"/>
  <c r="V597" i="7"/>
  <c r="V128" i="7" s="1"/>
  <c r="V591" i="7"/>
  <c r="V127" i="7" s="1"/>
  <c r="V43" i="7"/>
  <c r="V632" i="7"/>
  <c r="V636" i="7"/>
  <c r="V26" i="7" s="1"/>
  <c r="V624" i="7"/>
  <c r="V628" i="7"/>
  <c r="Z597" i="7"/>
  <c r="Z128" i="7" s="1"/>
  <c r="Z624" i="7"/>
  <c r="Z628" i="7"/>
  <c r="Z636" i="7"/>
  <c r="Z26" i="7" s="1"/>
  <c r="Z632" i="7"/>
  <c r="Z591" i="7"/>
  <c r="Z127" i="7" s="1"/>
  <c r="Z43" i="7"/>
  <c r="AD591" i="7"/>
  <c r="AD127" i="7" s="1"/>
  <c r="AD43" i="7"/>
  <c r="AD597" i="7"/>
  <c r="AD128" i="7" s="1"/>
  <c r="AD624" i="7"/>
  <c r="AD628" i="7"/>
  <c r="AD632" i="7"/>
  <c r="AD636" i="7"/>
  <c r="AD26" i="7" s="1"/>
  <c r="E636" i="7"/>
  <c r="E26" i="7" s="1"/>
  <c r="E597" i="7"/>
  <c r="E128" i="7" s="1"/>
  <c r="E624" i="7"/>
  <c r="E43" i="7"/>
  <c r="E632" i="7"/>
  <c r="E628" i="7"/>
  <c r="E591" i="7"/>
  <c r="E127" i="7" s="1"/>
  <c r="I628" i="7"/>
  <c r="I591" i="7"/>
  <c r="I127" i="7" s="1"/>
  <c r="I636" i="7"/>
  <c r="I26" i="7" s="1"/>
  <c r="I597" i="7"/>
  <c r="I128" i="7" s="1"/>
  <c r="I624" i="7"/>
  <c r="I43" i="7"/>
  <c r="I632" i="7"/>
  <c r="M636" i="7"/>
  <c r="M26" i="7" s="1"/>
  <c r="M628" i="7"/>
  <c r="M591" i="7"/>
  <c r="M127" i="7" s="1"/>
  <c r="M632" i="7"/>
  <c r="M597" i="7"/>
  <c r="M128" i="7" s="1"/>
  <c r="M624" i="7"/>
  <c r="M43" i="7"/>
  <c r="Q636" i="7"/>
  <c r="Q26" i="7" s="1"/>
  <c r="Q597" i="7"/>
  <c r="Q128" i="7" s="1"/>
  <c r="Q624" i="7"/>
  <c r="Q43" i="7"/>
  <c r="Q632" i="7"/>
  <c r="Q628" i="7"/>
  <c r="Q591" i="7"/>
  <c r="Q127" i="7" s="1"/>
  <c r="U636" i="7"/>
  <c r="U26" i="7" s="1"/>
  <c r="U597" i="7"/>
  <c r="U128" i="7" s="1"/>
  <c r="U628" i="7"/>
  <c r="U43" i="7"/>
  <c r="U632" i="7"/>
  <c r="U591" i="7"/>
  <c r="U127" i="7" s="1"/>
  <c r="U624" i="7"/>
  <c r="Y636" i="7"/>
  <c r="Y26" i="7" s="1"/>
  <c r="Y597" i="7"/>
  <c r="Y128" i="7" s="1"/>
  <c r="Y624" i="7"/>
  <c r="Y43" i="7"/>
  <c r="Y632" i="7"/>
  <c r="Y628" i="7"/>
  <c r="Y591" i="7"/>
  <c r="Y127" i="7" s="1"/>
  <c r="AC636" i="7"/>
  <c r="AC26" i="7" s="1"/>
  <c r="AC597" i="7"/>
  <c r="AC128" i="7" s="1"/>
  <c r="AC624" i="7"/>
  <c r="AC43" i="7"/>
  <c r="AC632" i="7"/>
  <c r="AC628" i="7"/>
  <c r="AC591" i="7"/>
  <c r="AC127" i="7" s="1"/>
  <c r="D632" i="7"/>
  <c r="D636" i="7"/>
  <c r="D26" i="7" s="1"/>
  <c r="D591" i="7"/>
  <c r="D127" i="7" s="1"/>
  <c r="D43" i="7"/>
  <c r="D597" i="7"/>
  <c r="D128" i="7" s="1"/>
  <c r="D624" i="7"/>
  <c r="D628" i="7"/>
  <c r="H591" i="7"/>
  <c r="H127" i="7" s="1"/>
  <c r="H43" i="7"/>
  <c r="H624" i="7"/>
  <c r="H628" i="7"/>
  <c r="H632" i="7"/>
  <c r="H636" i="7"/>
  <c r="H26" i="7" s="1"/>
  <c r="H597" i="7"/>
  <c r="H128" i="7" s="1"/>
  <c r="L591" i="7"/>
  <c r="L127" i="7" s="1"/>
  <c r="L43" i="7"/>
  <c r="L597" i="7"/>
  <c r="L128" i="7" s="1"/>
  <c r="L624" i="7"/>
  <c r="L628" i="7"/>
  <c r="L632" i="7"/>
  <c r="L636" i="7"/>
  <c r="L26" i="7" s="1"/>
  <c r="P591" i="7"/>
  <c r="P127" i="7" s="1"/>
  <c r="P43" i="7"/>
  <c r="P597" i="7"/>
  <c r="P128" i="7" s="1"/>
  <c r="P624" i="7"/>
  <c r="P628" i="7"/>
  <c r="P632" i="7"/>
  <c r="P636" i="7"/>
  <c r="P26" i="7" s="1"/>
  <c r="T632" i="7"/>
  <c r="T636" i="7"/>
  <c r="T26" i="7" s="1"/>
  <c r="T628" i="7"/>
  <c r="T591" i="7"/>
  <c r="T127" i="7" s="1"/>
  <c r="T597" i="7"/>
  <c r="T128" i="7" s="1"/>
  <c r="T624" i="7"/>
  <c r="T43" i="7"/>
  <c r="X591" i="7"/>
  <c r="X127" i="7" s="1"/>
  <c r="X43" i="7"/>
  <c r="X597" i="7"/>
  <c r="X128" i="7" s="1"/>
  <c r="X624" i="7"/>
  <c r="X628" i="7"/>
  <c r="X632" i="7"/>
  <c r="X636" i="7"/>
  <c r="X26" i="7" s="1"/>
  <c r="AB632" i="7"/>
  <c r="AB636" i="7"/>
  <c r="AB26" i="7" s="1"/>
  <c r="AB628" i="7"/>
  <c r="AB624" i="7"/>
  <c r="AB597" i="7"/>
  <c r="AB128" i="7" s="1"/>
  <c r="AB591" i="7"/>
  <c r="AB127" i="7" s="1"/>
  <c r="AB43" i="7"/>
  <c r="AF591" i="7"/>
  <c r="AF127" i="7" s="1"/>
  <c r="AF43" i="7"/>
  <c r="AF597" i="7"/>
  <c r="AF128" i="7" s="1"/>
  <c r="AF624" i="7"/>
  <c r="AF628" i="7"/>
  <c r="AF632" i="7"/>
  <c r="AF636" i="7"/>
  <c r="AF26" i="7" s="1"/>
  <c r="O687" i="7"/>
  <c r="O690" i="7" s="1"/>
  <c r="L63" i="7" l="1"/>
  <c r="L65" i="7" s="1"/>
  <c r="D63" i="7"/>
  <c r="D65" i="7" s="1"/>
  <c r="Q63" i="7"/>
  <c r="Q65" i="7" s="1"/>
  <c r="M63" i="7"/>
  <c r="M65" i="7" s="1"/>
  <c r="I63" i="7"/>
  <c r="I65" i="7" s="1"/>
  <c r="Z63" i="7"/>
  <c r="Z65" i="7" s="1"/>
  <c r="S63" i="7"/>
  <c r="S65" i="7" s="1"/>
  <c r="AL63" i="7"/>
  <c r="AL65" i="7" s="1"/>
  <c r="T63" i="7"/>
  <c r="T65" i="7" s="1"/>
  <c r="P63" i="7"/>
  <c r="P65" i="7" s="1"/>
  <c r="U63" i="7"/>
  <c r="U65" i="7" s="1"/>
  <c r="E63" i="7"/>
  <c r="E65" i="7" s="1"/>
  <c r="J63" i="7"/>
  <c r="J65" i="7" s="1"/>
  <c r="AE63" i="7"/>
  <c r="AE65" i="7" s="1"/>
  <c r="W63" i="7"/>
  <c r="W65" i="7" s="1"/>
  <c r="K63" i="7"/>
  <c r="K65" i="7" s="1"/>
  <c r="AP63" i="7"/>
  <c r="AP65" i="7" s="1"/>
  <c r="AJ63" i="7"/>
  <c r="AJ65" i="7" s="1"/>
  <c r="AO63" i="7"/>
  <c r="AO65" i="7" s="1"/>
  <c r="AF63" i="7"/>
  <c r="AF65" i="7" s="1"/>
  <c r="Y63" i="7"/>
  <c r="Y65" i="7" s="1"/>
  <c r="AD63" i="7"/>
  <c r="AD65" i="7" s="1"/>
  <c r="N63" i="7"/>
  <c r="N65" i="7" s="1"/>
  <c r="F63" i="7"/>
  <c r="F65" i="7" s="1"/>
  <c r="AA63" i="7"/>
  <c r="AA65" i="7" s="1"/>
  <c r="O63" i="7"/>
  <c r="O65" i="7" s="1"/>
  <c r="AI63" i="7"/>
  <c r="AI65" i="7" s="1"/>
  <c r="AH63" i="7"/>
  <c r="AH65" i="7" s="1"/>
  <c r="AK63" i="7"/>
  <c r="AK65" i="7" s="1"/>
  <c r="AM63" i="7"/>
  <c r="AM65" i="7" s="1"/>
  <c r="AN63" i="7"/>
  <c r="AN65" i="7" s="1"/>
  <c r="AB63" i="7"/>
  <c r="AB65" i="7" s="1"/>
  <c r="X63" i="7"/>
  <c r="X65" i="7" s="1"/>
  <c r="H63" i="7"/>
  <c r="H65" i="7" s="1"/>
  <c r="AC63" i="7"/>
  <c r="AC65" i="7" s="1"/>
  <c r="V63" i="7"/>
  <c r="V65" i="7" s="1"/>
  <c r="R63" i="7"/>
  <c r="R65" i="7" s="1"/>
  <c r="G63" i="7"/>
  <c r="G65" i="7" s="1"/>
  <c r="AG63" i="7"/>
  <c r="AG65" i="7" s="1"/>
  <c r="C63" i="7"/>
  <c r="C65" i="7" s="1"/>
  <c r="AC681" i="7"/>
  <c r="Y681" i="7"/>
  <c r="U681" i="7"/>
  <c r="Q681" i="7"/>
  <c r="E681" i="7"/>
  <c r="Z681" i="7"/>
  <c r="V681" i="7"/>
  <c r="R681" i="7"/>
  <c r="AA681" i="7"/>
  <c r="W681" i="7"/>
  <c r="S681" i="7"/>
  <c r="AL681" i="7"/>
  <c r="X681" i="7"/>
  <c r="AF681" i="7"/>
  <c r="T681" i="7"/>
  <c r="D681" i="7"/>
  <c r="M681" i="7"/>
  <c r="AD681" i="7"/>
  <c r="N681" i="7"/>
  <c r="J681" i="7"/>
  <c r="AP681" i="7"/>
  <c r="AJ681" i="7"/>
  <c r="AO681" i="7"/>
  <c r="AB681" i="7"/>
  <c r="I681" i="7"/>
  <c r="AE681" i="7"/>
  <c r="O681" i="7"/>
  <c r="K681" i="7"/>
  <c r="G681" i="7"/>
  <c r="AI681" i="7"/>
  <c r="AH681" i="7"/>
  <c r="AK681" i="7"/>
  <c r="AM681" i="7"/>
  <c r="AN681" i="7"/>
  <c r="P681" i="7"/>
  <c r="L681" i="7"/>
  <c r="H681" i="7"/>
  <c r="F681" i="7"/>
  <c r="AG681" i="7"/>
  <c r="C681" i="7"/>
  <c r="C638" i="7"/>
  <c r="B147" i="7"/>
  <c r="AB277" i="7"/>
  <c r="AB237" i="7"/>
  <c r="AB74" i="7"/>
  <c r="X276" i="7"/>
  <c r="X236" i="7"/>
  <c r="X73" i="7"/>
  <c r="T274" i="7"/>
  <c r="T71" i="7"/>
  <c r="T234" i="7"/>
  <c r="T275" i="7"/>
  <c r="T235" i="7"/>
  <c r="T72" i="7"/>
  <c r="P274" i="7"/>
  <c r="P234" i="7"/>
  <c r="P71" i="7"/>
  <c r="L275" i="7"/>
  <c r="L235" i="7"/>
  <c r="L72" i="7"/>
  <c r="H274" i="7"/>
  <c r="H234" i="7"/>
  <c r="H71" i="7"/>
  <c r="D274" i="7"/>
  <c r="D71" i="7"/>
  <c r="D234" i="7"/>
  <c r="AC277" i="7"/>
  <c r="AC237" i="7"/>
  <c r="AC74" i="7"/>
  <c r="Y276" i="7"/>
  <c r="Y236" i="7"/>
  <c r="Y73" i="7"/>
  <c r="Q275" i="7"/>
  <c r="Q72" i="7"/>
  <c r="Q235" i="7"/>
  <c r="Q274" i="7"/>
  <c r="Q234" i="7"/>
  <c r="Q71" i="7"/>
  <c r="M277" i="7"/>
  <c r="M237" i="7"/>
  <c r="M74" i="7"/>
  <c r="I274" i="7"/>
  <c r="I234" i="7"/>
  <c r="I71" i="7"/>
  <c r="AD277" i="7"/>
  <c r="AD237" i="7"/>
  <c r="AD74" i="7"/>
  <c r="Z276" i="7"/>
  <c r="Z236" i="7"/>
  <c r="Z73" i="7"/>
  <c r="V277" i="7"/>
  <c r="V237" i="7"/>
  <c r="V74" i="7"/>
  <c r="R276" i="7"/>
  <c r="R73" i="7"/>
  <c r="R236" i="7"/>
  <c r="N277" i="7"/>
  <c r="N237" i="7"/>
  <c r="N74" i="7"/>
  <c r="J274" i="7"/>
  <c r="J71" i="7"/>
  <c r="J234" i="7"/>
  <c r="F277" i="7"/>
  <c r="F237" i="7"/>
  <c r="F74" i="7"/>
  <c r="AA276" i="7"/>
  <c r="AA236" i="7"/>
  <c r="AA73" i="7"/>
  <c r="W275" i="7"/>
  <c r="W235" i="7"/>
  <c r="W72" i="7"/>
  <c r="S274" i="7"/>
  <c r="S234" i="7"/>
  <c r="S71" i="7"/>
  <c r="O275" i="7"/>
  <c r="O235" i="7"/>
  <c r="O72" i="7"/>
  <c r="O274" i="7"/>
  <c r="O71" i="7"/>
  <c r="O234" i="7"/>
  <c r="K275" i="7"/>
  <c r="K72" i="7"/>
  <c r="K235" i="7"/>
  <c r="G277" i="7"/>
  <c r="G237" i="7"/>
  <c r="G74" i="7"/>
  <c r="AI277" i="7"/>
  <c r="AI237" i="7"/>
  <c r="AI74" i="7"/>
  <c r="AP275" i="7"/>
  <c r="AP235" i="7"/>
  <c r="AP72" i="7"/>
  <c r="AG277" i="7"/>
  <c r="AG237" i="7"/>
  <c r="AG74" i="7"/>
  <c r="AG275" i="7"/>
  <c r="AG235" i="7"/>
  <c r="AG72" i="7"/>
  <c r="AJ277" i="7"/>
  <c r="AJ237" i="7"/>
  <c r="AJ74" i="7"/>
  <c r="AJ275" i="7"/>
  <c r="AJ235" i="7"/>
  <c r="AJ72" i="7"/>
  <c r="AK275" i="7"/>
  <c r="AK72" i="7"/>
  <c r="AK235" i="7"/>
  <c r="AL276" i="7"/>
  <c r="AL236" i="7"/>
  <c r="AL73" i="7"/>
  <c r="AM276" i="7"/>
  <c r="AM236" i="7"/>
  <c r="AM73" i="7"/>
  <c r="AM274" i="7"/>
  <c r="AM234" i="7"/>
  <c r="AM71" i="7"/>
  <c r="AN277" i="7"/>
  <c r="AN237" i="7"/>
  <c r="AN74" i="7"/>
  <c r="AB274" i="7"/>
  <c r="AB234" i="7"/>
  <c r="AB71" i="7"/>
  <c r="P277" i="7"/>
  <c r="P237" i="7"/>
  <c r="P74" i="7"/>
  <c r="L274" i="7"/>
  <c r="L71" i="7"/>
  <c r="L234" i="7"/>
  <c r="H277" i="7"/>
  <c r="H237" i="7"/>
  <c r="H74" i="7"/>
  <c r="AC275" i="7"/>
  <c r="AC72" i="7"/>
  <c r="AC235" i="7"/>
  <c r="AC274" i="7"/>
  <c r="AC234" i="7"/>
  <c r="AC71" i="7"/>
  <c r="Y277" i="7"/>
  <c r="Y237" i="7"/>
  <c r="Y74" i="7"/>
  <c r="U276" i="7"/>
  <c r="U236" i="7"/>
  <c r="U73" i="7"/>
  <c r="M276" i="7"/>
  <c r="M236" i="7"/>
  <c r="M73" i="7"/>
  <c r="I275" i="7"/>
  <c r="I72" i="7"/>
  <c r="I235" i="7"/>
  <c r="E276" i="7"/>
  <c r="E236" i="7"/>
  <c r="E73" i="7"/>
  <c r="AD276" i="7"/>
  <c r="AD236" i="7"/>
  <c r="AD73" i="7"/>
  <c r="Z277" i="7"/>
  <c r="Z237" i="7"/>
  <c r="Z74" i="7"/>
  <c r="V276" i="7"/>
  <c r="V236" i="7"/>
  <c r="V73" i="7"/>
  <c r="R275" i="7"/>
  <c r="R235" i="7"/>
  <c r="R72" i="7"/>
  <c r="N276" i="7"/>
  <c r="N73" i="7"/>
  <c r="N236" i="7"/>
  <c r="J277" i="7"/>
  <c r="J237" i="7"/>
  <c r="J74" i="7"/>
  <c r="F275" i="7"/>
  <c r="F235" i="7"/>
  <c r="F72" i="7"/>
  <c r="F276" i="7"/>
  <c r="F73" i="7"/>
  <c r="F236" i="7"/>
  <c r="AE276" i="7"/>
  <c r="AE236" i="7"/>
  <c r="AE73" i="7"/>
  <c r="AA277" i="7"/>
  <c r="AA237" i="7"/>
  <c r="AA74" i="7"/>
  <c r="W276" i="7"/>
  <c r="W236" i="7"/>
  <c r="W73" i="7"/>
  <c r="S275" i="7"/>
  <c r="S235" i="7"/>
  <c r="S72" i="7"/>
  <c r="O276" i="7"/>
  <c r="O236" i="7"/>
  <c r="O73" i="7"/>
  <c r="G275" i="7"/>
  <c r="G235" i="7"/>
  <c r="G72" i="7"/>
  <c r="G274" i="7"/>
  <c r="G71" i="7"/>
  <c r="G234" i="7"/>
  <c r="C275" i="7"/>
  <c r="C235" i="7"/>
  <c r="C72" i="7"/>
  <c r="C274" i="7"/>
  <c r="C234" i="7"/>
  <c r="C71" i="7"/>
  <c r="AP277" i="7"/>
  <c r="AP237" i="7"/>
  <c r="AP74" i="7"/>
  <c r="AH276" i="7"/>
  <c r="AH236" i="7"/>
  <c r="AH73" i="7"/>
  <c r="AH274" i="7"/>
  <c r="AH71" i="7"/>
  <c r="AH234" i="7"/>
  <c r="AL275" i="7"/>
  <c r="AL235" i="7"/>
  <c r="AL72" i="7"/>
  <c r="AM277" i="7"/>
  <c r="AM237" i="7"/>
  <c r="AM74" i="7"/>
  <c r="AM275" i="7"/>
  <c r="AM235" i="7"/>
  <c r="AM72" i="7"/>
  <c r="AN274" i="7"/>
  <c r="AN234" i="7"/>
  <c r="AN71" i="7"/>
  <c r="AO274" i="7"/>
  <c r="AO234" i="7"/>
  <c r="AO71" i="7"/>
  <c r="X275" i="7"/>
  <c r="X235" i="7"/>
  <c r="X72" i="7"/>
  <c r="D277" i="7"/>
  <c r="D237" i="7"/>
  <c r="D74" i="7"/>
  <c r="Y275" i="7"/>
  <c r="Y72" i="7"/>
  <c r="Y235" i="7"/>
  <c r="Y274" i="7"/>
  <c r="Y234" i="7"/>
  <c r="Y71" i="7"/>
  <c r="U274" i="7"/>
  <c r="U234" i="7"/>
  <c r="U71" i="7"/>
  <c r="U277" i="7"/>
  <c r="U237" i="7"/>
  <c r="U74" i="7"/>
  <c r="Q276" i="7"/>
  <c r="Q236" i="7"/>
  <c r="Q73" i="7"/>
  <c r="M274" i="7"/>
  <c r="M234" i="7"/>
  <c r="M71" i="7"/>
  <c r="I276" i="7"/>
  <c r="I236" i="7"/>
  <c r="I73" i="7"/>
  <c r="E277" i="7"/>
  <c r="E237" i="7"/>
  <c r="E74" i="7"/>
  <c r="AD275" i="7"/>
  <c r="AD235" i="7"/>
  <c r="AD72" i="7"/>
  <c r="Z275" i="7"/>
  <c r="Z235" i="7"/>
  <c r="Z72" i="7"/>
  <c r="V275" i="7"/>
  <c r="V235" i="7"/>
  <c r="V72" i="7"/>
  <c r="R277" i="7"/>
  <c r="R237" i="7"/>
  <c r="R74" i="7"/>
  <c r="R274" i="7"/>
  <c r="R71" i="7"/>
  <c r="R234" i="7"/>
  <c r="N275" i="7"/>
  <c r="N235" i="7"/>
  <c r="N72" i="7"/>
  <c r="J276" i="7"/>
  <c r="J236" i="7"/>
  <c r="J73" i="7"/>
  <c r="F274" i="7"/>
  <c r="F71" i="7"/>
  <c r="F234" i="7"/>
  <c r="AE277" i="7"/>
  <c r="AE237" i="7"/>
  <c r="AE74" i="7"/>
  <c r="AA274" i="7"/>
  <c r="AA234" i="7"/>
  <c r="AA71" i="7"/>
  <c r="W277" i="7"/>
  <c r="W237" i="7"/>
  <c r="W74" i="7"/>
  <c r="S276" i="7"/>
  <c r="S236" i="7"/>
  <c r="S73" i="7"/>
  <c r="O277" i="7"/>
  <c r="O237" i="7"/>
  <c r="O74" i="7"/>
  <c r="K276" i="7"/>
  <c r="K236" i="7"/>
  <c r="K73" i="7"/>
  <c r="AI275" i="7"/>
  <c r="AI235" i="7"/>
  <c r="AI72" i="7"/>
  <c r="AP274" i="7"/>
  <c r="AP234" i="7"/>
  <c r="AP71" i="7"/>
  <c r="AJ276" i="7"/>
  <c r="AJ236" i="7"/>
  <c r="AJ73" i="7"/>
  <c r="AJ274" i="7"/>
  <c r="AJ71" i="7"/>
  <c r="AJ234" i="7"/>
  <c r="AK276" i="7"/>
  <c r="AK236" i="7"/>
  <c r="AK73" i="7"/>
  <c r="AL277" i="7"/>
  <c r="AL237" i="7"/>
  <c r="AL74" i="7"/>
  <c r="AN276" i="7"/>
  <c r="AN236" i="7"/>
  <c r="AN73" i="7"/>
  <c r="AO275" i="7"/>
  <c r="AO235" i="7"/>
  <c r="AO72" i="7"/>
  <c r="AO276" i="7"/>
  <c r="AO236" i="7"/>
  <c r="AO73" i="7"/>
  <c r="AF274" i="7"/>
  <c r="AF234" i="7"/>
  <c r="AF71" i="7"/>
  <c r="AF277" i="7"/>
  <c r="AF237" i="7"/>
  <c r="AF74" i="7"/>
  <c r="AB276" i="7"/>
  <c r="AB236" i="7"/>
  <c r="AB73" i="7"/>
  <c r="AF276" i="7"/>
  <c r="AF236" i="7"/>
  <c r="AF73" i="7"/>
  <c r="AB275" i="7"/>
  <c r="AB235" i="7"/>
  <c r="AB72" i="7"/>
  <c r="X274" i="7"/>
  <c r="X234" i="7"/>
  <c r="X71" i="7"/>
  <c r="T277" i="7"/>
  <c r="T237" i="7"/>
  <c r="T74" i="7"/>
  <c r="P276" i="7"/>
  <c r="P236" i="7"/>
  <c r="P73" i="7"/>
  <c r="L277" i="7"/>
  <c r="L237" i="7"/>
  <c r="L74" i="7"/>
  <c r="H276" i="7"/>
  <c r="H236" i="7"/>
  <c r="H73" i="7"/>
  <c r="AF275" i="7"/>
  <c r="AF235" i="7"/>
  <c r="AF72" i="7"/>
  <c r="X277" i="7"/>
  <c r="X237" i="7"/>
  <c r="X74" i="7"/>
  <c r="T276" i="7"/>
  <c r="T236" i="7"/>
  <c r="T73" i="7"/>
  <c r="P275" i="7"/>
  <c r="P235" i="7"/>
  <c r="P72" i="7"/>
  <c r="L276" i="7"/>
  <c r="L236" i="7"/>
  <c r="L73" i="7"/>
  <c r="H275" i="7"/>
  <c r="H235" i="7"/>
  <c r="H72" i="7"/>
  <c r="D275" i="7"/>
  <c r="D235" i="7"/>
  <c r="D72" i="7"/>
  <c r="D276" i="7"/>
  <c r="D236" i="7"/>
  <c r="D73" i="7"/>
  <c r="AC276" i="7"/>
  <c r="AC236" i="7"/>
  <c r="AC73" i="7"/>
  <c r="U275" i="7"/>
  <c r="U235" i="7"/>
  <c r="U72" i="7"/>
  <c r="Q277" i="7"/>
  <c r="Q237" i="7"/>
  <c r="Q74" i="7"/>
  <c r="M275" i="7"/>
  <c r="M235" i="7"/>
  <c r="M72" i="7"/>
  <c r="I277" i="7"/>
  <c r="I237" i="7"/>
  <c r="I74" i="7"/>
  <c r="E275" i="7"/>
  <c r="E235" i="7"/>
  <c r="E72" i="7"/>
  <c r="E274" i="7"/>
  <c r="E234" i="7"/>
  <c r="E71" i="7"/>
  <c r="AD274" i="7"/>
  <c r="AD234" i="7"/>
  <c r="AD71" i="7"/>
  <c r="Z274" i="7"/>
  <c r="Z234" i="7"/>
  <c r="Z71" i="7"/>
  <c r="V274" i="7"/>
  <c r="V234" i="7"/>
  <c r="V71" i="7"/>
  <c r="N274" i="7"/>
  <c r="N71" i="7"/>
  <c r="N234" i="7"/>
  <c r="J275" i="7"/>
  <c r="J235" i="7"/>
  <c r="J72" i="7"/>
  <c r="AE275" i="7"/>
  <c r="AE235" i="7"/>
  <c r="AE72" i="7"/>
  <c r="AE274" i="7"/>
  <c r="AE234" i="7"/>
  <c r="AE71" i="7"/>
  <c r="AA275" i="7"/>
  <c r="AA72" i="7"/>
  <c r="AA235" i="7"/>
  <c r="W274" i="7"/>
  <c r="W234" i="7"/>
  <c r="W71" i="7"/>
  <c r="S277" i="7"/>
  <c r="S237" i="7"/>
  <c r="S74" i="7"/>
  <c r="K274" i="7"/>
  <c r="K71" i="7"/>
  <c r="K234" i="7"/>
  <c r="K277" i="7"/>
  <c r="K237" i="7"/>
  <c r="K74" i="7"/>
  <c r="G276" i="7"/>
  <c r="G236" i="7"/>
  <c r="G73" i="7"/>
  <c r="C277" i="7"/>
  <c r="C74" i="7"/>
  <c r="C237" i="7"/>
  <c r="C276" i="7"/>
  <c r="C73" i="7"/>
  <c r="C236" i="7"/>
  <c r="AI274" i="7"/>
  <c r="AI234" i="7"/>
  <c r="AI71" i="7"/>
  <c r="AI276" i="7"/>
  <c r="AI236" i="7"/>
  <c r="AI73" i="7"/>
  <c r="AP276" i="7"/>
  <c r="AP236" i="7"/>
  <c r="AP73" i="7"/>
  <c r="AG276" i="7"/>
  <c r="AG236" i="7"/>
  <c r="AG73" i="7"/>
  <c r="AG274" i="7"/>
  <c r="AG234" i="7"/>
  <c r="AG71" i="7"/>
  <c r="AH277" i="7"/>
  <c r="AH237" i="7"/>
  <c r="AH74" i="7"/>
  <c r="AH275" i="7"/>
  <c r="AH235" i="7"/>
  <c r="AH72" i="7"/>
  <c r="AK274" i="7"/>
  <c r="AK234" i="7"/>
  <c r="AK71" i="7"/>
  <c r="AK277" i="7"/>
  <c r="AK237" i="7"/>
  <c r="AK74" i="7"/>
  <c r="AL274" i="7"/>
  <c r="AL234" i="7"/>
  <c r="AL71" i="7"/>
  <c r="AN275" i="7"/>
  <c r="AN235" i="7"/>
  <c r="AN72" i="7"/>
  <c r="AO277" i="7"/>
  <c r="AO237" i="7"/>
  <c r="AO74" i="7"/>
  <c r="AI27" i="7"/>
  <c r="AI638" i="7"/>
  <c r="AI252" i="7"/>
  <c r="AI129" i="7"/>
  <c r="AI197" i="7" s="1"/>
  <c r="AP252" i="7"/>
  <c r="AP129" i="7"/>
  <c r="AP197" i="7" s="1"/>
  <c r="AG27" i="7"/>
  <c r="AG638" i="7"/>
  <c r="AH27" i="7"/>
  <c r="AH638" i="7"/>
  <c r="AJ27" i="7"/>
  <c r="AJ638" i="7"/>
  <c r="AK252" i="7"/>
  <c r="AK129" i="7"/>
  <c r="AK197" i="7" s="1"/>
  <c r="AL252" i="7"/>
  <c r="AL129" i="7"/>
  <c r="AL197" i="7" s="1"/>
  <c r="AM27" i="7"/>
  <c r="AM638" i="7"/>
  <c r="AN252" i="7"/>
  <c r="AN129" i="7"/>
  <c r="AN197" i="7" s="1"/>
  <c r="AO252" i="7"/>
  <c r="AO129" i="7"/>
  <c r="AO197" i="7" s="1"/>
  <c r="AP27" i="7"/>
  <c r="AP638" i="7"/>
  <c r="AG252" i="7"/>
  <c r="AG129" i="7"/>
  <c r="AG197" i="7" s="1"/>
  <c r="AH252" i="7"/>
  <c r="AH129" i="7"/>
  <c r="AH197" i="7" s="1"/>
  <c r="AJ252" i="7"/>
  <c r="AJ129" i="7"/>
  <c r="AJ197" i="7" s="1"/>
  <c r="AK27" i="7"/>
  <c r="AK638" i="7"/>
  <c r="AL27" i="7"/>
  <c r="AL638" i="7"/>
  <c r="AM252" i="7"/>
  <c r="AM129" i="7"/>
  <c r="AM197" i="7" s="1"/>
  <c r="AN27" i="7"/>
  <c r="AN638" i="7"/>
  <c r="AO27" i="7"/>
  <c r="AO638" i="7"/>
  <c r="AB27" i="7"/>
  <c r="AB638" i="7"/>
  <c r="T252" i="7"/>
  <c r="T129" i="7"/>
  <c r="T197" i="7" s="1"/>
  <c r="L27" i="7"/>
  <c r="L638" i="7"/>
  <c r="L252" i="7"/>
  <c r="L129" i="7"/>
  <c r="L197" i="7" s="1"/>
  <c r="AC27" i="7"/>
  <c r="AC638" i="7"/>
  <c r="Y252" i="7"/>
  <c r="Y129" i="7"/>
  <c r="Y197" i="7" s="1"/>
  <c r="U252" i="7"/>
  <c r="U129" i="7"/>
  <c r="U197" i="7" s="1"/>
  <c r="Q252" i="7"/>
  <c r="Q129" i="7"/>
  <c r="Q197" i="7" s="1"/>
  <c r="E27" i="7"/>
  <c r="E638" i="7"/>
  <c r="Z252" i="7"/>
  <c r="Z129" i="7"/>
  <c r="Z197" i="7" s="1"/>
  <c r="R27" i="7"/>
  <c r="R638" i="7"/>
  <c r="J27" i="7"/>
  <c r="J638" i="7"/>
  <c r="J252" i="7"/>
  <c r="J129" i="7"/>
  <c r="J197" i="7" s="1"/>
  <c r="F27" i="7"/>
  <c r="F638" i="7"/>
  <c r="F252" i="7"/>
  <c r="F129" i="7"/>
  <c r="F197" i="7" s="1"/>
  <c r="AE27" i="7"/>
  <c r="AE638" i="7"/>
  <c r="W27" i="7"/>
  <c r="W638" i="7"/>
  <c r="W252" i="7"/>
  <c r="W129" i="7"/>
  <c r="W197" i="7" s="1"/>
  <c r="O252" i="7"/>
  <c r="O129" i="7"/>
  <c r="O197" i="7" s="1"/>
  <c r="K27" i="7"/>
  <c r="K638" i="7"/>
  <c r="G27" i="7"/>
  <c r="G638" i="7"/>
  <c r="AF27" i="7"/>
  <c r="AF638" i="7"/>
  <c r="AF252" i="7"/>
  <c r="AF129" i="7"/>
  <c r="AF197" i="7" s="1"/>
  <c r="AB252" i="7"/>
  <c r="AB129" i="7"/>
  <c r="AB197" i="7" s="1"/>
  <c r="X27" i="7"/>
  <c r="X638" i="7"/>
  <c r="X252" i="7"/>
  <c r="X129" i="7"/>
  <c r="X197" i="7" s="1"/>
  <c r="T27" i="7"/>
  <c r="T638" i="7"/>
  <c r="P27" i="7"/>
  <c r="P638" i="7"/>
  <c r="P252" i="7"/>
  <c r="P129" i="7"/>
  <c r="P197" i="7" s="1"/>
  <c r="H27" i="7"/>
  <c r="H638" i="7"/>
  <c r="H252" i="7"/>
  <c r="H129" i="7"/>
  <c r="H197" i="7" s="1"/>
  <c r="D27" i="7"/>
  <c r="D638" i="7"/>
  <c r="D252" i="7"/>
  <c r="D129" i="7"/>
  <c r="D197" i="7" s="1"/>
  <c r="AC252" i="7"/>
  <c r="AC129" i="7"/>
  <c r="AC197" i="7" s="1"/>
  <c r="Y27" i="7"/>
  <c r="Y638" i="7"/>
  <c r="U27" i="7"/>
  <c r="U638" i="7"/>
  <c r="Q27" i="7"/>
  <c r="Q638" i="7"/>
  <c r="M27" i="7"/>
  <c r="M638" i="7"/>
  <c r="M252" i="7"/>
  <c r="M129" i="7"/>
  <c r="M197" i="7" s="1"/>
  <c r="I27" i="7"/>
  <c r="I638" i="7"/>
  <c r="I252" i="7"/>
  <c r="I129" i="7"/>
  <c r="I197" i="7" s="1"/>
  <c r="E252" i="7"/>
  <c r="E129" i="7"/>
  <c r="E197" i="7" s="1"/>
  <c r="AD27" i="7"/>
  <c r="AD638" i="7"/>
  <c r="AD252" i="7"/>
  <c r="AD129" i="7"/>
  <c r="AD197" i="7" s="1"/>
  <c r="Z27" i="7"/>
  <c r="Z638" i="7"/>
  <c r="V27" i="7"/>
  <c r="V638" i="7"/>
  <c r="V252" i="7"/>
  <c r="V129" i="7"/>
  <c r="V197" i="7" s="1"/>
  <c r="R252" i="7"/>
  <c r="R129" i="7"/>
  <c r="R197" i="7" s="1"/>
  <c r="N27" i="7"/>
  <c r="N638" i="7"/>
  <c r="N252" i="7"/>
  <c r="N129" i="7"/>
  <c r="N197" i="7" s="1"/>
  <c r="AE252" i="7"/>
  <c r="AE129" i="7"/>
  <c r="AE197" i="7" s="1"/>
  <c r="AA27" i="7"/>
  <c r="AA638" i="7"/>
  <c r="AA252" i="7"/>
  <c r="AA129" i="7"/>
  <c r="AA197" i="7" s="1"/>
  <c r="S27" i="7"/>
  <c r="S638" i="7"/>
  <c r="S252" i="7"/>
  <c r="S129" i="7"/>
  <c r="S197" i="7" s="1"/>
  <c r="O27" i="7"/>
  <c r="O638" i="7"/>
  <c r="K252" i="7"/>
  <c r="K129" i="7"/>
  <c r="K197" i="7" s="1"/>
  <c r="G252" i="7"/>
  <c r="G129" i="7"/>
  <c r="G197" i="7" s="1"/>
  <c r="C252" i="7"/>
  <c r="C129" i="7"/>
  <c r="C197" i="7" s="1"/>
  <c r="P687" i="7"/>
  <c r="P690" i="7" s="1"/>
  <c r="B151" i="7" l="1"/>
  <c r="V278" i="7"/>
  <c r="V279" i="7" s="1"/>
  <c r="Z278" i="7"/>
  <c r="Z279" i="7" s="1"/>
  <c r="C238" i="7"/>
  <c r="F278" i="7"/>
  <c r="F279" i="7" s="1"/>
  <c r="AJ278" i="7"/>
  <c r="AJ279" i="7" s="1"/>
  <c r="Y278" i="7"/>
  <c r="Y279" i="7" s="1"/>
  <c r="AA278" i="7"/>
  <c r="AA279" i="7" s="1"/>
  <c r="AK278" i="7"/>
  <c r="AK279" i="7" s="1"/>
  <c r="K278" i="7"/>
  <c r="K279" i="7" s="1"/>
  <c r="N278" i="7"/>
  <c r="N279" i="7" s="1"/>
  <c r="AL278" i="7"/>
  <c r="AL279" i="7" s="1"/>
  <c r="W278" i="7"/>
  <c r="W279" i="7" s="1"/>
  <c r="AD278" i="7"/>
  <c r="AD279" i="7" s="1"/>
  <c r="X278" i="7"/>
  <c r="X279" i="7" s="1"/>
  <c r="R278" i="7"/>
  <c r="R279" i="7" s="1"/>
  <c r="AN278" i="7"/>
  <c r="AN279" i="7" s="1"/>
  <c r="AH278" i="7"/>
  <c r="AH279" i="7" s="1"/>
  <c r="L278" i="7"/>
  <c r="L279" i="7" s="1"/>
  <c r="AM278" i="7"/>
  <c r="AM279" i="7" s="1"/>
  <c r="O278" i="7"/>
  <c r="O279" i="7" s="1"/>
  <c r="I278" i="7"/>
  <c r="I279" i="7" s="1"/>
  <c r="M278" i="7"/>
  <c r="M279" i="7" s="1"/>
  <c r="AO278" i="7"/>
  <c r="AO279" i="7" s="1"/>
  <c r="H278" i="7"/>
  <c r="H279" i="7" s="1"/>
  <c r="T278" i="7"/>
  <c r="T279" i="7" s="1"/>
  <c r="AE278" i="7"/>
  <c r="AE279" i="7" s="1"/>
  <c r="U278" i="7"/>
  <c r="U279" i="7" s="1"/>
  <c r="AB278" i="7"/>
  <c r="AB279" i="7" s="1"/>
  <c r="S278" i="7"/>
  <c r="S279" i="7" s="1"/>
  <c r="J278" i="7"/>
  <c r="J279" i="7" s="1"/>
  <c r="Q278" i="7"/>
  <c r="Q279" i="7" s="1"/>
  <c r="D278" i="7"/>
  <c r="D279" i="7" s="1"/>
  <c r="AG278" i="7"/>
  <c r="AG279" i="7" s="1"/>
  <c r="AI278" i="7"/>
  <c r="AI279" i="7" s="1"/>
  <c r="E278" i="7"/>
  <c r="E279" i="7" s="1"/>
  <c r="AF278" i="7"/>
  <c r="AF279" i="7" s="1"/>
  <c r="AP278" i="7"/>
  <c r="AP279" i="7" s="1"/>
  <c r="G278" i="7"/>
  <c r="G279" i="7" s="1"/>
  <c r="AC278" i="7"/>
  <c r="AC279" i="7" s="1"/>
  <c r="P278" i="7"/>
  <c r="P279" i="7" s="1"/>
  <c r="S75" i="7"/>
  <c r="AF75" i="7"/>
  <c r="AP75" i="7"/>
  <c r="AK238" i="7"/>
  <c r="AK239" i="7" s="1"/>
  <c r="AL75" i="7"/>
  <c r="S238" i="7"/>
  <c r="S239" i="7" s="1"/>
  <c r="AJ75" i="7"/>
  <c r="AJ238" i="7"/>
  <c r="AJ239" i="7" s="1"/>
  <c r="AK75" i="7"/>
  <c r="AP238" i="7"/>
  <c r="AP239" i="7" s="1"/>
  <c r="AH75" i="7"/>
  <c r="AH238" i="7"/>
  <c r="AH239" i="7" s="1"/>
  <c r="AO238" i="7"/>
  <c r="AO239" i="7" s="1"/>
  <c r="AN238" i="7"/>
  <c r="AN239" i="7" s="1"/>
  <c r="AN75" i="7"/>
  <c r="AL238" i="7"/>
  <c r="AL239" i="7" s="1"/>
  <c r="AM75" i="7"/>
  <c r="AM238" i="7"/>
  <c r="AM239" i="7" s="1"/>
  <c r="AG238" i="7"/>
  <c r="AG239" i="7" s="1"/>
  <c r="AG75" i="7"/>
  <c r="AI75" i="7"/>
  <c r="AI238" i="7"/>
  <c r="AI239" i="7" s="1"/>
  <c r="AO75" i="7"/>
  <c r="I75" i="7"/>
  <c r="P75" i="7"/>
  <c r="X238" i="7"/>
  <c r="X239" i="7" s="1"/>
  <c r="Z75" i="7"/>
  <c r="I238" i="7"/>
  <c r="I239" i="7" s="1"/>
  <c r="H75" i="7"/>
  <c r="N75" i="7"/>
  <c r="O75" i="7"/>
  <c r="V75" i="7"/>
  <c r="Q75" i="7"/>
  <c r="Y238" i="7"/>
  <c r="Y239" i="7" s="1"/>
  <c r="H238" i="7"/>
  <c r="H239" i="7" s="1"/>
  <c r="AA75" i="7"/>
  <c r="N238" i="7"/>
  <c r="N239" i="7" s="1"/>
  <c r="AD238" i="7"/>
  <c r="AD239" i="7" s="1"/>
  <c r="P238" i="7"/>
  <c r="P239" i="7" s="1"/>
  <c r="M238" i="7"/>
  <c r="M239" i="7" s="1"/>
  <c r="U75" i="7"/>
  <c r="D238" i="7"/>
  <c r="D239" i="7" s="1"/>
  <c r="T75" i="7"/>
  <c r="G75" i="7"/>
  <c r="K238" i="7"/>
  <c r="K239" i="7" s="1"/>
  <c r="W238" i="7"/>
  <c r="W239" i="7" s="1"/>
  <c r="AE238" i="7"/>
  <c r="AE239" i="7" s="1"/>
  <c r="F75" i="7"/>
  <c r="J238" i="7"/>
  <c r="J239" i="7" s="1"/>
  <c r="R75" i="7"/>
  <c r="E238" i="7"/>
  <c r="E239" i="7" s="1"/>
  <c r="AC238" i="7"/>
  <c r="AC239" i="7" s="1"/>
  <c r="L75" i="7"/>
  <c r="AB238" i="7"/>
  <c r="AB239" i="7" s="1"/>
  <c r="O238" i="7"/>
  <c r="O239" i="7" s="1"/>
  <c r="AA238" i="7"/>
  <c r="AA239" i="7" s="1"/>
  <c r="V238" i="7"/>
  <c r="V239" i="7" s="1"/>
  <c r="Z238" i="7"/>
  <c r="Z239" i="7" s="1"/>
  <c r="AD75" i="7"/>
  <c r="M75" i="7"/>
  <c r="Q238" i="7"/>
  <c r="Q239" i="7" s="1"/>
  <c r="U238" i="7"/>
  <c r="U239" i="7" s="1"/>
  <c r="Y75" i="7"/>
  <c r="D75" i="7"/>
  <c r="T238" i="7"/>
  <c r="T239" i="7" s="1"/>
  <c r="X75" i="7"/>
  <c r="AF238" i="7"/>
  <c r="AF239" i="7" s="1"/>
  <c r="C75" i="7"/>
  <c r="C278" i="7"/>
  <c r="G238" i="7"/>
  <c r="G239" i="7" s="1"/>
  <c r="K75" i="7"/>
  <c r="W75" i="7"/>
  <c r="AE75" i="7"/>
  <c r="F238" i="7"/>
  <c r="F239" i="7" s="1"/>
  <c r="J75" i="7"/>
  <c r="R238" i="7"/>
  <c r="R239" i="7" s="1"/>
  <c r="E75" i="7"/>
  <c r="AC75" i="7"/>
  <c r="L238" i="7"/>
  <c r="L239" i="7" s="1"/>
  <c r="AB75" i="7"/>
  <c r="Q687" i="7"/>
  <c r="Q690" i="7" s="1"/>
  <c r="B152" i="7" l="1"/>
  <c r="F11" i="1" s="1"/>
  <c r="R687" i="7"/>
  <c r="R690" i="7" s="1"/>
  <c r="AO678" i="7" l="1"/>
  <c r="AM678" i="7"/>
  <c r="AL678" i="7"/>
  <c r="AK678" i="7"/>
  <c r="AJ678" i="7"/>
  <c r="AI678" i="7"/>
  <c r="AF678" i="7"/>
  <c r="AN678" i="7"/>
  <c r="AH678" i="7"/>
  <c r="AG678" i="7"/>
  <c r="AE678" i="7"/>
  <c r="AC678" i="7"/>
  <c r="AA678" i="7"/>
  <c r="Y678" i="7"/>
  <c r="W678" i="7"/>
  <c r="U678" i="7"/>
  <c r="S678" i="7"/>
  <c r="Q678" i="7"/>
  <c r="O678" i="7"/>
  <c r="M678" i="7"/>
  <c r="K678" i="7"/>
  <c r="I678" i="7"/>
  <c r="G678" i="7"/>
  <c r="E678" i="7"/>
  <c r="C678" i="7"/>
  <c r="AD678" i="7"/>
  <c r="AB678" i="7"/>
  <c r="Z678" i="7"/>
  <c r="X678" i="7"/>
  <c r="V678" i="7"/>
  <c r="T678" i="7"/>
  <c r="U675" i="7" s="1"/>
  <c r="R678" i="7"/>
  <c r="S675" i="7" s="1"/>
  <c r="P678" i="7"/>
  <c r="Q675" i="7" s="1"/>
  <c r="N678" i="7"/>
  <c r="O675" i="7" s="1"/>
  <c r="L678" i="7"/>
  <c r="M675" i="7" s="1"/>
  <c r="J678" i="7"/>
  <c r="K675" i="7" s="1"/>
  <c r="H678" i="7"/>
  <c r="I675" i="7" s="1"/>
  <c r="F678" i="7"/>
  <c r="G675" i="7" s="1"/>
  <c r="D678" i="7"/>
  <c r="E675" i="7" s="1"/>
  <c r="S687" i="7"/>
  <c r="S690" i="7" s="1"/>
  <c r="AA675" i="7" l="1"/>
  <c r="AA677" i="7" s="1"/>
  <c r="AA94" i="7" s="1"/>
  <c r="AA99" i="7" s="1"/>
  <c r="AA105" i="7" s="1"/>
  <c r="AC675" i="7"/>
  <c r="AG675" i="7"/>
  <c r="W675" i="7"/>
  <c r="AE675" i="7"/>
  <c r="AJ675" i="7"/>
  <c r="Y675" i="7"/>
  <c r="B678" i="7"/>
  <c r="AG94" i="7"/>
  <c r="AG99" i="7" s="1"/>
  <c r="AG105" i="7" s="1"/>
  <c r="AH675" i="7"/>
  <c r="AH94" i="7" s="1"/>
  <c r="AH99" i="7" s="1"/>
  <c r="AH105" i="7" s="1"/>
  <c r="AI675" i="7"/>
  <c r="AI94" i="7" s="1"/>
  <c r="AI99" i="7" s="1"/>
  <c r="AI105" i="7" s="1"/>
  <c r="AO675" i="7"/>
  <c r="AO94" i="7" s="1"/>
  <c r="AO99" i="7" s="1"/>
  <c r="AO105" i="7" s="1"/>
  <c r="AK675" i="7"/>
  <c r="AK94" i="7" s="1"/>
  <c r="AK99" i="7" s="1"/>
  <c r="AK105" i="7" s="1"/>
  <c r="AJ94" i="7"/>
  <c r="AJ99" i="7" s="1"/>
  <c r="AJ105" i="7" s="1"/>
  <c r="AL675" i="7"/>
  <c r="AL94" i="7" s="1"/>
  <c r="AL99" i="7" s="1"/>
  <c r="AL105" i="7" s="1"/>
  <c r="AP675" i="7"/>
  <c r="AP677" i="7" s="1"/>
  <c r="AP94" i="7" s="1"/>
  <c r="AP99" i="7" s="1"/>
  <c r="AP105" i="7" s="1"/>
  <c r="AM675" i="7"/>
  <c r="AM94" i="7" s="1"/>
  <c r="AM99" i="7" s="1"/>
  <c r="AM105" i="7" s="1"/>
  <c r="AN675" i="7"/>
  <c r="AN94" i="7" s="1"/>
  <c r="AN99" i="7" s="1"/>
  <c r="AN105" i="7" s="1"/>
  <c r="D675" i="7"/>
  <c r="D94" i="7" s="1"/>
  <c r="F675" i="7"/>
  <c r="F94" i="7" s="1"/>
  <c r="E94" i="7"/>
  <c r="H675" i="7"/>
  <c r="H94" i="7" s="1"/>
  <c r="G94" i="7"/>
  <c r="J675" i="7"/>
  <c r="J94" i="7" s="1"/>
  <c r="I94" i="7"/>
  <c r="L675" i="7"/>
  <c r="L94" i="7" s="1"/>
  <c r="K94" i="7"/>
  <c r="N675" i="7"/>
  <c r="N94" i="7" s="1"/>
  <c r="M94" i="7"/>
  <c r="P675" i="7"/>
  <c r="P94" i="7" s="1"/>
  <c r="O94" i="7"/>
  <c r="R675" i="7"/>
  <c r="R94" i="7" s="1"/>
  <c r="Q94" i="7"/>
  <c r="T675" i="7"/>
  <c r="T94" i="7" s="1"/>
  <c r="S94" i="7"/>
  <c r="V675" i="7"/>
  <c r="V94" i="7" s="1"/>
  <c r="U94" i="7"/>
  <c r="X675" i="7"/>
  <c r="X94" i="7" s="1"/>
  <c r="X99" i="7" s="1"/>
  <c r="X105" i="7" s="1"/>
  <c r="W94" i="7"/>
  <c r="W99" i="7" s="1"/>
  <c r="W105" i="7" s="1"/>
  <c r="Z675" i="7"/>
  <c r="Z94" i="7" s="1"/>
  <c r="Z99" i="7" s="1"/>
  <c r="Z105" i="7" s="1"/>
  <c r="Y94" i="7"/>
  <c r="Y99" i="7" s="1"/>
  <c r="Y105" i="7" s="1"/>
  <c r="AB675" i="7"/>
  <c r="AB94" i="7" s="1"/>
  <c r="AB99" i="7" s="1"/>
  <c r="AB105" i="7" s="1"/>
  <c r="AD675" i="7"/>
  <c r="AD94" i="7" s="1"/>
  <c r="AD99" i="7" s="1"/>
  <c r="AD105" i="7" s="1"/>
  <c r="AC94" i="7"/>
  <c r="AC99" i="7" s="1"/>
  <c r="AC105" i="7" s="1"/>
  <c r="AF675" i="7"/>
  <c r="AE94" i="7"/>
  <c r="AE99" i="7" s="1"/>
  <c r="AE105" i="7" s="1"/>
  <c r="C266" i="7"/>
  <c r="C279" i="7" s="1"/>
  <c r="C226" i="7"/>
  <c r="C239" i="7" s="1"/>
  <c r="T687" i="7"/>
  <c r="T690" i="7" s="1"/>
  <c r="C675" i="7" l="1"/>
  <c r="C94" i="7" s="1"/>
  <c r="B94" i="7"/>
  <c r="AF677" i="7"/>
  <c r="U687" i="7"/>
  <c r="U690" i="7" s="1"/>
  <c r="AF94" i="7" l="1"/>
  <c r="AF99" i="7" s="1"/>
  <c r="AF105" i="7" s="1"/>
  <c r="V687" i="7"/>
  <c r="V690" i="7" s="1"/>
  <c r="V783" i="7" s="1"/>
  <c r="W687" i="7" l="1"/>
  <c r="W690" i="7" s="1"/>
  <c r="W783" i="7" s="1"/>
  <c r="W784" i="7"/>
  <c r="W247" i="7" l="1"/>
  <c r="W210" i="7"/>
  <c r="W76" i="7"/>
  <c r="X687" i="7"/>
  <c r="X690" i="7" s="1"/>
  <c r="X783" i="7" s="1"/>
  <c r="X784" i="7"/>
  <c r="X247" i="7" l="1"/>
  <c r="X210" i="7"/>
  <c r="X76" i="7"/>
  <c r="Y687" i="7"/>
  <c r="Y690" i="7" s="1"/>
  <c r="Y783" i="7" s="1"/>
  <c r="Y784" i="7"/>
  <c r="Y247" i="7" l="1"/>
  <c r="Y210" i="7"/>
  <c r="Y76" i="7"/>
  <c r="Z687" i="7"/>
  <c r="Z690" i="7" s="1"/>
  <c r="Z783" i="7" s="1"/>
  <c r="Z784" i="7"/>
  <c r="AA687" i="7" l="1"/>
  <c r="AA690" i="7" s="1"/>
  <c r="AA783" i="7" s="1"/>
  <c r="AA784" i="7"/>
  <c r="Z247" i="7"/>
  <c r="Z210" i="7"/>
  <c r="Z76" i="7"/>
  <c r="AB687" i="7" l="1"/>
  <c r="AB690" i="7" s="1"/>
  <c r="AB783" i="7" s="1"/>
  <c r="AB784" i="7"/>
  <c r="AA247" i="7"/>
  <c r="AA210" i="7"/>
  <c r="AA76" i="7"/>
  <c r="AC687" i="7" l="1"/>
  <c r="AC690" i="7" s="1"/>
  <c r="AC783" i="7" s="1"/>
  <c r="AC784" i="7"/>
  <c r="AB247" i="7"/>
  <c r="AB210" i="7"/>
  <c r="AB76" i="7"/>
  <c r="AC247" i="7" l="1"/>
  <c r="AC210" i="7"/>
  <c r="AC76" i="7"/>
  <c r="AD687" i="7"/>
  <c r="AD690" i="7" s="1"/>
  <c r="AD783" i="7" s="1"/>
  <c r="AD784" i="7"/>
  <c r="AE687" i="7" l="1"/>
  <c r="AE690" i="7" s="1"/>
  <c r="AE783" i="7" s="1"/>
  <c r="AE784" i="7"/>
  <c r="AD247" i="7"/>
  <c r="AD210" i="7"/>
  <c r="AD76" i="7"/>
  <c r="AF687" i="7" l="1"/>
  <c r="AF690" i="7" s="1"/>
  <c r="AF783" i="7" s="1"/>
  <c r="AF784" i="7"/>
  <c r="AE247" i="7"/>
  <c r="AE210" i="7"/>
  <c r="AE76" i="7"/>
  <c r="AG687" i="7" l="1"/>
  <c r="AG690" i="7" s="1"/>
  <c r="AG783" i="7" s="1"/>
  <c r="AF247" i="7"/>
  <c r="AF210" i="7"/>
  <c r="AF76" i="7"/>
  <c r="AG210" i="7" l="1"/>
  <c r="AG247" i="7"/>
  <c r="AG76" i="7"/>
  <c r="M438" i="7"/>
  <c r="M440" i="7"/>
  <c r="AH687" i="7"/>
  <c r="AH690" i="7" s="1"/>
  <c r="AH783" i="7" s="1"/>
  <c r="M298" i="7" l="1"/>
  <c r="AH247" i="7"/>
  <c r="AH76" i="7"/>
  <c r="AH210" i="7"/>
  <c r="M301" i="7"/>
  <c r="M437" i="7"/>
  <c r="AI687" i="7"/>
  <c r="AI690" i="7" s="1"/>
  <c r="AI783" i="7" s="1"/>
  <c r="AI210" i="7" l="1"/>
  <c r="AI247" i="7"/>
  <c r="AI76" i="7"/>
  <c r="AJ687" i="7"/>
  <c r="AJ690" i="7" s="1"/>
  <c r="AJ783" i="7" s="1"/>
  <c r="AJ247" i="7" l="1"/>
  <c r="AJ210" i="7"/>
  <c r="AJ76" i="7"/>
  <c r="AK687" i="7"/>
  <c r="AK690" i="7" s="1"/>
  <c r="AK783" i="7" s="1"/>
  <c r="AK247" i="7" l="1"/>
  <c r="AK210" i="7"/>
  <c r="AK76" i="7"/>
  <c r="AL687" i="7"/>
  <c r="AL690" i="7" s="1"/>
  <c r="AL783" i="7" s="1"/>
  <c r="AL210" i="7" l="1"/>
  <c r="AL247" i="7"/>
  <c r="AL76" i="7"/>
  <c r="AM687" i="7"/>
  <c r="AM690" i="7" s="1"/>
  <c r="AM783" i="7" s="1"/>
  <c r="AM247" i="7" l="1"/>
  <c r="AM76" i="7"/>
  <c r="AM210" i="7"/>
  <c r="AN687" i="7"/>
  <c r="AN690" i="7" s="1"/>
  <c r="AN783" i="7" s="1"/>
  <c r="AN247" i="7" l="1"/>
  <c r="AN76" i="7"/>
  <c r="AN210" i="7"/>
  <c r="AO687" i="7"/>
  <c r="AO690" i="7" s="1"/>
  <c r="AO783" i="7" s="1"/>
  <c r="AO247" i="7" l="1"/>
  <c r="AO76" i="7"/>
  <c r="AO210" i="7"/>
  <c r="AP687" i="7"/>
  <c r="AP690" i="7" s="1"/>
  <c r="AP783" i="7" s="1"/>
  <c r="AP210" i="7" l="1"/>
  <c r="AP247" i="7"/>
  <c r="AP76" i="7"/>
  <c r="AF69" i="7" l="1"/>
  <c r="AF78" i="7" s="1"/>
  <c r="AF118" i="7" s="1"/>
  <c r="AC69" i="7"/>
  <c r="AC78" i="7" s="1"/>
  <c r="AC118" i="7" s="1"/>
  <c r="H652" i="7" l="1"/>
  <c r="AC209" i="7"/>
  <c r="H209" i="7"/>
  <c r="H69" i="7"/>
  <c r="H246" i="7"/>
  <c r="AC246" i="7"/>
  <c r="AF246" i="7"/>
  <c r="AF209" i="7"/>
  <c r="C652" i="7"/>
  <c r="AC119" i="7"/>
  <c r="AF119" i="7"/>
  <c r="AN209" i="7"/>
  <c r="AN246" i="7"/>
  <c r="AN69" i="7"/>
  <c r="AN78" i="7" s="1"/>
  <c r="AN118" i="7" s="1"/>
  <c r="AP246" i="7"/>
  <c r="AP69" i="7"/>
  <c r="AP78" i="7" s="1"/>
  <c r="AP118" i="7" s="1"/>
  <c r="AP209" i="7"/>
  <c r="U652" i="7"/>
  <c r="AH246" i="7"/>
  <c r="AH209" i="7"/>
  <c r="AH69" i="7"/>
  <c r="AH78" i="7" s="1"/>
  <c r="AH118" i="7" s="1"/>
  <c r="T783" i="7" l="1"/>
  <c r="T652" i="7"/>
  <c r="Q652" i="7"/>
  <c r="R652" i="7"/>
  <c r="AA246" i="7"/>
  <c r="M209" i="7"/>
  <c r="T69" i="7"/>
  <c r="T246" i="7"/>
  <c r="T209" i="7"/>
  <c r="AH119" i="7"/>
  <c r="R209" i="7"/>
  <c r="R69" i="7"/>
  <c r="R246" i="7"/>
  <c r="J652" i="7"/>
  <c r="J69" i="7"/>
  <c r="J246" i="7"/>
  <c r="J209" i="7"/>
  <c r="AJ69" i="7"/>
  <c r="AJ78" i="7" s="1"/>
  <c r="AJ118" i="7" s="1"/>
  <c r="AJ209" i="7"/>
  <c r="AJ246" i="7"/>
  <c r="AK209" i="7"/>
  <c r="AK69" i="7"/>
  <c r="AK78" i="7" s="1"/>
  <c r="AK118" i="7" s="1"/>
  <c r="AK246" i="7"/>
  <c r="E209" i="7"/>
  <c r="E69" i="7"/>
  <c r="E246" i="7"/>
  <c r="E652" i="7"/>
  <c r="AP119" i="7"/>
  <c r="G69" i="7"/>
  <c r="G246" i="7"/>
  <c r="G209" i="7"/>
  <c r="G652" i="7"/>
  <c r="AN119" i="7"/>
  <c r="C69" i="7"/>
  <c r="C209" i="7"/>
  <c r="C246" i="7"/>
  <c r="AI69" i="7"/>
  <c r="AI78" i="7" s="1"/>
  <c r="AI118" i="7" s="1"/>
  <c r="AI246" i="7"/>
  <c r="AI209" i="7"/>
  <c r="AM69" i="7"/>
  <c r="AM78" i="7" s="1"/>
  <c r="AM118" i="7" s="1"/>
  <c r="AM209" i="7"/>
  <c r="AM246" i="7"/>
  <c r="AO69" i="7"/>
  <c r="AO78" i="7" s="1"/>
  <c r="AO118" i="7" s="1"/>
  <c r="AO209" i="7"/>
  <c r="AO246" i="7"/>
  <c r="L652" i="7"/>
  <c r="L209" i="7"/>
  <c r="L246" i="7"/>
  <c r="L69" i="7"/>
  <c r="Q69" i="7"/>
  <c r="Q209" i="7"/>
  <c r="Q246" i="7"/>
  <c r="V652" i="7"/>
  <c r="AL246" i="7"/>
  <c r="AL209" i="7"/>
  <c r="AL69" i="7"/>
  <c r="AL78" i="7" s="1"/>
  <c r="AL118" i="7" s="1"/>
  <c r="N209" i="7"/>
  <c r="N246" i="7"/>
  <c r="N69" i="7"/>
  <c r="N652" i="7"/>
  <c r="AE209" i="7"/>
  <c r="AE69" i="7"/>
  <c r="AE78" i="7" s="1"/>
  <c r="AE118" i="7" s="1"/>
  <c r="AE246" i="7"/>
  <c r="AG246" i="7"/>
  <c r="AG69" i="7"/>
  <c r="AG78" i="7" s="1"/>
  <c r="AG118" i="7" s="1"/>
  <c r="AG209" i="7"/>
  <c r="U209" i="7"/>
  <c r="U69" i="7"/>
  <c r="U246" i="7"/>
  <c r="AD69" i="7"/>
  <c r="AD78" i="7" s="1"/>
  <c r="AD118" i="7" s="1"/>
  <c r="AD246" i="7"/>
  <c r="AD209" i="7"/>
  <c r="AB209" i="7"/>
  <c r="AB69" i="7"/>
  <c r="AB78" i="7" s="1"/>
  <c r="AB118" i="7" s="1"/>
  <c r="AB246" i="7"/>
  <c r="U784" i="7" l="1"/>
  <c r="U669" i="7"/>
  <c r="U783" i="7"/>
  <c r="P652" i="7"/>
  <c r="S652" i="7"/>
  <c r="AA209" i="7"/>
  <c r="AA69" i="7"/>
  <c r="AA78" i="7" s="1"/>
  <c r="M246" i="7"/>
  <c r="M69" i="7"/>
  <c r="D209" i="7"/>
  <c r="M652" i="7"/>
  <c r="D69" i="7"/>
  <c r="F652" i="7"/>
  <c r="F246" i="7"/>
  <c r="F209" i="7"/>
  <c r="F69" i="7"/>
  <c r="D652" i="7"/>
  <c r="D246" i="7"/>
  <c r="K246" i="7"/>
  <c r="K209" i="7"/>
  <c r="K652" i="7"/>
  <c r="K69" i="7"/>
  <c r="AG119" i="7"/>
  <c r="W246" i="7"/>
  <c r="W209" i="7"/>
  <c r="W69" i="7"/>
  <c r="W78" i="7" s="1"/>
  <c r="W118" i="7" s="1"/>
  <c r="AL119" i="7"/>
  <c r="AM119" i="7"/>
  <c r="Y209" i="7"/>
  <c r="Y69" i="7"/>
  <c r="Y78" i="7" s="1"/>
  <c r="Y118" i="7" s="1"/>
  <c r="Y246" i="7"/>
  <c r="Z246" i="7"/>
  <c r="Z209" i="7"/>
  <c r="Z69" i="7"/>
  <c r="Z78" i="7" s="1"/>
  <c r="Z118" i="7" s="1"/>
  <c r="S209" i="7"/>
  <c r="S246" i="7"/>
  <c r="S69" i="7"/>
  <c r="O209" i="7"/>
  <c r="O652" i="7"/>
  <c r="O246" i="7"/>
  <c r="O69" i="7"/>
  <c r="I69" i="7"/>
  <c r="I246" i="7"/>
  <c r="I209" i="7"/>
  <c r="I652" i="7"/>
  <c r="AB119" i="7"/>
  <c r="AD119" i="7"/>
  <c r="AE119" i="7"/>
  <c r="V69" i="7"/>
  <c r="V246" i="7"/>
  <c r="V209" i="7"/>
  <c r="AO119" i="7"/>
  <c r="X209" i="7"/>
  <c r="X69" i="7"/>
  <c r="X78" i="7" s="1"/>
  <c r="X118" i="7" s="1"/>
  <c r="X246" i="7"/>
  <c r="AI119" i="7"/>
  <c r="AK119" i="7"/>
  <c r="AJ119" i="7"/>
  <c r="P69" i="7"/>
  <c r="P246" i="7"/>
  <c r="P209" i="7"/>
  <c r="AA118" i="7" l="1"/>
  <c r="V784" i="7"/>
  <c r="V669" i="7"/>
  <c r="V93" i="7" s="1"/>
  <c r="V99" i="7" s="1"/>
  <c r="V105" i="7" s="1"/>
  <c r="U93" i="7"/>
  <c r="U99" i="7" s="1"/>
  <c r="U105" i="7" s="1"/>
  <c r="U76" i="7"/>
  <c r="U210" i="7"/>
  <c r="U247" i="7"/>
  <c r="X119" i="7"/>
  <c r="Z119" i="7"/>
  <c r="Y119" i="7"/>
  <c r="W119" i="7"/>
  <c r="AA119" i="7" l="1"/>
  <c r="V247" i="7"/>
  <c r="V210" i="7"/>
  <c r="V76" i="7"/>
  <c r="U248" i="7" l="1"/>
  <c r="U77" i="7"/>
  <c r="U78" i="7" s="1"/>
  <c r="U211" i="7"/>
  <c r="U112" i="7" l="1"/>
  <c r="U113" i="7" s="1"/>
  <c r="U118" i="7" s="1"/>
  <c r="AN212" i="7"/>
  <c r="AN213" i="7" s="1"/>
  <c r="AN241" i="7" s="1"/>
  <c r="AN243" i="7" s="1"/>
  <c r="AP212" i="7"/>
  <c r="AP213" i="7" s="1"/>
  <c r="AP241" i="7" s="1"/>
  <c r="AP243" i="7" s="1"/>
  <c r="AL212" i="7"/>
  <c r="AL213" i="7" s="1"/>
  <c r="AL241" i="7" s="1"/>
  <c r="AL243" i="7" s="1"/>
  <c r="AH212" i="7"/>
  <c r="AH213" i="7" s="1"/>
  <c r="AH241" i="7" s="1"/>
  <c r="AH243" i="7" s="1"/>
  <c r="AO212" i="7"/>
  <c r="AO213" i="7" s="1"/>
  <c r="AO241" i="7" s="1"/>
  <c r="AO243" i="7" s="1"/>
  <c r="AK212" i="7"/>
  <c r="AK213" i="7" s="1"/>
  <c r="AK241" i="7" s="1"/>
  <c r="AK243" i="7" s="1"/>
  <c r="AG212" i="7"/>
  <c r="AG213" i="7" s="1"/>
  <c r="AG241" i="7" s="1"/>
  <c r="AG243" i="7" s="1"/>
  <c r="AJ212" i="7"/>
  <c r="AJ213" i="7" s="1"/>
  <c r="AJ241" i="7" s="1"/>
  <c r="AJ243" i="7" s="1"/>
  <c r="AM212" i="7"/>
  <c r="AM213" i="7" s="1"/>
  <c r="AM241" i="7" s="1"/>
  <c r="AM243" i="7" s="1"/>
  <c r="AI212" i="7"/>
  <c r="AI213" i="7" s="1"/>
  <c r="AI241" i="7" s="1"/>
  <c r="AI243" i="7" s="1"/>
  <c r="U119" i="7" l="1"/>
  <c r="AG250" i="7"/>
  <c r="AG131" i="7"/>
  <c r="AH250" i="7"/>
  <c r="AH131" i="7"/>
  <c r="AK250" i="7"/>
  <c r="AK131" i="7"/>
  <c r="AL131" i="7"/>
  <c r="AL250" i="7"/>
  <c r="AI250" i="7"/>
  <c r="AI131" i="7"/>
  <c r="AJ250" i="7"/>
  <c r="AJ131" i="7"/>
  <c r="AO250" i="7"/>
  <c r="AO131" i="7"/>
  <c r="AP250" i="7"/>
  <c r="AP131" i="7"/>
  <c r="AM250" i="7"/>
  <c r="AM131" i="7"/>
  <c r="AN250" i="7"/>
  <c r="AN131" i="7"/>
  <c r="AK249" i="7"/>
  <c r="AJ249" i="7"/>
  <c r="AG249" i="7"/>
  <c r="AI249" i="7"/>
  <c r="AL249" i="7"/>
  <c r="AO249" i="7"/>
  <c r="AH249" i="7"/>
  <c r="AN249" i="7"/>
  <c r="AP249" i="7"/>
  <c r="AM249" i="7"/>
  <c r="V77" i="7" l="1"/>
  <c r="V78" i="7" s="1"/>
  <c r="V248" i="7"/>
  <c r="V211" i="7"/>
  <c r="AG253" i="7"/>
  <c r="AG281" i="7" s="1"/>
  <c r="AN253" i="7"/>
  <c r="AN281" i="7" s="1"/>
  <c r="AL253" i="7"/>
  <c r="AL281" i="7" s="1"/>
  <c r="AM253" i="7"/>
  <c r="AM281" i="7" s="1"/>
  <c r="AP253" i="7"/>
  <c r="AP281" i="7" s="1"/>
  <c r="AJ253" i="7"/>
  <c r="AJ281" i="7" s="1"/>
  <c r="AO253" i="7"/>
  <c r="AO281" i="7" s="1"/>
  <c r="AI253" i="7"/>
  <c r="AI281" i="7" s="1"/>
  <c r="AK253" i="7"/>
  <c r="AK281" i="7" s="1"/>
  <c r="AH253" i="7"/>
  <c r="AH281" i="7" s="1"/>
  <c r="AK283" i="7" l="1"/>
  <c r="AK142" i="7" s="1"/>
  <c r="AP283" i="7"/>
  <c r="AP142" i="7" s="1"/>
  <c r="AG283" i="7"/>
  <c r="AG142" i="7" s="1"/>
  <c r="AI283" i="7"/>
  <c r="AI142" i="7" s="1"/>
  <c r="AM283" i="7"/>
  <c r="AM142" i="7" s="1"/>
  <c r="AO283" i="7"/>
  <c r="AO142" i="7" s="1"/>
  <c r="AL283" i="7"/>
  <c r="AL142" i="7" s="1"/>
  <c r="AH283" i="7"/>
  <c r="AH142" i="7" s="1"/>
  <c r="AJ283" i="7"/>
  <c r="AJ142" i="7" s="1"/>
  <c r="AN283" i="7"/>
  <c r="AN142" i="7" s="1"/>
  <c r="V112" i="7"/>
  <c r="V113" i="7" s="1"/>
  <c r="V118" i="7" s="1"/>
  <c r="AI132" i="7" l="1"/>
  <c r="AI133" i="7" s="1"/>
  <c r="AI198" i="7" s="1"/>
  <c r="AP132" i="7"/>
  <c r="AP133" i="7" s="1"/>
  <c r="AP198" i="7" s="1"/>
  <c r="AO132" i="7"/>
  <c r="AO133" i="7" s="1"/>
  <c r="AO198" i="7" s="1"/>
  <c r="AJ132" i="7"/>
  <c r="AJ133" i="7" s="1"/>
  <c r="AJ198" i="7" s="1"/>
  <c r="AK132" i="7"/>
  <c r="AK133" i="7" s="1"/>
  <c r="AK198" i="7" s="1"/>
  <c r="AM132" i="7"/>
  <c r="AM133" i="7" s="1"/>
  <c r="AM198" i="7" s="1"/>
  <c r="AH132" i="7"/>
  <c r="AH133" i="7" s="1"/>
  <c r="AH198" i="7" s="1"/>
  <c r="AG132" i="7"/>
  <c r="AG133" i="7" s="1"/>
  <c r="AG198" i="7" s="1"/>
  <c r="AL132" i="7"/>
  <c r="AL133" i="7" s="1"/>
  <c r="AL198" i="7" s="1"/>
  <c r="AN132" i="7"/>
  <c r="AN133" i="7" s="1"/>
  <c r="AN198" i="7" s="1"/>
  <c r="V119" i="7"/>
  <c r="AO134" i="7" l="1"/>
  <c r="AG134" i="7"/>
  <c r="AH134" i="7"/>
  <c r="AM134" i="7"/>
  <c r="AP134" i="7"/>
  <c r="AJ134" i="7"/>
  <c r="AN134" i="7"/>
  <c r="AL134" i="7"/>
  <c r="AK134" i="7"/>
  <c r="AI134" i="7"/>
  <c r="M439" i="7"/>
  <c r="M443" i="7" s="1"/>
  <c r="C348" i="7"/>
  <c r="B348" i="7" s="1"/>
  <c r="M299" i="7"/>
  <c r="M302" i="7"/>
  <c r="M300" i="7"/>
  <c r="M305" i="7" l="1"/>
  <c r="AD212" i="7"/>
  <c r="AD213" i="7" s="1"/>
  <c r="AD241" i="7" s="1"/>
  <c r="AD243" i="7" s="1"/>
  <c r="AD249" i="7"/>
  <c r="AB212" i="7"/>
  <c r="AB213" i="7" s="1"/>
  <c r="AB241" i="7" s="1"/>
  <c r="AB243" i="7" s="1"/>
  <c r="AB249" i="7"/>
  <c r="AF212" i="7"/>
  <c r="AF213" i="7" s="1"/>
  <c r="AF241" i="7" s="1"/>
  <c r="AF243" i="7" s="1"/>
  <c r="AF249" i="7"/>
  <c r="AC212" i="7"/>
  <c r="AC213" i="7" s="1"/>
  <c r="AC241" i="7" s="1"/>
  <c r="AC243" i="7" s="1"/>
  <c r="AC249" i="7"/>
  <c r="AE212" i="7"/>
  <c r="AE213" i="7" s="1"/>
  <c r="AE241" i="7" s="1"/>
  <c r="AE243" i="7" s="1"/>
  <c r="AE249" i="7"/>
  <c r="AD131" i="7" l="1"/>
  <c r="AD250" i="7"/>
  <c r="AD253" i="7" s="1"/>
  <c r="AD281" i="7" s="1"/>
  <c r="AB250" i="7"/>
  <c r="AB253" i="7" s="1"/>
  <c r="AB281" i="7" s="1"/>
  <c r="AB131" i="7"/>
  <c r="AE131" i="7"/>
  <c r="AE250" i="7"/>
  <c r="AE253" i="7" s="1"/>
  <c r="AE281" i="7" s="1"/>
  <c r="AF250" i="7"/>
  <c r="AF253" i="7" s="1"/>
  <c r="AF281" i="7" s="1"/>
  <c r="AF131" i="7"/>
  <c r="AC131" i="7"/>
  <c r="AC250" i="7"/>
  <c r="AC253" i="7" s="1"/>
  <c r="AC281" i="7" s="1"/>
  <c r="AB283" i="7" l="1"/>
  <c r="AB142" i="7" s="1"/>
  <c r="AC283" i="7"/>
  <c r="AC142" i="7" s="1"/>
  <c r="AD283" i="7"/>
  <c r="AD142" i="7" s="1"/>
  <c r="AF283" i="7"/>
  <c r="AF142" i="7" s="1"/>
  <c r="AE283" i="7"/>
  <c r="AE142" i="7" s="1"/>
  <c r="AD132" i="7" l="1"/>
  <c r="AD133" i="7" s="1"/>
  <c r="AD198" i="7" s="1"/>
  <c r="AC132" i="7"/>
  <c r="AC133" i="7" s="1"/>
  <c r="AC198" i="7" s="1"/>
  <c r="AE132" i="7"/>
  <c r="AE133" i="7" s="1"/>
  <c r="AE198" i="7" s="1"/>
  <c r="AB132" i="7"/>
  <c r="AB133" i="7" s="1"/>
  <c r="AB198" i="7" s="1"/>
  <c r="AF132" i="7"/>
  <c r="AF133" i="7" s="1"/>
  <c r="AF198" i="7" s="1"/>
  <c r="AB134" i="7" l="1"/>
  <c r="AE134" i="7"/>
  <c r="AC134" i="7"/>
  <c r="AF134" i="7"/>
  <c r="AD134" i="7"/>
  <c r="B664" i="7"/>
  <c r="B655" i="7" s="1"/>
  <c r="B656" i="7" l="1"/>
  <c r="B665" i="7"/>
  <c r="F22" i="1" s="1"/>
  <c r="N783" i="7"/>
  <c r="S93" i="7"/>
  <c r="S99" i="7" s="1"/>
  <c r="S105" i="7" s="1"/>
  <c r="O783" i="7"/>
  <c r="J784" i="7"/>
  <c r="G783" i="7"/>
  <c r="B783" i="7"/>
  <c r="L783" i="7"/>
  <c r="J783" i="7"/>
  <c r="C783" i="7"/>
  <c r="H783" i="7"/>
  <c r="K783" i="7"/>
  <c r="Q783" i="7"/>
  <c r="M783" i="7"/>
  <c r="B657" i="7" l="1"/>
  <c r="F784" i="7"/>
  <c r="F210" i="7" s="1"/>
  <c r="E783" i="7"/>
  <c r="S669" i="7"/>
  <c r="R783" i="7"/>
  <c r="E784" i="7"/>
  <c r="E210" i="7" s="1"/>
  <c r="D783" i="7"/>
  <c r="G669" i="7"/>
  <c r="F783" i="7"/>
  <c r="Q784" i="7"/>
  <c r="Q247" i="7" s="1"/>
  <c r="P783" i="7"/>
  <c r="T669" i="7"/>
  <c r="T93" i="7" s="1"/>
  <c r="T99" i="7" s="1"/>
  <c r="T105" i="7" s="1"/>
  <c r="S783" i="7"/>
  <c r="J669" i="7"/>
  <c r="I783" i="7"/>
  <c r="T784" i="7"/>
  <c r="T247" i="7" s="1"/>
  <c r="E669" i="7"/>
  <c r="E93" i="7" s="1"/>
  <c r="E99" i="7" s="1"/>
  <c r="E105" i="7" s="1"/>
  <c r="S784" i="7"/>
  <c r="S210" i="7" s="1"/>
  <c r="G784" i="7"/>
  <c r="G247" i="7" s="1"/>
  <c r="F669" i="7"/>
  <c r="F93" i="7" s="1"/>
  <c r="F99" i="7" s="1"/>
  <c r="F105" i="7" s="1"/>
  <c r="Q669" i="7"/>
  <c r="L669" i="7"/>
  <c r="L93" i="7" s="1"/>
  <c r="L99" i="7" s="1"/>
  <c r="L105" i="7" s="1"/>
  <c r="L784" i="7"/>
  <c r="C93" i="7"/>
  <c r="C99" i="7" s="1"/>
  <c r="C105" i="7" s="1"/>
  <c r="C784" i="7"/>
  <c r="J210" i="7"/>
  <c r="J247" i="7"/>
  <c r="J76" i="7"/>
  <c r="N669" i="7"/>
  <c r="N784" i="7"/>
  <c r="I669" i="7"/>
  <c r="I93" i="7" s="1"/>
  <c r="I99" i="7" s="1"/>
  <c r="I105" i="7" s="1"/>
  <c r="I784" i="7"/>
  <c r="K669" i="7"/>
  <c r="K93" i="7" s="1"/>
  <c r="K99" i="7" s="1"/>
  <c r="K105" i="7" s="1"/>
  <c r="J93" i="7"/>
  <c r="J99" i="7" s="1"/>
  <c r="J105" i="7" s="1"/>
  <c r="K784" i="7"/>
  <c r="H669" i="7"/>
  <c r="H93" i="7" s="1"/>
  <c r="H99" i="7" s="1"/>
  <c r="H105" i="7" s="1"/>
  <c r="G93" i="7"/>
  <c r="G99" i="7" s="1"/>
  <c r="G105" i="7" s="1"/>
  <c r="H784" i="7"/>
  <c r="O669" i="7"/>
  <c r="N93" i="7"/>
  <c r="N99" i="7" s="1"/>
  <c r="N105" i="7" s="1"/>
  <c r="O784" i="7"/>
  <c r="R669" i="7"/>
  <c r="R93" i="7" s="1"/>
  <c r="R99" i="7" s="1"/>
  <c r="R105" i="7" s="1"/>
  <c r="Q93" i="7"/>
  <c r="Q99" i="7" s="1"/>
  <c r="Q105" i="7" s="1"/>
  <c r="R784" i="7"/>
  <c r="D669" i="7"/>
  <c r="D93" i="7" s="1"/>
  <c r="D99" i="7" s="1"/>
  <c r="D105" i="7" s="1"/>
  <c r="D784" i="7"/>
  <c r="M669" i="7"/>
  <c r="M93" i="7" s="1"/>
  <c r="M99" i="7" s="1"/>
  <c r="M105" i="7" s="1"/>
  <c r="M784" i="7"/>
  <c r="P669" i="7"/>
  <c r="P93" i="7" s="1"/>
  <c r="P99" i="7" s="1"/>
  <c r="P105" i="7" s="1"/>
  <c r="O93" i="7"/>
  <c r="O99" i="7" s="1"/>
  <c r="O105" i="7" s="1"/>
  <c r="P784" i="7"/>
  <c r="B645" i="7" l="1"/>
  <c r="C645" i="7" s="1"/>
  <c r="D645" i="7" s="1"/>
  <c r="E645" i="7" s="1"/>
  <c r="F645" i="7" s="1"/>
  <c r="G645" i="7" s="1"/>
  <c r="H645" i="7" s="1"/>
  <c r="I645" i="7" s="1"/>
  <c r="J645" i="7" s="1"/>
  <c r="K645" i="7" s="1"/>
  <c r="L645" i="7" s="1"/>
  <c r="M645" i="7" s="1"/>
  <c r="N645" i="7" s="1"/>
  <c r="O645" i="7" s="1"/>
  <c r="P645" i="7" s="1"/>
  <c r="Q645" i="7" s="1"/>
  <c r="R645" i="7" s="1"/>
  <c r="S645" i="7" s="1"/>
  <c r="T645" i="7" s="1"/>
  <c r="U645" i="7" s="1"/>
  <c r="V645" i="7" s="1"/>
  <c r="W645" i="7" s="1"/>
  <c r="X645" i="7" s="1"/>
  <c r="Y645" i="7" s="1"/>
  <c r="Z645" i="7" s="1"/>
  <c r="AA645" i="7" s="1"/>
  <c r="AB645" i="7" s="1"/>
  <c r="AC645" i="7" s="1"/>
  <c r="AD645" i="7" s="1"/>
  <c r="AE645" i="7" s="1"/>
  <c r="AF645" i="7" s="1"/>
  <c r="AG645" i="7" s="1"/>
  <c r="AH645" i="7" s="1"/>
  <c r="AI645" i="7" s="1"/>
  <c r="AJ645" i="7" s="1"/>
  <c r="AK645" i="7" s="1"/>
  <c r="AL645" i="7" s="1"/>
  <c r="AM645" i="7" s="1"/>
  <c r="AN645" i="7" s="1"/>
  <c r="AO645" i="7" s="1"/>
  <c r="AP645" i="7" s="1"/>
  <c r="B109" i="7"/>
  <c r="B110" i="7" s="1"/>
  <c r="F76" i="7"/>
  <c r="Q210" i="7"/>
  <c r="E247" i="7"/>
  <c r="F247" i="7"/>
  <c r="Q76" i="7"/>
  <c r="E76" i="7"/>
  <c r="B93" i="7"/>
  <c r="B99" i="7" s="1"/>
  <c r="B105" i="7" s="1"/>
  <c r="T210" i="7"/>
  <c r="T76" i="7"/>
  <c r="G76" i="7"/>
  <c r="S76" i="7"/>
  <c r="G210" i="7"/>
  <c r="S247" i="7"/>
  <c r="M210" i="7"/>
  <c r="M247" i="7"/>
  <c r="M76" i="7"/>
  <c r="I247" i="7"/>
  <c r="I210" i="7"/>
  <c r="I76" i="7"/>
  <c r="L210" i="7"/>
  <c r="L76" i="7"/>
  <c r="L247" i="7"/>
  <c r="H247" i="7"/>
  <c r="H210" i="7"/>
  <c r="H76" i="7"/>
  <c r="K247" i="7"/>
  <c r="K210" i="7"/>
  <c r="K76" i="7"/>
  <c r="R210" i="7"/>
  <c r="R247" i="7"/>
  <c r="R76" i="7"/>
  <c r="O76" i="7"/>
  <c r="O247" i="7"/>
  <c r="O210" i="7"/>
  <c r="C247" i="7"/>
  <c r="C210" i="7"/>
  <c r="C76" i="7"/>
  <c r="P210" i="7"/>
  <c r="P76" i="7"/>
  <c r="P247" i="7"/>
  <c r="D210" i="7"/>
  <c r="D76" i="7"/>
  <c r="D247" i="7"/>
  <c r="N210" i="7"/>
  <c r="N247" i="7"/>
  <c r="N76" i="7"/>
  <c r="F21" i="1" l="1"/>
  <c r="F442" i="7"/>
  <c r="B111" i="7"/>
  <c r="B190" i="7" s="1"/>
  <c r="F304" i="7"/>
  <c r="F303" i="7"/>
  <c r="F302" i="7"/>
  <c r="F300" i="7"/>
  <c r="F441" i="7"/>
  <c r="F440" i="7"/>
  <c r="F438" i="7"/>
  <c r="F19" i="1"/>
  <c r="F439" i="7"/>
  <c r="F299" i="7"/>
  <c r="F301" i="7"/>
  <c r="F437" i="7"/>
  <c r="C211" i="7"/>
  <c r="C77" i="7"/>
  <c r="C78" i="7" s="1"/>
  <c r="C248" i="7"/>
  <c r="F23" i="1" l="1"/>
  <c r="F20" i="1"/>
  <c r="B170" i="7"/>
  <c r="B173" i="7" s="1"/>
  <c r="B117" i="7"/>
  <c r="F436" i="7"/>
  <c r="F443" i="7" s="1"/>
  <c r="C443" i="7"/>
  <c r="C305" i="7"/>
  <c r="F298" i="7"/>
  <c r="F305" i="7" s="1"/>
  <c r="B113" i="7"/>
  <c r="B118" i="7" s="1"/>
  <c r="C112" i="7"/>
  <c r="C113" i="7" s="1"/>
  <c r="C118" i="7" s="1"/>
  <c r="B165" i="7" l="1"/>
  <c r="B166" i="7" s="1"/>
  <c r="B192" i="7"/>
  <c r="B195" i="7" s="1"/>
  <c r="B199" i="7" s="1"/>
  <c r="B142" i="7"/>
  <c r="B119" i="7"/>
  <c r="B134" i="7" s="1"/>
  <c r="C119" i="7"/>
  <c r="H442" i="7"/>
  <c r="K442" i="7" s="1"/>
  <c r="L442" i="7" s="1"/>
  <c r="H304" i="7"/>
  <c r="K304" i="7" s="1"/>
  <c r="L304" i="7" s="1"/>
  <c r="D77" i="7"/>
  <c r="D78" i="7" s="1"/>
  <c r="D211" i="7"/>
  <c r="D248" i="7"/>
  <c r="H300" i="7"/>
  <c r="K300" i="7" s="1"/>
  <c r="L300" i="7" s="1"/>
  <c r="H303" i="7"/>
  <c r="H299" i="7"/>
  <c r="K299" i="7" s="1"/>
  <c r="L299" i="7" s="1"/>
  <c r="H302" i="7"/>
  <c r="K302" i="7" s="1"/>
  <c r="L302" i="7" s="1"/>
  <c r="H301" i="7"/>
  <c r="K301" i="7" s="1"/>
  <c r="L301" i="7" s="1"/>
  <c r="H298" i="7"/>
  <c r="H437" i="7"/>
  <c r="K437" i="7" s="1"/>
  <c r="L437" i="7" s="1"/>
  <c r="H436" i="7"/>
  <c r="H439" i="7"/>
  <c r="K439" i="7" s="1"/>
  <c r="L439" i="7" s="1"/>
  <c r="H441" i="7"/>
  <c r="H438" i="7"/>
  <c r="K438" i="7" s="1"/>
  <c r="L438" i="7" s="1"/>
  <c r="H440" i="7"/>
  <c r="K440" i="7" s="1"/>
  <c r="L440" i="7" s="1"/>
  <c r="B167" i="7" l="1"/>
  <c r="C164" i="7" s="1"/>
  <c r="C166" i="7" s="1"/>
  <c r="C191" i="7" s="1"/>
  <c r="B176" i="7"/>
  <c r="B181" i="7" s="1"/>
  <c r="I304" i="7"/>
  <c r="J304" i="7" s="1"/>
  <c r="I442" i="7"/>
  <c r="J442" i="7" s="1"/>
  <c r="N304" i="7" s="1"/>
  <c r="H443" i="7"/>
  <c r="K441" i="7"/>
  <c r="L441" i="7" s="1"/>
  <c r="K303" i="7"/>
  <c r="L303" i="7" s="1"/>
  <c r="H305" i="7"/>
  <c r="D112" i="7"/>
  <c r="D113" i="7" s="1"/>
  <c r="D118" i="7" s="1"/>
  <c r="K436" i="7"/>
  <c r="L436" i="7" s="1"/>
  <c r="I299" i="7"/>
  <c r="J299" i="7" s="1"/>
  <c r="I300" i="7"/>
  <c r="J300" i="7" s="1"/>
  <c r="I303" i="7"/>
  <c r="J303" i="7" s="1"/>
  <c r="I302" i="7"/>
  <c r="J302" i="7" s="1"/>
  <c r="I298" i="7"/>
  <c r="J298" i="7" s="1"/>
  <c r="I301" i="7"/>
  <c r="J301" i="7" s="1"/>
  <c r="I439" i="7"/>
  <c r="J439" i="7" s="1"/>
  <c r="N439" i="7" s="1"/>
  <c r="O439" i="7" s="1"/>
  <c r="Q439" i="7" s="1"/>
  <c r="I441" i="7"/>
  <c r="J441" i="7" s="1"/>
  <c r="I437" i="7"/>
  <c r="J437" i="7" s="1"/>
  <c r="N437" i="7" s="1"/>
  <c r="O437" i="7" s="1"/>
  <c r="I438" i="7"/>
  <c r="J438" i="7" s="1"/>
  <c r="N300" i="7" s="1"/>
  <c r="O300" i="7" s="1"/>
  <c r="Q300" i="7" s="1"/>
  <c r="I436" i="7"/>
  <c r="J436" i="7" s="1"/>
  <c r="I440" i="7"/>
  <c r="J440" i="7" s="1"/>
  <c r="N302" i="7" s="1"/>
  <c r="O302" i="7" s="1"/>
  <c r="Q302" i="7" s="1"/>
  <c r="K298" i="7"/>
  <c r="L298" i="7" s="1"/>
  <c r="C172" i="7" l="1"/>
  <c r="C167" i="7"/>
  <c r="D164" i="7" s="1"/>
  <c r="D166" i="7" s="1"/>
  <c r="D191" i="7" s="1"/>
  <c r="D119" i="7"/>
  <c r="N442" i="7"/>
  <c r="O442" i="7" s="1"/>
  <c r="Q442" i="7" s="1"/>
  <c r="L443" i="7"/>
  <c r="AP343" i="7"/>
  <c r="AL343" i="7"/>
  <c r="AH343" i="7"/>
  <c r="AD343" i="7"/>
  <c r="Z343" i="7"/>
  <c r="V343" i="7"/>
  <c r="R343" i="7"/>
  <c r="N343" i="7"/>
  <c r="J343" i="7"/>
  <c r="F343" i="7"/>
  <c r="P343" i="7"/>
  <c r="AO343" i="7"/>
  <c r="AK343" i="7"/>
  <c r="AG343" i="7"/>
  <c r="AC343" i="7"/>
  <c r="Y343" i="7"/>
  <c r="U343" i="7"/>
  <c r="Q343" i="7"/>
  <c r="M343" i="7"/>
  <c r="I343" i="7"/>
  <c r="E343" i="7"/>
  <c r="AN343" i="7"/>
  <c r="AJ343" i="7"/>
  <c r="AF343" i="7"/>
  <c r="AB343" i="7"/>
  <c r="X343" i="7"/>
  <c r="T343" i="7"/>
  <c r="L343" i="7"/>
  <c r="H343" i="7"/>
  <c r="D343" i="7"/>
  <c r="AM343" i="7"/>
  <c r="W343" i="7"/>
  <c r="G343" i="7"/>
  <c r="AA343" i="7"/>
  <c r="AI343" i="7"/>
  <c r="S343" i="7"/>
  <c r="C343" i="7"/>
  <c r="AE343" i="7"/>
  <c r="O343" i="7"/>
  <c r="K343" i="7"/>
  <c r="AP345" i="7"/>
  <c r="AL345" i="7"/>
  <c r="AH345" i="7"/>
  <c r="AD345" i="7"/>
  <c r="Z345" i="7"/>
  <c r="V345" i="7"/>
  <c r="R345" i="7"/>
  <c r="N345" i="7"/>
  <c r="J345" i="7"/>
  <c r="F345" i="7"/>
  <c r="AJ345" i="7"/>
  <c r="AB345" i="7"/>
  <c r="AO345" i="7"/>
  <c r="AK345" i="7"/>
  <c r="AG345" i="7"/>
  <c r="AC345" i="7"/>
  <c r="Y345" i="7"/>
  <c r="U345" i="7"/>
  <c r="Q345" i="7"/>
  <c r="M345" i="7"/>
  <c r="I345" i="7"/>
  <c r="E345" i="7"/>
  <c r="AN345" i="7"/>
  <c r="AF345" i="7"/>
  <c r="X345" i="7"/>
  <c r="P345" i="7"/>
  <c r="L345" i="7"/>
  <c r="H345" i="7"/>
  <c r="D345" i="7"/>
  <c r="AE345" i="7"/>
  <c r="S345" i="7"/>
  <c r="C345" i="7"/>
  <c r="T345" i="7"/>
  <c r="AA345" i="7"/>
  <c r="O345" i="7"/>
  <c r="AM345" i="7"/>
  <c r="W345" i="7"/>
  <c r="K345" i="7"/>
  <c r="AI345" i="7"/>
  <c r="G345" i="7"/>
  <c r="N303" i="7"/>
  <c r="O303" i="7" s="1"/>
  <c r="Q303" i="7" s="1"/>
  <c r="J443" i="7"/>
  <c r="J305" i="7"/>
  <c r="L305" i="7"/>
  <c r="E211" i="7"/>
  <c r="E112" i="7"/>
  <c r="E113" i="7" s="1"/>
  <c r="E248" i="7"/>
  <c r="E77" i="7"/>
  <c r="E78" i="7" s="1"/>
  <c r="N301" i="7"/>
  <c r="O301" i="7" s="1"/>
  <c r="Q301" i="7" s="1"/>
  <c r="Q437" i="7"/>
  <c r="C125" i="7"/>
  <c r="C196" i="7" s="1"/>
  <c r="C251" i="7"/>
  <c r="N299" i="7"/>
  <c r="O299" i="7" s="1"/>
  <c r="Q299" i="7" s="1"/>
  <c r="N436" i="7"/>
  <c r="N298" i="7"/>
  <c r="N441" i="7"/>
  <c r="O441" i="7" s="1"/>
  <c r="Q441" i="7" s="1"/>
  <c r="N438" i="7"/>
  <c r="O438" i="7" s="1"/>
  <c r="Q438" i="7" s="1"/>
  <c r="N440" i="7"/>
  <c r="O440" i="7" s="1"/>
  <c r="Q440" i="7" s="1"/>
  <c r="P481" i="7"/>
  <c r="R481" i="7"/>
  <c r="H481" i="7"/>
  <c r="N481" i="7"/>
  <c r="AK481" i="7"/>
  <c r="V481" i="7"/>
  <c r="AJ481" i="7"/>
  <c r="AI481" i="7"/>
  <c r="F481" i="7"/>
  <c r="T481" i="7"/>
  <c r="AP481" i="7"/>
  <c r="AO481" i="7"/>
  <c r="L481" i="7"/>
  <c r="AE481" i="7"/>
  <c r="AB481" i="7"/>
  <c r="E481" i="7"/>
  <c r="U481" i="7"/>
  <c r="AM481" i="7"/>
  <c r="I481" i="7"/>
  <c r="O481" i="7"/>
  <c r="D481" i="7"/>
  <c r="M481" i="7"/>
  <c r="W481" i="7"/>
  <c r="C481" i="7"/>
  <c r="AA481" i="7"/>
  <c r="AG481" i="7"/>
  <c r="J481" i="7"/>
  <c r="K481" i="7"/>
  <c r="AC481" i="7"/>
  <c r="AN481" i="7"/>
  <c r="AL481" i="7"/>
  <c r="X481" i="7"/>
  <c r="AH481" i="7"/>
  <c r="AD481" i="7"/>
  <c r="Z481" i="7"/>
  <c r="G481" i="7"/>
  <c r="Q481" i="7"/>
  <c r="S481" i="7"/>
  <c r="AF481" i="7"/>
  <c r="Y481" i="7"/>
  <c r="AM344" i="7" l="1"/>
  <c r="AI344" i="7"/>
  <c r="AE344" i="7"/>
  <c r="AA344" i="7"/>
  <c r="W344" i="7"/>
  <c r="S344" i="7"/>
  <c r="O344" i="7"/>
  <c r="K344" i="7"/>
  <c r="G344" i="7"/>
  <c r="C344" i="7"/>
  <c r="AG344" i="7"/>
  <c r="U344" i="7"/>
  <c r="M344" i="7"/>
  <c r="E344" i="7"/>
  <c r="AJ344" i="7"/>
  <c r="AB344" i="7"/>
  <c r="T344" i="7"/>
  <c r="P344" i="7"/>
  <c r="H344" i="7"/>
  <c r="AP344" i="7"/>
  <c r="AL344" i="7"/>
  <c r="AH344" i="7"/>
  <c r="AD344" i="7"/>
  <c r="Z344" i="7"/>
  <c r="V344" i="7"/>
  <c r="R344" i="7"/>
  <c r="N344" i="7"/>
  <c r="J344" i="7"/>
  <c r="F344" i="7"/>
  <c r="AO344" i="7"/>
  <c r="AK344" i="7"/>
  <c r="AC344" i="7"/>
  <c r="Y344" i="7"/>
  <c r="Q344" i="7"/>
  <c r="I344" i="7"/>
  <c r="AN344" i="7"/>
  <c r="AF344" i="7"/>
  <c r="X344" i="7"/>
  <c r="L344" i="7"/>
  <c r="D344" i="7"/>
  <c r="N305" i="7"/>
  <c r="AP342" i="7"/>
  <c r="AL342" i="7"/>
  <c r="AH342" i="7"/>
  <c r="AD342" i="7"/>
  <c r="Z342" i="7"/>
  <c r="V342" i="7"/>
  <c r="R342" i="7"/>
  <c r="N342" i="7"/>
  <c r="J342" i="7"/>
  <c r="F342" i="7"/>
  <c r="D342" i="7"/>
  <c r="AO342" i="7"/>
  <c r="AK342" i="7"/>
  <c r="AG342" i="7"/>
  <c r="AC342" i="7"/>
  <c r="Y342" i="7"/>
  <c r="U342" i="7"/>
  <c r="Q342" i="7"/>
  <c r="M342" i="7"/>
  <c r="I342" i="7"/>
  <c r="E342" i="7"/>
  <c r="AN342" i="7"/>
  <c r="AJ342" i="7"/>
  <c r="AF342" i="7"/>
  <c r="AB342" i="7"/>
  <c r="X342" i="7"/>
  <c r="T342" i="7"/>
  <c r="P342" i="7"/>
  <c r="L342" i="7"/>
  <c r="H342" i="7"/>
  <c r="AE342" i="7"/>
  <c r="O342" i="7"/>
  <c r="AI342" i="7"/>
  <c r="C342" i="7"/>
  <c r="AA342" i="7"/>
  <c r="K342" i="7"/>
  <c r="AM342" i="7"/>
  <c r="W342" i="7"/>
  <c r="G342" i="7"/>
  <c r="S342" i="7"/>
  <c r="AP346" i="7"/>
  <c r="AL346" i="7"/>
  <c r="AH346" i="7"/>
  <c r="AD346" i="7"/>
  <c r="Z346" i="7"/>
  <c r="V346" i="7"/>
  <c r="R346" i="7"/>
  <c r="N346" i="7"/>
  <c r="J346" i="7"/>
  <c r="F346" i="7"/>
  <c r="AO346" i="7"/>
  <c r="AK346" i="7"/>
  <c r="AG346" i="7"/>
  <c r="AC346" i="7"/>
  <c r="Y346" i="7"/>
  <c r="U346" i="7"/>
  <c r="Q346" i="7"/>
  <c r="M346" i="7"/>
  <c r="I346" i="7"/>
  <c r="E346" i="7"/>
  <c r="AN346" i="7"/>
  <c r="AF346" i="7"/>
  <c r="X346" i="7"/>
  <c r="P346" i="7"/>
  <c r="H346" i="7"/>
  <c r="AI346" i="7"/>
  <c r="AA346" i="7"/>
  <c r="K346" i="7"/>
  <c r="AM346" i="7"/>
  <c r="AE346" i="7"/>
  <c r="W346" i="7"/>
  <c r="O346" i="7"/>
  <c r="G346" i="7"/>
  <c r="AJ346" i="7"/>
  <c r="AB346" i="7"/>
  <c r="T346" i="7"/>
  <c r="L346" i="7"/>
  <c r="D346" i="7"/>
  <c r="S346" i="7"/>
  <c r="C346" i="7"/>
  <c r="N443" i="7"/>
  <c r="O304" i="7"/>
  <c r="Q304" i="7" s="1"/>
  <c r="E118" i="7"/>
  <c r="P483" i="7"/>
  <c r="X483" i="7"/>
  <c r="AN483" i="7"/>
  <c r="K483" i="7"/>
  <c r="I483" i="7"/>
  <c r="T483" i="7"/>
  <c r="AC483" i="7"/>
  <c r="U483" i="7"/>
  <c r="AL483" i="7"/>
  <c r="AB483" i="7"/>
  <c r="M483" i="7"/>
  <c r="Z483" i="7"/>
  <c r="H483" i="7"/>
  <c r="AK483" i="7"/>
  <c r="V483" i="7"/>
  <c r="AM483" i="7"/>
  <c r="G483" i="7"/>
  <c r="E483" i="7"/>
  <c r="Q483" i="7"/>
  <c r="Y483" i="7"/>
  <c r="AO483" i="7"/>
  <c r="AH483" i="7"/>
  <c r="AE483" i="7"/>
  <c r="C483" i="7"/>
  <c r="AF483" i="7"/>
  <c r="AI483" i="7"/>
  <c r="D483" i="7"/>
  <c r="W483" i="7"/>
  <c r="AG483" i="7"/>
  <c r="R483" i="7"/>
  <c r="J483" i="7"/>
  <c r="AD483" i="7"/>
  <c r="N483" i="7"/>
  <c r="S483" i="7"/>
  <c r="O483" i="7"/>
  <c r="F483" i="7"/>
  <c r="L483" i="7"/>
  <c r="AA483" i="7"/>
  <c r="AJ483" i="7"/>
  <c r="AP483" i="7"/>
  <c r="O436" i="7"/>
  <c r="O443" i="7" s="1"/>
  <c r="B345" i="7" a="1"/>
  <c r="B345" i="7" s="1"/>
  <c r="O298" i="7"/>
  <c r="E479" i="7"/>
  <c r="U479" i="7"/>
  <c r="P479" i="7"/>
  <c r="AF479" i="7"/>
  <c r="AP479" i="7"/>
  <c r="D479" i="7"/>
  <c r="V479" i="7"/>
  <c r="L479" i="7"/>
  <c r="AG479" i="7"/>
  <c r="T479" i="7"/>
  <c r="AN479" i="7"/>
  <c r="F479" i="7"/>
  <c r="AB479" i="7"/>
  <c r="O479" i="7"/>
  <c r="Y479" i="7"/>
  <c r="R479" i="7"/>
  <c r="AO479" i="7"/>
  <c r="AD479" i="7"/>
  <c r="N479" i="7"/>
  <c r="Q479" i="7"/>
  <c r="AM479" i="7"/>
  <c r="K479" i="7"/>
  <c r="H479" i="7"/>
  <c r="C479" i="7"/>
  <c r="AJ479" i="7"/>
  <c r="M479" i="7"/>
  <c r="AA479" i="7"/>
  <c r="Z479" i="7"/>
  <c r="AK479" i="7"/>
  <c r="X479" i="7"/>
  <c r="I479" i="7"/>
  <c r="G479" i="7"/>
  <c r="W479" i="7"/>
  <c r="J479" i="7"/>
  <c r="AE479" i="7"/>
  <c r="AL479" i="7"/>
  <c r="AH479" i="7"/>
  <c r="S479" i="7"/>
  <c r="AI479" i="7"/>
  <c r="AC479" i="7"/>
  <c r="B343" i="7" a="1"/>
  <c r="B343" i="7" s="1"/>
  <c r="B481" i="7" a="1"/>
  <c r="B481" i="7" s="1"/>
  <c r="C482" i="7"/>
  <c r="AL482" i="7"/>
  <c r="AO482" i="7"/>
  <c r="AG482" i="7"/>
  <c r="AN482" i="7"/>
  <c r="AK482" i="7"/>
  <c r="D482" i="7"/>
  <c r="AC482" i="7"/>
  <c r="Z482" i="7"/>
  <c r="H482" i="7"/>
  <c r="T482" i="7"/>
  <c r="AM482" i="7"/>
  <c r="AD482" i="7"/>
  <c r="Q482" i="7"/>
  <c r="J482" i="7"/>
  <c r="Y482" i="7"/>
  <c r="M482" i="7"/>
  <c r="AB482" i="7"/>
  <c r="AA482" i="7"/>
  <c r="AH482" i="7"/>
  <c r="S482" i="7"/>
  <c r="V482" i="7"/>
  <c r="X482" i="7"/>
  <c r="AF482" i="7"/>
  <c r="W482" i="7"/>
  <c r="E482" i="7"/>
  <c r="K482" i="7"/>
  <c r="O482" i="7"/>
  <c r="L482" i="7"/>
  <c r="AE482" i="7"/>
  <c r="I482" i="7"/>
  <c r="AI482" i="7"/>
  <c r="N482" i="7"/>
  <c r="AJ482" i="7"/>
  <c r="P482" i="7"/>
  <c r="G482" i="7"/>
  <c r="F482" i="7"/>
  <c r="AP482" i="7"/>
  <c r="R482" i="7"/>
  <c r="U482" i="7"/>
  <c r="AD480" i="7"/>
  <c r="R480" i="7"/>
  <c r="S480" i="7"/>
  <c r="E480" i="7"/>
  <c r="AK480" i="7"/>
  <c r="U480" i="7"/>
  <c r="M480" i="7"/>
  <c r="L480" i="7"/>
  <c r="AL480" i="7"/>
  <c r="AO480" i="7"/>
  <c r="N480" i="7"/>
  <c r="AF480" i="7"/>
  <c r="Q480" i="7"/>
  <c r="AP480" i="7"/>
  <c r="AN480" i="7"/>
  <c r="C480" i="7"/>
  <c r="AC480" i="7"/>
  <c r="X480" i="7"/>
  <c r="T480" i="7"/>
  <c r="Y480" i="7"/>
  <c r="I480" i="7"/>
  <c r="AI480" i="7"/>
  <c r="H480" i="7"/>
  <c r="V480" i="7"/>
  <c r="AA480" i="7"/>
  <c r="O480" i="7"/>
  <c r="J480" i="7"/>
  <c r="F480" i="7"/>
  <c r="G480" i="7"/>
  <c r="AJ480" i="7"/>
  <c r="K480" i="7"/>
  <c r="AB480" i="7"/>
  <c r="P480" i="7"/>
  <c r="AH480" i="7"/>
  <c r="Z480" i="7"/>
  <c r="AE480" i="7"/>
  <c r="D480" i="7"/>
  <c r="AG480" i="7"/>
  <c r="AM480" i="7"/>
  <c r="W480" i="7"/>
  <c r="D167" i="7" l="1"/>
  <c r="E164" i="7" s="1"/>
  <c r="E119" i="7"/>
  <c r="O305" i="7"/>
  <c r="B344" i="7" a="1"/>
  <c r="B344" i="7" s="1"/>
  <c r="B342" i="7" a="1"/>
  <c r="B342" i="7" s="1"/>
  <c r="F77" i="7"/>
  <c r="F78" i="7" s="1"/>
  <c r="F248" i="7"/>
  <c r="F211" i="7"/>
  <c r="B480" i="7" a="1"/>
  <c r="B480" i="7" s="1"/>
  <c r="B479" i="7" a="1"/>
  <c r="B479" i="7" s="1"/>
  <c r="Q298" i="7"/>
  <c r="Q305" i="7" s="1"/>
  <c r="B482" i="7" a="1"/>
  <c r="B482" i="7" s="1"/>
  <c r="P436" i="7"/>
  <c r="E166" i="7" l="1"/>
  <c r="E191" i="7" s="1"/>
  <c r="AP341" i="7"/>
  <c r="AP349" i="7" s="1"/>
  <c r="AL341" i="7"/>
  <c r="AL349" i="7" s="1"/>
  <c r="AH341" i="7"/>
  <c r="AH349" i="7" s="1"/>
  <c r="AD341" i="7"/>
  <c r="AD349" i="7" s="1"/>
  <c r="Z341" i="7"/>
  <c r="Z349" i="7" s="1"/>
  <c r="Z212" i="7" s="1"/>
  <c r="Z213" i="7" s="1"/>
  <c r="Z241" i="7" s="1"/>
  <c r="Z243" i="7" s="1"/>
  <c r="V341" i="7"/>
  <c r="V349" i="7" s="1"/>
  <c r="V212" i="7" s="1"/>
  <c r="V213" i="7" s="1"/>
  <c r="V241" i="7" s="1"/>
  <c r="V243" i="7" s="1"/>
  <c r="R341" i="7"/>
  <c r="R349" i="7" s="1"/>
  <c r="R212" i="7" s="1"/>
  <c r="N341" i="7"/>
  <c r="N349" i="7" s="1"/>
  <c r="N212" i="7" s="1"/>
  <c r="J341" i="7"/>
  <c r="J349" i="7" s="1"/>
  <c r="J212" i="7" s="1"/>
  <c r="F341" i="7"/>
  <c r="F349" i="7" s="1"/>
  <c r="F212" i="7" s="1"/>
  <c r="F213" i="7" s="1"/>
  <c r="F241" i="7" s="1"/>
  <c r="F243" i="7" s="1"/>
  <c r="AJ341" i="7"/>
  <c r="AJ349" i="7" s="1"/>
  <c r="AO341" i="7"/>
  <c r="AO349" i="7" s="1"/>
  <c r="AK341" i="7"/>
  <c r="AK349" i="7" s="1"/>
  <c r="AG341" i="7"/>
  <c r="AG349" i="7" s="1"/>
  <c r="AC341" i="7"/>
  <c r="AC349" i="7" s="1"/>
  <c r="Y341" i="7"/>
  <c r="Y349" i="7" s="1"/>
  <c r="Y212" i="7" s="1"/>
  <c r="Y213" i="7" s="1"/>
  <c r="Y241" i="7" s="1"/>
  <c r="Y243" i="7" s="1"/>
  <c r="U341" i="7"/>
  <c r="U349" i="7" s="1"/>
  <c r="U212" i="7" s="1"/>
  <c r="U213" i="7" s="1"/>
  <c r="U241" i="7" s="1"/>
  <c r="U243" i="7" s="1"/>
  <c r="Q341" i="7"/>
  <c r="Q349" i="7" s="1"/>
  <c r="Q212" i="7" s="1"/>
  <c r="M341" i="7"/>
  <c r="M349" i="7" s="1"/>
  <c r="M212" i="7" s="1"/>
  <c r="I341" i="7"/>
  <c r="I349" i="7" s="1"/>
  <c r="I212" i="7" s="1"/>
  <c r="E341" i="7"/>
  <c r="E349" i="7" s="1"/>
  <c r="E212" i="7" s="1"/>
  <c r="E213" i="7" s="1"/>
  <c r="E241" i="7" s="1"/>
  <c r="E243" i="7" s="1"/>
  <c r="AN341" i="7"/>
  <c r="AN349" i="7" s="1"/>
  <c r="AF341" i="7"/>
  <c r="AF349" i="7" s="1"/>
  <c r="AB341" i="7"/>
  <c r="AB349" i="7" s="1"/>
  <c r="X341" i="7"/>
  <c r="X349" i="7" s="1"/>
  <c r="X212" i="7" s="1"/>
  <c r="X213" i="7" s="1"/>
  <c r="X241" i="7" s="1"/>
  <c r="X243" i="7" s="1"/>
  <c r="T341" i="7"/>
  <c r="T349" i="7" s="1"/>
  <c r="T212" i="7" s="1"/>
  <c r="P341" i="7"/>
  <c r="P349" i="7" s="1"/>
  <c r="P212" i="7" s="1"/>
  <c r="L341" i="7"/>
  <c r="L349" i="7" s="1"/>
  <c r="L212" i="7" s="1"/>
  <c r="H341" i="7"/>
  <c r="H349" i="7" s="1"/>
  <c r="H212" i="7" s="1"/>
  <c r="D341" i="7"/>
  <c r="D349" i="7" s="1"/>
  <c r="AM341" i="7"/>
  <c r="AM349" i="7" s="1"/>
  <c r="W341" i="7"/>
  <c r="W349" i="7" s="1"/>
  <c r="W212" i="7" s="1"/>
  <c r="W213" i="7" s="1"/>
  <c r="W241" i="7" s="1"/>
  <c r="W243" i="7" s="1"/>
  <c r="G341" i="7"/>
  <c r="G349" i="7" s="1"/>
  <c r="G212" i="7" s="1"/>
  <c r="K341" i="7"/>
  <c r="K349" i="7" s="1"/>
  <c r="K212" i="7" s="1"/>
  <c r="AI341" i="7"/>
  <c r="AI349" i="7" s="1"/>
  <c r="S341" i="7"/>
  <c r="S349" i="7" s="1"/>
  <c r="S212" i="7" s="1"/>
  <c r="C341" i="7"/>
  <c r="C349" i="7" s="1"/>
  <c r="AE341" i="7"/>
  <c r="AE349" i="7" s="1"/>
  <c r="O341" i="7"/>
  <c r="O349" i="7" s="1"/>
  <c r="O212" i="7" s="1"/>
  <c r="AA341" i="7"/>
  <c r="AA349" i="7" s="1"/>
  <c r="AA212" i="7" s="1"/>
  <c r="AA213" i="7" s="1"/>
  <c r="AA241" i="7" s="1"/>
  <c r="AA243" i="7" s="1"/>
  <c r="P443" i="7"/>
  <c r="C485" i="7" s="1"/>
  <c r="B485" i="7" s="1" a="1"/>
  <c r="B485" i="7" s="1"/>
  <c r="F112" i="7"/>
  <c r="F113" i="7" s="1"/>
  <c r="F118" i="7" s="1"/>
  <c r="Q436" i="7"/>
  <c r="Q443" i="7" s="1"/>
  <c r="E167" i="7" l="1"/>
  <c r="F164" i="7" s="1"/>
  <c r="F166" i="7" s="1"/>
  <c r="F191" i="7" s="1"/>
  <c r="F119" i="7"/>
  <c r="D212" i="7"/>
  <c r="D213" i="7" s="1"/>
  <c r="D241" i="7" s="1"/>
  <c r="D243" i="7" s="1"/>
  <c r="D131" i="7" s="1"/>
  <c r="B349" i="7" a="1"/>
  <c r="B349" i="7" s="1"/>
  <c r="Y250" i="7"/>
  <c r="Y131" i="7"/>
  <c r="V250" i="7"/>
  <c r="V131" i="7"/>
  <c r="U250" i="7"/>
  <c r="U131" i="7"/>
  <c r="C212" i="7"/>
  <c r="C213" i="7" s="1"/>
  <c r="C241" i="7" s="1"/>
  <c r="C243" i="7" s="1"/>
  <c r="E250" i="7"/>
  <c r="E131" i="7"/>
  <c r="F250" i="7"/>
  <c r="F131" i="7"/>
  <c r="C478" i="7"/>
  <c r="C486" i="7" s="1"/>
  <c r="AI478" i="7"/>
  <c r="AI486" i="7" s="1"/>
  <c r="AP478" i="7"/>
  <c r="AP486" i="7" s="1"/>
  <c r="I478" i="7"/>
  <c r="I486" i="7" s="1"/>
  <c r="I249" i="7" s="1"/>
  <c r="AJ478" i="7"/>
  <c r="AJ486" i="7" s="1"/>
  <c r="AC478" i="7"/>
  <c r="AC486" i="7" s="1"/>
  <c r="AG478" i="7"/>
  <c r="AG486" i="7" s="1"/>
  <c r="AM478" i="7"/>
  <c r="AM486" i="7" s="1"/>
  <c r="AK478" i="7"/>
  <c r="AK486" i="7" s="1"/>
  <c r="T478" i="7"/>
  <c r="T486" i="7" s="1"/>
  <c r="T249" i="7" s="1"/>
  <c r="D478" i="7"/>
  <c r="D486" i="7" s="1"/>
  <c r="D249" i="7" s="1"/>
  <c r="K478" i="7"/>
  <c r="K486" i="7" s="1"/>
  <c r="K249" i="7" s="1"/>
  <c r="AO478" i="7"/>
  <c r="AO486" i="7" s="1"/>
  <c r="L478" i="7"/>
  <c r="L486" i="7" s="1"/>
  <c r="L249" i="7" s="1"/>
  <c r="G478" i="7"/>
  <c r="G486" i="7" s="1"/>
  <c r="G249" i="7" s="1"/>
  <c r="AB478" i="7"/>
  <c r="AB486" i="7" s="1"/>
  <c r="AN478" i="7"/>
  <c r="AN486" i="7" s="1"/>
  <c r="S478" i="7"/>
  <c r="S486" i="7" s="1"/>
  <c r="S249" i="7" s="1"/>
  <c r="E478" i="7"/>
  <c r="E486" i="7" s="1"/>
  <c r="E249" i="7" s="1"/>
  <c r="P478" i="7"/>
  <c r="P486" i="7" s="1"/>
  <c r="P249" i="7" s="1"/>
  <c r="AD478" i="7"/>
  <c r="AD486" i="7" s="1"/>
  <c r="AE478" i="7"/>
  <c r="AE486" i="7" s="1"/>
  <c r="AL478" i="7"/>
  <c r="AL486" i="7" s="1"/>
  <c r="J478" i="7"/>
  <c r="J486" i="7" s="1"/>
  <c r="J249" i="7" s="1"/>
  <c r="H478" i="7"/>
  <c r="H486" i="7" s="1"/>
  <c r="H249" i="7" s="1"/>
  <c r="AF478" i="7"/>
  <c r="AF486" i="7" s="1"/>
  <c r="M478" i="7"/>
  <c r="M486" i="7" s="1"/>
  <c r="M249" i="7" s="1"/>
  <c r="AH478" i="7"/>
  <c r="AH486" i="7" s="1"/>
  <c r="W478" i="7"/>
  <c r="W486" i="7" s="1"/>
  <c r="W249" i="7" s="1"/>
  <c r="U478" i="7"/>
  <c r="U486" i="7" s="1"/>
  <c r="U249" i="7" s="1"/>
  <c r="Z478" i="7"/>
  <c r="Z486" i="7" s="1"/>
  <c r="Z249" i="7" s="1"/>
  <c r="O478" i="7"/>
  <c r="O486" i="7" s="1"/>
  <c r="O249" i="7" s="1"/>
  <c r="R478" i="7"/>
  <c r="R486" i="7" s="1"/>
  <c r="R249" i="7" s="1"/>
  <c r="Q478" i="7"/>
  <c r="Q486" i="7" s="1"/>
  <c r="Q249" i="7" s="1"/>
  <c r="AA478" i="7"/>
  <c r="AA486" i="7" s="1"/>
  <c r="AA249" i="7" s="1"/>
  <c r="F478" i="7"/>
  <c r="F486" i="7" s="1"/>
  <c r="F249" i="7" s="1"/>
  <c r="X478" i="7"/>
  <c r="X486" i="7" s="1"/>
  <c r="X249" i="7" s="1"/>
  <c r="Y478" i="7"/>
  <c r="Y486" i="7" s="1"/>
  <c r="Y249" i="7" s="1"/>
  <c r="N478" i="7"/>
  <c r="N486" i="7" s="1"/>
  <c r="N249" i="7" s="1"/>
  <c r="V478" i="7"/>
  <c r="V486" i="7" s="1"/>
  <c r="V249" i="7" s="1"/>
  <c r="W250" i="7"/>
  <c r="W131" i="7"/>
  <c r="X250" i="7"/>
  <c r="X131" i="7"/>
  <c r="Z250" i="7"/>
  <c r="Z131" i="7"/>
  <c r="AA250" i="7"/>
  <c r="AA131" i="7"/>
  <c r="F167" i="7" l="1"/>
  <c r="G164" i="7" s="1"/>
  <c r="D250" i="7"/>
  <c r="Y253" i="7"/>
  <c r="Y281" i="7" s="1"/>
  <c r="U253" i="7"/>
  <c r="U281" i="7" s="1"/>
  <c r="V253" i="7"/>
  <c r="V281" i="7" s="1"/>
  <c r="E253" i="7"/>
  <c r="E281" i="7" s="1"/>
  <c r="E283" i="7" s="1"/>
  <c r="E142" i="7" s="1"/>
  <c r="F253" i="7"/>
  <c r="F281" i="7" s="1"/>
  <c r="F283" i="7" s="1"/>
  <c r="F142" i="7" s="1"/>
  <c r="G211" i="7"/>
  <c r="G213" i="7" s="1"/>
  <c r="G241" i="7" s="1"/>
  <c r="G243" i="7" s="1"/>
  <c r="G77" i="7"/>
  <c r="G78" i="7" s="1"/>
  <c r="G248" i="7"/>
  <c r="X253" i="7"/>
  <c r="X281" i="7" s="1"/>
  <c r="W253" i="7"/>
  <c r="W281" i="7" s="1"/>
  <c r="C250" i="7"/>
  <c r="C131" i="7"/>
  <c r="B478" i="7" a="1"/>
  <c r="B478" i="7" s="1"/>
  <c r="AA253" i="7"/>
  <c r="AA281" i="7" s="1"/>
  <c r="Z253" i="7"/>
  <c r="Z281" i="7" s="1"/>
  <c r="D253" i="7"/>
  <c r="D281" i="7" s="1"/>
  <c r="AA283" i="7" l="1"/>
  <c r="AA142" i="7" s="1"/>
  <c r="W283" i="7"/>
  <c r="W142" i="7" s="1"/>
  <c r="V283" i="7"/>
  <c r="V142" i="7" s="1"/>
  <c r="D283" i="7"/>
  <c r="D142" i="7" s="1"/>
  <c r="X283" i="7"/>
  <c r="X142" i="7" s="1"/>
  <c r="U283" i="7"/>
  <c r="U142" i="7" s="1"/>
  <c r="Z283" i="7"/>
  <c r="Z142" i="7" s="1"/>
  <c r="Y283" i="7"/>
  <c r="Y142" i="7" s="1"/>
  <c r="F132" i="7"/>
  <c r="F133" i="7" s="1"/>
  <c r="F198" i="7" s="1"/>
  <c r="E132" i="7"/>
  <c r="E133" i="7" s="1"/>
  <c r="E198" i="7" s="1"/>
  <c r="B486" i="7" a="1"/>
  <c r="B486" i="7" s="1"/>
  <c r="C249" i="7"/>
  <c r="C253" i="7" s="1"/>
  <c r="C281" i="7" s="1"/>
  <c r="G112" i="7"/>
  <c r="G113" i="7" s="1"/>
  <c r="G118" i="7" s="1"/>
  <c r="G131" i="7"/>
  <c r="G250" i="7"/>
  <c r="G253" i="7" s="1"/>
  <c r="G281" i="7" s="1"/>
  <c r="G166" i="7" l="1"/>
  <c r="G191" i="7" s="1"/>
  <c r="G119" i="7"/>
  <c r="E134" i="7"/>
  <c r="F134" i="7"/>
  <c r="V132" i="7"/>
  <c r="V133" i="7" s="1"/>
  <c r="V198" i="7" s="1"/>
  <c r="W132" i="7"/>
  <c r="W133" i="7" s="1"/>
  <c r="W198" i="7" s="1"/>
  <c r="X132" i="7"/>
  <c r="X133" i="7" s="1"/>
  <c r="X198" i="7" s="1"/>
  <c r="D132" i="7"/>
  <c r="D133" i="7" s="1"/>
  <c r="D198" i="7" s="1"/>
  <c r="AA132" i="7"/>
  <c r="AA133" i="7" s="1"/>
  <c r="AA198" i="7" s="1"/>
  <c r="Z132" i="7"/>
  <c r="Z133" i="7" s="1"/>
  <c r="Z198" i="7" s="1"/>
  <c r="Y132" i="7"/>
  <c r="Y133" i="7" s="1"/>
  <c r="Y198" i="7" s="1"/>
  <c r="U132" i="7"/>
  <c r="U133" i="7" s="1"/>
  <c r="U198" i="7" s="1"/>
  <c r="G283" i="7"/>
  <c r="G142" i="7" s="1"/>
  <c r="C283" i="7"/>
  <c r="C142" i="7" s="1"/>
  <c r="G167" i="7" l="1"/>
  <c r="H164" i="7" s="1"/>
  <c r="AA134" i="7"/>
  <c r="U134" i="7"/>
  <c r="D134" i="7"/>
  <c r="X134" i="7"/>
  <c r="Z134" i="7"/>
  <c r="W134" i="7"/>
  <c r="Y134" i="7"/>
  <c r="V134" i="7"/>
  <c r="C132" i="7"/>
  <c r="C133" i="7" s="1"/>
  <c r="C198" i="7" s="1"/>
  <c r="G132" i="7"/>
  <c r="G133" i="7" s="1"/>
  <c r="G198" i="7" s="1"/>
  <c r="H248" i="7"/>
  <c r="H77" i="7"/>
  <c r="H78" i="7" s="1"/>
  <c r="H211" i="7"/>
  <c r="H213" i="7" s="1"/>
  <c r="H241" i="7" s="1"/>
  <c r="H243" i="7" s="1"/>
  <c r="G134" i="7" l="1"/>
  <c r="C134" i="7"/>
  <c r="H112" i="7"/>
  <c r="H113" i="7" s="1"/>
  <c r="H118" i="7" s="1"/>
  <c r="H250" i="7"/>
  <c r="H253" i="7" s="1"/>
  <c r="H281" i="7" s="1"/>
  <c r="H131" i="7"/>
  <c r="H166" i="7" l="1"/>
  <c r="H191" i="7" s="1"/>
  <c r="H119" i="7"/>
  <c r="G136" i="7"/>
  <c r="E136" i="7"/>
  <c r="D136" i="7"/>
  <c r="F136" i="7"/>
  <c r="C136" i="7"/>
  <c r="C137" i="7" s="1"/>
  <c r="H283" i="7"/>
  <c r="H142" i="7" s="1"/>
  <c r="H167" i="7" l="1"/>
  <c r="I164" i="7" s="1"/>
  <c r="D137" i="7"/>
  <c r="E137" i="7"/>
  <c r="G137" i="7"/>
  <c r="F137" i="7"/>
  <c r="H132" i="7"/>
  <c r="H133" i="7" s="1"/>
  <c r="H198" i="7" s="1"/>
  <c r="I248" i="7"/>
  <c r="I77" i="7"/>
  <c r="I78" i="7" s="1"/>
  <c r="I211" i="7"/>
  <c r="I213" i="7" s="1"/>
  <c r="I241" i="7" s="1"/>
  <c r="I243" i="7" s="1"/>
  <c r="H134" i="7" l="1"/>
  <c r="I250" i="7"/>
  <c r="I253" i="7" s="1"/>
  <c r="I281" i="7" s="1"/>
  <c r="I131" i="7"/>
  <c r="I112" i="7"/>
  <c r="I113" i="7" s="1"/>
  <c r="I118" i="7" s="1"/>
  <c r="I166" i="7" l="1"/>
  <c r="I191" i="7" s="1"/>
  <c r="I119" i="7"/>
  <c r="H136" i="7"/>
  <c r="H137" i="7" s="1"/>
  <c r="I283" i="7"/>
  <c r="I142" i="7" s="1"/>
  <c r="I167" i="7" l="1"/>
  <c r="J164" i="7" s="1"/>
  <c r="I132" i="7"/>
  <c r="I133" i="7" s="1"/>
  <c r="I198" i="7" s="1"/>
  <c r="J77" i="7"/>
  <c r="J78" i="7" s="1"/>
  <c r="J248" i="7"/>
  <c r="J211" i="7"/>
  <c r="J213" i="7" s="1"/>
  <c r="J241" i="7" s="1"/>
  <c r="J243" i="7" s="1"/>
  <c r="I134" i="7" l="1"/>
  <c r="J112" i="7"/>
  <c r="J113" i="7" s="1"/>
  <c r="J118" i="7" s="1"/>
  <c r="J250" i="7"/>
  <c r="J253" i="7" s="1"/>
  <c r="J281" i="7" s="1"/>
  <c r="J131" i="7"/>
  <c r="J166" i="7" l="1"/>
  <c r="J191" i="7" s="1"/>
  <c r="J119" i="7"/>
  <c r="I136" i="7"/>
  <c r="I137" i="7" s="1"/>
  <c r="J283" i="7"/>
  <c r="J142" i="7" s="1"/>
  <c r="J167" i="7" l="1"/>
  <c r="K164" i="7" s="1"/>
  <c r="J132" i="7"/>
  <c r="J133" i="7" s="1"/>
  <c r="J198" i="7" s="1"/>
  <c r="K211" i="7"/>
  <c r="K213" i="7" s="1"/>
  <c r="K241" i="7" s="1"/>
  <c r="K243" i="7" s="1"/>
  <c r="K248" i="7"/>
  <c r="K77" i="7"/>
  <c r="K78" i="7" s="1"/>
  <c r="J134" i="7" l="1"/>
  <c r="J136" i="7" s="1"/>
  <c r="J137" i="7" s="1"/>
  <c r="K250" i="7"/>
  <c r="K253" i="7" s="1"/>
  <c r="K281" i="7" s="1"/>
  <c r="K131" i="7"/>
  <c r="K112" i="7"/>
  <c r="K113" i="7" s="1"/>
  <c r="K118" i="7" s="1"/>
  <c r="K166" i="7" l="1"/>
  <c r="K191" i="7" s="1"/>
  <c r="K119" i="7"/>
  <c r="K283" i="7"/>
  <c r="K142" i="7" s="1"/>
  <c r="K167" i="7" l="1"/>
  <c r="L164" i="7" s="1"/>
  <c r="K132" i="7"/>
  <c r="K133" i="7" s="1"/>
  <c r="K198" i="7" s="1"/>
  <c r="L248" i="7"/>
  <c r="L211" i="7"/>
  <c r="L213" i="7" s="1"/>
  <c r="L241" i="7" s="1"/>
  <c r="L243" i="7" s="1"/>
  <c r="L77" i="7"/>
  <c r="L78" i="7" s="1"/>
  <c r="K134" i="7" l="1"/>
  <c r="L131" i="7"/>
  <c r="L250" i="7"/>
  <c r="L253" i="7" s="1"/>
  <c r="L281" i="7" s="1"/>
  <c r="L112" i="7"/>
  <c r="L113" i="7" s="1"/>
  <c r="L118" i="7" s="1"/>
  <c r="L166" i="7" l="1"/>
  <c r="L191" i="7" s="1"/>
  <c r="L119" i="7"/>
  <c r="K136" i="7"/>
  <c r="K137" i="7" s="1"/>
  <c r="L283" i="7"/>
  <c r="L142" i="7" s="1"/>
  <c r="L167" i="7" l="1"/>
  <c r="M164" i="7" s="1"/>
  <c r="L132" i="7"/>
  <c r="L133" i="7" s="1"/>
  <c r="L198" i="7" s="1"/>
  <c r="M77" i="7"/>
  <c r="M78" i="7" s="1"/>
  <c r="M211" i="7"/>
  <c r="M213" i="7" s="1"/>
  <c r="M241" i="7" s="1"/>
  <c r="M243" i="7" s="1"/>
  <c r="M248" i="7"/>
  <c r="L134" i="7" l="1"/>
  <c r="M250" i="7"/>
  <c r="M253" i="7" s="1"/>
  <c r="M281" i="7" s="1"/>
  <c r="M131" i="7"/>
  <c r="M112" i="7"/>
  <c r="M113" i="7" s="1"/>
  <c r="M118" i="7" s="1"/>
  <c r="M166" i="7" l="1"/>
  <c r="M191" i="7" s="1"/>
  <c r="M119" i="7"/>
  <c r="L136" i="7"/>
  <c r="L137" i="7" s="1"/>
  <c r="M283" i="7"/>
  <c r="M142" i="7" s="1"/>
  <c r="M167" i="7" l="1"/>
  <c r="N164" i="7" s="1"/>
  <c r="M132" i="7"/>
  <c r="M133" i="7" s="1"/>
  <c r="M198" i="7" s="1"/>
  <c r="N211" i="7"/>
  <c r="N213" i="7" s="1"/>
  <c r="N241" i="7" s="1"/>
  <c r="N243" i="7" s="1"/>
  <c r="N77" i="7"/>
  <c r="N78" i="7" s="1"/>
  <c r="N248" i="7"/>
  <c r="M134" i="7" l="1"/>
  <c r="N250" i="7"/>
  <c r="N253" i="7" s="1"/>
  <c r="N281" i="7" s="1"/>
  <c r="N131" i="7"/>
  <c r="N112" i="7"/>
  <c r="N113" i="7" s="1"/>
  <c r="N118" i="7" s="1"/>
  <c r="N166" i="7" l="1"/>
  <c r="N191" i="7" s="1"/>
  <c r="N119" i="7"/>
  <c r="M136" i="7"/>
  <c r="M137" i="7" s="1"/>
  <c r="N283" i="7"/>
  <c r="N142" i="7" s="1"/>
  <c r="N167" i="7" l="1"/>
  <c r="O164" i="7" s="1"/>
  <c r="N132" i="7"/>
  <c r="N133" i="7" s="1"/>
  <c r="N198" i="7" s="1"/>
  <c r="O77" i="7"/>
  <c r="O78" i="7" s="1"/>
  <c r="O248" i="7"/>
  <c r="O211" i="7"/>
  <c r="O213" i="7" s="1"/>
  <c r="O241" i="7" s="1"/>
  <c r="O243" i="7" s="1"/>
  <c r="N134" i="7" l="1"/>
  <c r="N136" i="7" s="1"/>
  <c r="N137" i="7" s="1"/>
  <c r="O112" i="7"/>
  <c r="O113" i="7" s="1"/>
  <c r="O118" i="7" s="1"/>
  <c r="O250" i="7"/>
  <c r="O253" i="7" s="1"/>
  <c r="O281" i="7" s="1"/>
  <c r="O131" i="7"/>
  <c r="O166" i="7" l="1"/>
  <c r="O191" i="7" s="1"/>
  <c r="O119" i="7"/>
  <c r="O283" i="7"/>
  <c r="O142" i="7" s="1"/>
  <c r="O167" i="7" l="1"/>
  <c r="P164" i="7" s="1"/>
  <c r="O132" i="7"/>
  <c r="O133" i="7" s="1"/>
  <c r="O198" i="7" s="1"/>
  <c r="P77" i="7"/>
  <c r="P78" i="7" s="1"/>
  <c r="P248" i="7"/>
  <c r="P211" i="7"/>
  <c r="P213" i="7" s="1"/>
  <c r="P241" i="7" s="1"/>
  <c r="P243" i="7" s="1"/>
  <c r="O134" i="7" l="1"/>
  <c r="O136" i="7" s="1"/>
  <c r="O137" i="7" s="1"/>
  <c r="P112" i="7"/>
  <c r="P113" i="7" s="1"/>
  <c r="P118" i="7" s="1"/>
  <c r="P250" i="7"/>
  <c r="P253" i="7" s="1"/>
  <c r="P281" i="7" s="1"/>
  <c r="P131" i="7"/>
  <c r="P166" i="7" l="1"/>
  <c r="P191" i="7" s="1"/>
  <c r="P119" i="7"/>
  <c r="P283" i="7"/>
  <c r="P142" i="7" s="1"/>
  <c r="P167" i="7" l="1"/>
  <c r="Q164" i="7" s="1"/>
  <c r="P132" i="7"/>
  <c r="P133" i="7" s="1"/>
  <c r="P198" i="7" s="1"/>
  <c r="Q77" i="7"/>
  <c r="Q78" i="7" s="1"/>
  <c r="Q248" i="7"/>
  <c r="Q211" i="7"/>
  <c r="Q213" i="7" s="1"/>
  <c r="Q241" i="7" s="1"/>
  <c r="Q243" i="7" s="1"/>
  <c r="P134" i="7" l="1"/>
  <c r="P136" i="7" s="1"/>
  <c r="P137" i="7" s="1"/>
  <c r="Q112" i="7"/>
  <c r="Q113" i="7" s="1"/>
  <c r="Q118" i="7" s="1"/>
  <c r="Q250" i="7"/>
  <c r="Q253" i="7" s="1"/>
  <c r="Q281" i="7" s="1"/>
  <c r="Q131" i="7"/>
  <c r="Q166" i="7" l="1"/>
  <c r="Q191" i="7" s="1"/>
  <c r="Q119" i="7"/>
  <c r="Q283" i="7"/>
  <c r="Q142" i="7" s="1"/>
  <c r="Q167" i="7" l="1"/>
  <c r="R164" i="7" s="1"/>
  <c r="Q132" i="7"/>
  <c r="Q133" i="7" s="1"/>
  <c r="Q198" i="7" s="1"/>
  <c r="R211" i="7"/>
  <c r="R213" i="7" s="1"/>
  <c r="R241" i="7" s="1"/>
  <c r="R243" i="7" s="1"/>
  <c r="R248" i="7"/>
  <c r="R77" i="7"/>
  <c r="R78" i="7" s="1"/>
  <c r="Q134" i="7" l="1"/>
  <c r="Q136" i="7" s="1"/>
  <c r="Q137" i="7" s="1"/>
  <c r="R131" i="7"/>
  <c r="R250" i="7"/>
  <c r="R253" i="7" s="1"/>
  <c r="R281" i="7" s="1"/>
  <c r="R112" i="7"/>
  <c r="R113" i="7" s="1"/>
  <c r="R118" i="7" s="1"/>
  <c r="R166" i="7" l="1"/>
  <c r="R191" i="7" s="1"/>
  <c r="R119" i="7"/>
  <c r="R283" i="7"/>
  <c r="R142" i="7" s="1"/>
  <c r="R167" i="7" l="1"/>
  <c r="S164" i="7" s="1"/>
  <c r="R132" i="7"/>
  <c r="R133" i="7" s="1"/>
  <c r="R198" i="7" s="1"/>
  <c r="S77" i="7"/>
  <c r="S78" i="7" s="1"/>
  <c r="S248" i="7"/>
  <c r="S211" i="7"/>
  <c r="S213" i="7" s="1"/>
  <c r="S241" i="7" s="1"/>
  <c r="S243" i="7" s="1"/>
  <c r="R134" i="7" l="1"/>
  <c r="S112" i="7"/>
  <c r="S113" i="7" s="1"/>
  <c r="S118" i="7" s="1"/>
  <c r="S250" i="7"/>
  <c r="S253" i="7" s="1"/>
  <c r="S281" i="7" s="1"/>
  <c r="S131" i="7"/>
  <c r="S166" i="7" l="1"/>
  <c r="S191" i="7" s="1"/>
  <c r="S119" i="7"/>
  <c r="R136" i="7"/>
  <c r="R137" i="7" s="1"/>
  <c r="S283" i="7"/>
  <c r="S142" i="7" s="1"/>
  <c r="S167" i="7" l="1"/>
  <c r="T164" i="7" s="1"/>
  <c r="S132" i="7"/>
  <c r="S133" i="7" s="1"/>
  <c r="S198" i="7" s="1"/>
  <c r="T77" i="7"/>
  <c r="T78" i="7" s="1"/>
  <c r="T211" i="7"/>
  <c r="T213" i="7" s="1"/>
  <c r="T241" i="7" s="1"/>
  <c r="T243" i="7" s="1"/>
  <c r="T248" i="7"/>
  <c r="S134" i="7" l="1"/>
  <c r="S136" i="7" s="1"/>
  <c r="S137" i="7" s="1"/>
  <c r="T112" i="7"/>
  <c r="T113" i="7" s="1"/>
  <c r="T118" i="7" s="1"/>
  <c r="T250" i="7"/>
  <c r="T253" i="7" s="1"/>
  <c r="T281" i="7" s="1"/>
  <c r="T131" i="7"/>
  <c r="T166" i="7" l="1"/>
  <c r="T191" i="7" s="1"/>
  <c r="T119" i="7"/>
  <c r="T283" i="7"/>
  <c r="T142" i="7" s="1"/>
  <c r="T167" i="7" l="1"/>
  <c r="U164" i="7" s="1"/>
  <c r="U166" i="7" s="1"/>
  <c r="U191" i="7" s="1"/>
  <c r="T132" i="7"/>
  <c r="T133" i="7" s="1"/>
  <c r="T198" i="7" s="1"/>
  <c r="B146" i="7"/>
  <c r="B148" i="7" s="1"/>
  <c r="F12" i="1" s="1"/>
  <c r="U167" i="7" l="1"/>
  <c r="V164" i="7" s="1"/>
  <c r="V166" i="7" s="1"/>
  <c r="V191" i="7" s="1"/>
  <c r="T134" i="7"/>
  <c r="AP136" i="7" s="1"/>
  <c r="B139" i="7" l="1"/>
  <c r="V136" i="7"/>
  <c r="AN136" i="7"/>
  <c r="AK136" i="7"/>
  <c r="T136" i="7"/>
  <c r="T137" i="7" s="1"/>
  <c r="AL136" i="7"/>
  <c r="AD136" i="7"/>
  <c r="AI136" i="7"/>
  <c r="AE136" i="7"/>
  <c r="AF136" i="7"/>
  <c r="AH136" i="7"/>
  <c r="U136" i="7"/>
  <c r="AG136" i="7"/>
  <c r="W136" i="7"/>
  <c r="X136" i="7"/>
  <c r="Z136" i="7"/>
  <c r="Y136" i="7"/>
  <c r="AA136" i="7"/>
  <c r="AJ136" i="7"/>
  <c r="AB136" i="7"/>
  <c r="AO136" i="7"/>
  <c r="AC136" i="7"/>
  <c r="AM136" i="7"/>
  <c r="V167" i="7" l="1"/>
  <c r="W164" i="7" s="1"/>
  <c r="W166" i="7" s="1"/>
  <c r="W191" i="7" s="1"/>
  <c r="V137" i="7"/>
  <c r="W137" i="7"/>
  <c r="X137" i="7"/>
  <c r="U137" i="7"/>
  <c r="AN137" i="7"/>
  <c r="AD137" i="7"/>
  <c r="AH137" i="7"/>
  <c r="AE137" i="7"/>
  <c r="AK137" i="7"/>
  <c r="Y137" i="7"/>
  <c r="AI137" i="7"/>
  <c r="Z137" i="7"/>
  <c r="AF137" i="7"/>
  <c r="AC137" i="7"/>
  <c r="AL137" i="7"/>
  <c r="AA137" i="7"/>
  <c r="AB137" i="7"/>
  <c r="AO137" i="7"/>
  <c r="AP137" i="7"/>
  <c r="AJ137" i="7"/>
  <c r="AG137" i="7"/>
  <c r="AM137" i="7"/>
  <c r="W167" i="7" l="1"/>
  <c r="X164" i="7" s="1"/>
  <c r="X166" i="7" s="1"/>
  <c r="X191" i="7" s="1"/>
  <c r="X167" i="7" l="1"/>
  <c r="Y164" i="7" s="1"/>
  <c r="Y166" i="7" s="1"/>
  <c r="Y191" i="7" s="1"/>
  <c r="Y167" i="7" l="1"/>
  <c r="Z164" i="7" s="1"/>
  <c r="Z166" i="7" s="1"/>
  <c r="Z191" i="7" s="1"/>
  <c r="Z167" i="7" l="1"/>
  <c r="AA164" i="7" s="1"/>
  <c r="AA166" i="7" s="1"/>
  <c r="AA191" i="7" s="1"/>
  <c r="AA167" i="7" l="1"/>
  <c r="AB164" i="7" s="1"/>
  <c r="AB166" i="7" s="1"/>
  <c r="AB191" i="7" s="1"/>
  <c r="AB167" i="7" l="1"/>
  <c r="AC164" i="7" s="1"/>
  <c r="AC166" i="7" s="1"/>
  <c r="AC191" i="7" s="1"/>
  <c r="AC167" i="7" l="1"/>
  <c r="AD164" i="7" s="1"/>
  <c r="AD166" i="7" s="1"/>
  <c r="AD191" i="7" s="1"/>
  <c r="AD167" i="7" l="1"/>
  <c r="AE164" i="7" s="1"/>
  <c r="AE166" i="7" s="1"/>
  <c r="AE191" i="7" s="1"/>
  <c r="AE167" i="7" l="1"/>
  <c r="AF164" i="7" s="1"/>
  <c r="AF166" i="7" s="1"/>
  <c r="AF191" i="7" s="1"/>
  <c r="AF167" i="7" l="1"/>
  <c r="AG164" i="7" s="1"/>
  <c r="AG166" i="7" s="1"/>
  <c r="AG191" i="7" s="1"/>
  <c r="AG167" i="7" l="1"/>
  <c r="AH164" i="7" s="1"/>
  <c r="AH166" i="7" s="1"/>
  <c r="AH191" i="7" s="1"/>
  <c r="AH167" i="7" l="1"/>
  <c r="AI164" i="7" s="1"/>
  <c r="AI166" i="7" s="1"/>
  <c r="AI191" i="7" s="1"/>
  <c r="AI167" i="7" l="1"/>
  <c r="AJ164" i="7" s="1"/>
  <c r="AJ166" i="7" s="1"/>
  <c r="AJ191" i="7" s="1"/>
  <c r="AJ167" i="7" l="1"/>
  <c r="AK164" i="7" s="1"/>
  <c r="AK166" i="7" s="1"/>
  <c r="AK191" i="7" s="1"/>
  <c r="AK167" i="7" l="1"/>
  <c r="AL164" i="7" s="1"/>
  <c r="AL166" i="7" s="1"/>
  <c r="AL191" i="7" s="1"/>
  <c r="AL167" i="7" l="1"/>
  <c r="AM164" i="7" s="1"/>
  <c r="AM166" i="7" s="1"/>
  <c r="AM191" i="7" s="1"/>
  <c r="AM167" i="7" l="1"/>
  <c r="AN164" i="7" s="1"/>
  <c r="AN166" i="7" s="1"/>
  <c r="AN191" i="7" s="1"/>
  <c r="AN167" i="7" l="1"/>
  <c r="AO164" i="7" s="1"/>
  <c r="AO166" i="7" s="1"/>
  <c r="AO191" i="7" s="1"/>
  <c r="AO167" i="7" l="1"/>
  <c r="AP164" i="7" s="1"/>
  <c r="AP166" i="7" s="1"/>
  <c r="AP191" i="7" s="1"/>
  <c r="AP167" i="7" l="1"/>
  <c r="D172" i="7" l="1"/>
  <c r="E172" i="7"/>
  <c r="F172" i="7"/>
  <c r="G172" i="7"/>
  <c r="H172" i="7"/>
  <c r="I172" i="7"/>
  <c r="J172" i="7"/>
  <c r="J173" i="7" s="1"/>
  <c r="J176" i="7" s="1"/>
  <c r="K172" i="7"/>
  <c r="K173" i="7" s="1"/>
  <c r="K176" i="7" s="1"/>
  <c r="L172" i="7"/>
  <c r="L173" i="7" s="1"/>
  <c r="L176" i="7" s="1"/>
  <c r="M172" i="7"/>
  <c r="M173" i="7" s="1"/>
  <c r="M176" i="7" s="1"/>
  <c r="N172" i="7"/>
  <c r="N173" i="7" s="1"/>
  <c r="N176" i="7" s="1"/>
  <c r="O172" i="7"/>
  <c r="O173" i="7" s="1"/>
  <c r="O176" i="7" s="1"/>
  <c r="P172" i="7"/>
  <c r="P173" i="7" s="1"/>
  <c r="P176" i="7" s="1"/>
  <c r="Q172" i="7"/>
  <c r="Q173" i="7" s="1"/>
  <c r="Q176" i="7" s="1"/>
  <c r="R172" i="7"/>
  <c r="R173" i="7" s="1"/>
  <c r="R176" i="7" s="1"/>
  <c r="S172" i="7"/>
  <c r="S173" i="7" s="1"/>
  <c r="S176" i="7" s="1"/>
  <c r="T172" i="7"/>
  <c r="T173" i="7" s="1"/>
  <c r="T176" i="7" s="1"/>
  <c r="U172" i="7"/>
  <c r="U173" i="7" s="1"/>
  <c r="U176" i="7" s="1"/>
  <c r="V172" i="7"/>
  <c r="V173" i="7" s="1"/>
  <c r="V176" i="7" s="1"/>
  <c r="W172" i="7"/>
  <c r="W173" i="7" s="1"/>
  <c r="W176" i="7" s="1"/>
  <c r="X172" i="7"/>
  <c r="X173" i="7" s="1"/>
  <c r="X176" i="7" s="1"/>
  <c r="Y172" i="7"/>
  <c r="Y173" i="7" s="1"/>
  <c r="Y176" i="7" s="1"/>
  <c r="Z172" i="7"/>
  <c r="Z173" i="7" s="1"/>
  <c r="Z176" i="7" s="1"/>
  <c r="AA172" i="7"/>
  <c r="AA173" i="7" s="1"/>
  <c r="AA176" i="7" s="1"/>
  <c r="AB172" i="7"/>
  <c r="AB173" i="7" s="1"/>
  <c r="AB176" i="7" s="1"/>
  <c r="AC172" i="7"/>
  <c r="AC173" i="7" s="1"/>
  <c r="AC176" i="7" s="1"/>
  <c r="AD172" i="7"/>
  <c r="AD173" i="7" s="1"/>
  <c r="AD176" i="7" s="1"/>
  <c r="AE172" i="7"/>
  <c r="AE173" i="7" s="1"/>
  <c r="AE176" i="7" s="1"/>
  <c r="AF172" i="7"/>
  <c r="AF173" i="7" s="1"/>
  <c r="AF176" i="7" s="1"/>
  <c r="AG172" i="7"/>
  <c r="AG173" i="7" s="1"/>
  <c r="AG176" i="7" s="1"/>
  <c r="AH172" i="7"/>
  <c r="AH173" i="7" s="1"/>
  <c r="AH176" i="7" s="1"/>
  <c r="AI172" i="7"/>
  <c r="AI173" i="7" s="1"/>
  <c r="AI176" i="7" s="1"/>
  <c r="AJ172" i="7"/>
  <c r="AJ173" i="7" s="1"/>
  <c r="AJ176" i="7" s="1"/>
  <c r="AK172" i="7"/>
  <c r="AK173" i="7" s="1"/>
  <c r="AK176" i="7" s="1"/>
  <c r="AL172" i="7"/>
  <c r="AL173" i="7" s="1"/>
  <c r="AL176" i="7" s="1"/>
  <c r="AM172" i="7"/>
  <c r="AM173" i="7" s="1"/>
  <c r="AM176" i="7" s="1"/>
  <c r="AN172" i="7"/>
  <c r="AN173" i="7" s="1"/>
  <c r="AN176" i="7" s="1"/>
  <c r="AO172" i="7"/>
  <c r="AO173" i="7" s="1"/>
  <c r="AO176" i="7" s="1"/>
  <c r="AP172" i="7"/>
  <c r="AP173" i="7" s="1"/>
  <c r="AP176" i="7" s="1"/>
  <c r="C173" i="7"/>
  <c r="C176" i="7" s="1"/>
  <c r="D173" i="7"/>
  <c r="D176" i="7" s="1"/>
  <c r="E173" i="7"/>
  <c r="E176" i="7" s="1"/>
  <c r="F173" i="7"/>
  <c r="F176" i="7" s="1"/>
  <c r="G173" i="7"/>
  <c r="G176" i="7" s="1"/>
  <c r="H173" i="7"/>
  <c r="H176" i="7" s="1"/>
  <c r="I173" i="7"/>
  <c r="I176" i="7" s="1"/>
  <c r="C177" i="7"/>
  <c r="C178" i="7"/>
  <c r="D178" i="7"/>
  <c r="E178" i="7"/>
  <c r="F178" i="7"/>
  <c r="G178" i="7"/>
  <c r="H178" i="7"/>
  <c r="I178" i="7"/>
  <c r="J178" i="7"/>
  <c r="K178" i="7"/>
  <c r="L178" i="7"/>
  <c r="M178" i="7"/>
  <c r="N178" i="7"/>
  <c r="O178" i="7"/>
  <c r="P178" i="7"/>
  <c r="Q178" i="7"/>
  <c r="R178" i="7"/>
  <c r="S178" i="7"/>
  <c r="T178" i="7"/>
  <c r="U178" i="7"/>
  <c r="V178" i="7"/>
  <c r="W178" i="7"/>
  <c r="X178" i="7"/>
  <c r="Y178" i="7"/>
  <c r="Z178" i="7"/>
  <c r="AA178" i="7"/>
  <c r="AB178" i="7"/>
  <c r="AC178" i="7"/>
  <c r="AD178" i="7"/>
  <c r="AE178" i="7"/>
  <c r="AF178" i="7"/>
  <c r="AG178" i="7"/>
  <c r="AH178" i="7"/>
  <c r="AI178" i="7"/>
  <c r="AJ178" i="7"/>
  <c r="AK178" i="7"/>
  <c r="AL178" i="7"/>
  <c r="AM178" i="7"/>
  <c r="AN178" i="7"/>
  <c r="AO178" i="7"/>
  <c r="AP178" i="7"/>
  <c r="C179" i="7"/>
  <c r="D179" i="7"/>
  <c r="E179" i="7"/>
  <c r="F179" i="7"/>
  <c r="G179" i="7"/>
  <c r="H179" i="7"/>
  <c r="I179" i="7"/>
  <c r="J179" i="7"/>
  <c r="K179" i="7"/>
  <c r="L179" i="7"/>
  <c r="M179" i="7"/>
  <c r="N179" i="7"/>
  <c r="O179" i="7"/>
  <c r="P179" i="7"/>
  <c r="Q179" i="7"/>
  <c r="R179" i="7"/>
  <c r="S179" i="7"/>
  <c r="T179" i="7"/>
  <c r="U179" i="7"/>
  <c r="V179" i="7"/>
  <c r="W179" i="7"/>
  <c r="X179" i="7"/>
  <c r="Y179" i="7"/>
  <c r="Z179" i="7"/>
  <c r="AA179" i="7"/>
  <c r="AB179" i="7"/>
  <c r="AC179" i="7"/>
  <c r="AD179" i="7"/>
  <c r="AE179" i="7"/>
  <c r="AF179" i="7"/>
  <c r="AG179" i="7"/>
  <c r="AH179" i="7"/>
  <c r="AI179" i="7"/>
  <c r="AJ179" i="7"/>
  <c r="AK179" i="7"/>
  <c r="AL179" i="7"/>
  <c r="AM179" i="7"/>
  <c r="AN179" i="7"/>
  <c r="AO179" i="7"/>
  <c r="AP179" i="7"/>
  <c r="C192" i="7"/>
  <c r="D192" i="7"/>
  <c r="D195" i="7" s="1"/>
  <c r="D199" i="7" s="1"/>
  <c r="E192" i="7"/>
  <c r="E195" i="7" s="1"/>
  <c r="E199" i="7" s="1"/>
  <c r="F192" i="7"/>
  <c r="F195" i="7" s="1"/>
  <c r="F199" i="7" s="1"/>
  <c r="G192" i="7"/>
  <c r="G195" i="7" s="1"/>
  <c r="G199" i="7" s="1"/>
  <c r="H192" i="7"/>
  <c r="H195" i="7" s="1"/>
  <c r="H199" i="7" s="1"/>
  <c r="I192" i="7"/>
  <c r="I195" i="7" s="1"/>
  <c r="I199" i="7" s="1"/>
  <c r="J192" i="7"/>
  <c r="J195" i="7" s="1"/>
  <c r="J199" i="7" s="1"/>
  <c r="K192" i="7"/>
  <c r="K195" i="7" s="1"/>
  <c r="K199" i="7" s="1"/>
  <c r="L192" i="7"/>
  <c r="L195" i="7" s="1"/>
  <c r="L199" i="7" s="1"/>
  <c r="M192" i="7"/>
  <c r="M195" i="7" s="1"/>
  <c r="M199" i="7" s="1"/>
  <c r="N192" i="7"/>
  <c r="N195" i="7" s="1"/>
  <c r="N199" i="7" s="1"/>
  <c r="O192" i="7"/>
  <c r="O195" i="7" s="1"/>
  <c r="O199" i="7" s="1"/>
  <c r="P192" i="7"/>
  <c r="P195" i="7" s="1"/>
  <c r="P199" i="7" s="1"/>
  <c r="Q192" i="7"/>
  <c r="Q195" i="7" s="1"/>
  <c r="Q199" i="7" s="1"/>
  <c r="R192" i="7"/>
  <c r="R195" i="7" s="1"/>
  <c r="R199" i="7" s="1"/>
  <c r="S192" i="7"/>
  <c r="S195" i="7" s="1"/>
  <c r="S199" i="7" s="1"/>
  <c r="T192" i="7"/>
  <c r="T195" i="7" s="1"/>
  <c r="T199" i="7" s="1"/>
  <c r="U192" i="7"/>
  <c r="U195" i="7" s="1"/>
  <c r="U199" i="7" s="1"/>
  <c r="V192" i="7"/>
  <c r="V195" i="7" s="1"/>
  <c r="V199" i="7" s="1"/>
  <c r="W192" i="7"/>
  <c r="W195" i="7" s="1"/>
  <c r="W199" i="7" s="1"/>
  <c r="X192" i="7"/>
  <c r="X195" i="7" s="1"/>
  <c r="X199" i="7" s="1"/>
  <c r="Y192" i="7"/>
  <c r="Y195" i="7" s="1"/>
  <c r="Y199" i="7" s="1"/>
  <c r="Z192" i="7"/>
  <c r="Z195" i="7" s="1"/>
  <c r="Z199" i="7" s="1"/>
  <c r="AA192" i="7"/>
  <c r="AA195" i="7" s="1"/>
  <c r="AA199" i="7" s="1"/>
  <c r="AB192" i="7"/>
  <c r="AB195" i="7" s="1"/>
  <c r="AB199" i="7" s="1"/>
  <c r="AC192" i="7"/>
  <c r="AC195" i="7" s="1"/>
  <c r="AC199" i="7" s="1"/>
  <c r="AD192" i="7"/>
  <c r="AD195" i="7" s="1"/>
  <c r="AD199" i="7" s="1"/>
  <c r="AE192" i="7"/>
  <c r="AE195" i="7" s="1"/>
  <c r="AE199" i="7" s="1"/>
  <c r="AF192" i="7"/>
  <c r="AF195" i="7" s="1"/>
  <c r="AF199" i="7" s="1"/>
  <c r="AG192" i="7"/>
  <c r="AG195" i="7" s="1"/>
  <c r="AG199" i="7" s="1"/>
  <c r="AH192" i="7"/>
  <c r="AH195" i="7" s="1"/>
  <c r="AH199" i="7" s="1"/>
  <c r="AI192" i="7"/>
  <c r="AI195" i="7" s="1"/>
  <c r="AI199" i="7" s="1"/>
  <c r="AJ192" i="7"/>
  <c r="AJ195" i="7" s="1"/>
  <c r="AJ199" i="7" s="1"/>
  <c r="AK192" i="7"/>
  <c r="AK195" i="7" s="1"/>
  <c r="AK199" i="7" s="1"/>
  <c r="AL192" i="7"/>
  <c r="AL195" i="7" s="1"/>
  <c r="AL199" i="7" s="1"/>
  <c r="AM192" i="7"/>
  <c r="AM195" i="7" s="1"/>
  <c r="AM199" i="7" s="1"/>
  <c r="AN192" i="7"/>
  <c r="AN195" i="7" s="1"/>
  <c r="AN199" i="7" s="1"/>
  <c r="AO192" i="7"/>
  <c r="AO195" i="7" s="1"/>
  <c r="AO199" i="7" s="1"/>
  <c r="AP192" i="7"/>
  <c r="AP195" i="7" s="1"/>
  <c r="AP199" i="7" s="1"/>
  <c r="C195" i="7"/>
  <c r="C199" i="7" s="1"/>
  <c r="C201" i="7" s="1"/>
  <c r="C202" i="7" s="1"/>
  <c r="C203" i="7" s="1"/>
  <c r="AG181" i="7" l="1"/>
  <c r="Y181" i="7"/>
  <c r="M181" i="7"/>
  <c r="F181" i="7"/>
  <c r="AJ181" i="7"/>
  <c r="AF181" i="7"/>
  <c r="H181" i="7"/>
  <c r="D181" i="7"/>
  <c r="D201" i="7"/>
  <c r="D202" i="7" s="1"/>
  <c r="D203" i="7" s="1"/>
  <c r="AH181" i="7"/>
  <c r="V181" i="7"/>
  <c r="R181" i="7"/>
  <c r="AL181" i="7"/>
  <c r="E201" i="7"/>
  <c r="T181" i="7"/>
  <c r="AC181" i="7"/>
  <c r="U181" i="7"/>
  <c r="Q181" i="7"/>
  <c r="E181" i="7"/>
  <c r="AK181" i="7"/>
  <c r="AB181" i="7"/>
  <c r="X181" i="7"/>
  <c r="P181" i="7"/>
  <c r="L181" i="7"/>
  <c r="AN181" i="7"/>
  <c r="I181" i="7"/>
  <c r="AJ201" i="7"/>
  <c r="AO181" i="7"/>
  <c r="AD201" i="7"/>
  <c r="T201" i="7"/>
  <c r="AP201" i="7"/>
  <c r="N201" i="7"/>
  <c r="Z181" i="7"/>
  <c r="J181" i="7"/>
  <c r="AP181" i="7"/>
  <c r="AD181" i="7"/>
  <c r="N181" i="7"/>
  <c r="AM181" i="7"/>
  <c r="AI181" i="7"/>
  <c r="AE181" i="7"/>
  <c r="AA181" i="7"/>
  <c r="W181" i="7"/>
  <c r="S181" i="7"/>
  <c r="O181" i="7"/>
  <c r="K181" i="7"/>
  <c r="G181" i="7"/>
  <c r="F201" i="7"/>
  <c r="B205" i="7"/>
  <c r="F16" i="1" s="1"/>
  <c r="AO201" i="7"/>
  <c r="AB201" i="7"/>
  <c r="L201" i="7"/>
  <c r="AK201" i="7"/>
  <c r="V201" i="7"/>
  <c r="J201" i="7"/>
  <c r="R201" i="7"/>
  <c r="Z201" i="7"/>
  <c r="AH201" i="7"/>
  <c r="AN201" i="7"/>
  <c r="C181" i="7"/>
  <c r="AL201" i="7"/>
  <c r="AF201" i="7"/>
  <c r="X201" i="7"/>
  <c r="P201" i="7"/>
  <c r="AG201" i="7"/>
  <c r="AC201" i="7"/>
  <c r="Y201" i="7"/>
  <c r="U201" i="7"/>
  <c r="AE201" i="7"/>
  <c r="Q201" i="7"/>
  <c r="I201" i="7"/>
  <c r="H201" i="7"/>
  <c r="AM201" i="7"/>
  <c r="AI201" i="7"/>
  <c r="AA201" i="7"/>
  <c r="W201" i="7"/>
  <c r="S201" i="7"/>
  <c r="O201" i="7"/>
  <c r="K201" i="7"/>
  <c r="G201" i="7"/>
  <c r="M201" i="7"/>
  <c r="F202" i="7" l="1"/>
  <c r="E202" i="7"/>
  <c r="E203" i="7" s="1"/>
  <c r="AA202" i="7"/>
  <c r="C183" i="7"/>
  <c r="G183" i="7"/>
  <c r="K183" i="7"/>
  <c r="O183" i="7"/>
  <c r="S183" i="7"/>
  <c r="W183" i="7"/>
  <c r="AA183" i="7"/>
  <c r="AE183" i="7"/>
  <c r="AI183" i="7"/>
  <c r="AM183" i="7"/>
  <c r="B186" i="7"/>
  <c r="F18" i="1" s="1"/>
  <c r="D183" i="7"/>
  <c r="H183" i="7"/>
  <c r="L183" i="7"/>
  <c r="P183" i="7"/>
  <c r="T183" i="7"/>
  <c r="X183" i="7"/>
  <c r="AB183" i="7"/>
  <c r="AF183" i="7"/>
  <c r="AJ183" i="7"/>
  <c r="AN183" i="7"/>
  <c r="E183" i="7"/>
  <c r="I183" i="7"/>
  <c r="M183" i="7"/>
  <c r="Q183" i="7"/>
  <c r="U183" i="7"/>
  <c r="Y183" i="7"/>
  <c r="AC183" i="7"/>
  <c r="AG183" i="7"/>
  <c r="AK183" i="7"/>
  <c r="AO183" i="7"/>
  <c r="J183" i="7"/>
  <c r="Z183" i="7"/>
  <c r="AP183" i="7"/>
  <c r="N183" i="7"/>
  <c r="AD183" i="7"/>
  <c r="R183" i="7"/>
  <c r="AH183" i="7"/>
  <c r="F183" i="7"/>
  <c r="V183" i="7"/>
  <c r="AL183" i="7"/>
  <c r="I202" i="7"/>
  <c r="M202" i="7"/>
  <c r="Q202" i="7"/>
  <c r="U202" i="7"/>
  <c r="Y202" i="7"/>
  <c r="AC202" i="7"/>
  <c r="AG202" i="7"/>
  <c r="AK202" i="7"/>
  <c r="AO202" i="7"/>
  <c r="J202" i="7"/>
  <c r="R202" i="7"/>
  <c r="Z202" i="7"/>
  <c r="AH202" i="7"/>
  <c r="AL202" i="7"/>
  <c r="H202" i="7"/>
  <c r="L202" i="7"/>
  <c r="P202" i="7"/>
  <c r="T202" i="7"/>
  <c r="X202" i="7"/>
  <c r="AB202" i="7"/>
  <c r="AF202" i="7"/>
  <c r="AJ202" i="7"/>
  <c r="AN202" i="7"/>
  <c r="N202" i="7"/>
  <c r="V202" i="7"/>
  <c r="AD202" i="7"/>
  <c r="AP202" i="7"/>
  <c r="K202" i="7"/>
  <c r="O202" i="7"/>
  <c r="AE202" i="7"/>
  <c r="S202" i="7"/>
  <c r="AI202" i="7"/>
  <c r="G202" i="7"/>
  <c r="W202" i="7"/>
  <c r="AM202" i="7"/>
  <c r="F15" i="1" l="1"/>
  <c r="F13" i="1"/>
  <c r="AN203" i="7"/>
  <c r="P203" i="7"/>
  <c r="F203" i="7"/>
  <c r="L203" i="7"/>
  <c r="AA203" i="7"/>
  <c r="AF203" i="7"/>
  <c r="X203" i="7"/>
  <c r="AK203" i="7"/>
  <c r="U203" i="7"/>
  <c r="AG203" i="7"/>
  <c r="Q203" i="7"/>
  <c r="Z203" i="7"/>
  <c r="AJ203" i="7"/>
  <c r="AC203" i="7"/>
  <c r="M203" i="7"/>
  <c r="C184" i="7"/>
  <c r="G184" i="7"/>
  <c r="K184" i="7"/>
  <c r="O184" i="7"/>
  <c r="S184" i="7"/>
  <c r="W184" i="7"/>
  <c r="AA184" i="7"/>
  <c r="AE184" i="7"/>
  <c r="AI184" i="7"/>
  <c r="AM184" i="7"/>
  <c r="D184" i="7"/>
  <c r="H184" i="7"/>
  <c r="L184" i="7"/>
  <c r="P184" i="7"/>
  <c r="T184" i="7"/>
  <c r="X184" i="7"/>
  <c r="AB184" i="7"/>
  <c r="AF184" i="7"/>
  <c r="AJ184" i="7"/>
  <c r="AN184" i="7"/>
  <c r="E184" i="7"/>
  <c r="I184" i="7"/>
  <c r="N184" i="7"/>
  <c r="V184" i="7"/>
  <c r="AD184" i="7"/>
  <c r="AL184" i="7"/>
  <c r="F184" i="7"/>
  <c r="Q184" i="7"/>
  <c r="Y184" i="7"/>
  <c r="AG184" i="7"/>
  <c r="AO184" i="7"/>
  <c r="J184" i="7"/>
  <c r="R184" i="7"/>
  <c r="Z184" i="7"/>
  <c r="AH184" i="7"/>
  <c r="AP184" i="7"/>
  <c r="F17" i="1" s="1"/>
  <c r="M184" i="7"/>
  <c r="U184" i="7"/>
  <c r="AC184" i="7"/>
  <c r="AK184" i="7"/>
  <c r="T203" i="7"/>
  <c r="AO203" i="7"/>
  <c r="Y203" i="7"/>
  <c r="I203" i="7"/>
  <c r="AH203" i="7"/>
  <c r="S203" i="7"/>
  <c r="R203" i="7"/>
  <c r="AE203" i="7"/>
  <c r="AM203" i="7"/>
  <c r="K203" i="7"/>
  <c r="AD203" i="7"/>
  <c r="N203" i="7"/>
  <c r="W203" i="7"/>
  <c r="AI203" i="7"/>
  <c r="AP203" i="7"/>
  <c r="J203" i="7"/>
  <c r="H203" i="7"/>
  <c r="G203" i="7"/>
  <c r="O203" i="7"/>
  <c r="AL203" i="7"/>
  <c r="V203" i="7"/>
  <c r="AB203" i="7"/>
  <c r="B203" i="7" l="1"/>
</calcChain>
</file>

<file path=xl/sharedStrings.xml><?xml version="1.0" encoding="utf-8"?>
<sst xmlns="http://schemas.openxmlformats.org/spreadsheetml/2006/main" count="868" uniqueCount="488">
  <si>
    <t>Property Tax</t>
  </si>
  <si>
    <t>Operating Year</t>
  </si>
  <si>
    <t>Investment Tax Credit</t>
  </si>
  <si>
    <t>Amount</t>
  </si>
  <si>
    <t>Federal</t>
  </si>
  <si>
    <t>State</t>
  </si>
  <si>
    <t>Production Tax Credit</t>
  </si>
  <si>
    <t>%</t>
  </si>
  <si>
    <t>Maximum</t>
  </si>
  <si>
    <t>Amount ($/kWh)</t>
  </si>
  <si>
    <t>Price  (¢/kWh)</t>
  </si>
  <si>
    <t>Capacity (DC kW)</t>
  </si>
  <si>
    <t>Fixed Cost ($/DC kW-yr)</t>
  </si>
  <si>
    <t>Total</t>
  </si>
  <si>
    <t>Generation (AC-MWh)</t>
  </si>
  <si>
    <t>Variable Cost ($/AC-MWh)</t>
  </si>
  <si>
    <t>Investment Based Incentive (IBI)</t>
  </si>
  <si>
    <t>Yes</t>
  </si>
  <si>
    <t>No</t>
  </si>
  <si>
    <t>Total Expenses</t>
  </si>
  <si>
    <t>Revenues</t>
  </si>
  <si>
    <t>PPA</t>
  </si>
  <si>
    <t>Production Based Incentive (included if available for debt service)</t>
  </si>
  <si>
    <t>Total PBI</t>
  </si>
  <si>
    <t>Debt</t>
  </si>
  <si>
    <t>Funding</t>
  </si>
  <si>
    <t>Repayment</t>
  </si>
  <si>
    <t>Principal</t>
  </si>
  <si>
    <t>Interest</t>
  </si>
  <si>
    <t>Total P&amp;I</t>
  </si>
  <si>
    <t>Taxes</t>
  </si>
  <si>
    <t>EBITDA</t>
  </si>
  <si>
    <t>Less: Interest Payment</t>
  </si>
  <si>
    <t>Taxable Income Prior to Incentives</t>
  </si>
  <si>
    <t>Federal Income Taxes</t>
  </si>
  <si>
    <t>Less: Tax Depreciation</t>
  </si>
  <si>
    <t>Production Based Incentive (PBI)</t>
  </si>
  <si>
    <t>Incentive ($/kWh)</t>
  </si>
  <si>
    <t>Capacity Based Incentive (CBI)</t>
  </si>
  <si>
    <t>Plus: Interest Earned</t>
  </si>
  <si>
    <t>State Tax Benefit/(Liability)</t>
  </si>
  <si>
    <t>Total Taxable Incentives</t>
  </si>
  <si>
    <t>Taxable Income Including Incentives</t>
  </si>
  <si>
    <t>State Income Taxes</t>
  </si>
  <si>
    <t>Insurance</t>
  </si>
  <si>
    <t>5-yr MACRS</t>
  </si>
  <si>
    <t>15-yr MACRS</t>
  </si>
  <si>
    <t>5-yr SL</t>
  </si>
  <si>
    <t>15-yr SL</t>
  </si>
  <si>
    <t>20-yr SL</t>
  </si>
  <si>
    <t>39-yr SL</t>
  </si>
  <si>
    <t>Salvage Value</t>
  </si>
  <si>
    <t>Applicable %</t>
  </si>
  <si>
    <t>State ITC</t>
  </si>
  <si>
    <t>ITC Qualifying Costs</t>
  </si>
  <si>
    <t>% of ITC Qualifying Costs</t>
  </si>
  <si>
    <t>ITC as Fixed Amount</t>
  </si>
  <si>
    <t>Production Tax Credit (PTC)</t>
  </si>
  <si>
    <t>Cash Flows from Investing Activities</t>
  </si>
  <si>
    <t>Cash Flows from Financing Activities</t>
  </si>
  <si>
    <t>Reserve Accounts</t>
  </si>
  <si>
    <t>Funding (through operations)</t>
  </si>
  <si>
    <t>Timing</t>
  </si>
  <si>
    <t>Year</t>
  </si>
  <si>
    <t>Depreciation Percent</t>
  </si>
  <si>
    <t>Depreciation Amount</t>
  </si>
  <si>
    <t>Tax Benefit/(Liability)</t>
  </si>
  <si>
    <t>Federal Tax Benefit/(Liability)</t>
  </si>
  <si>
    <t>State Depreciation Amounts</t>
  </si>
  <si>
    <t>Federal Depreciation Amounts</t>
  </si>
  <si>
    <t>Total Revenue</t>
  </si>
  <si>
    <t>Partial Income Statement: Project</t>
  </si>
  <si>
    <t>Cash Flow: Project</t>
  </si>
  <si>
    <t>KEY</t>
  </si>
  <si>
    <t>First Year Bonus Depreciation</t>
  </si>
  <si>
    <t>Major Equipment Replacement 1</t>
  </si>
  <si>
    <t>Major Equipment Replacement 2</t>
  </si>
  <si>
    <t>Major Equipment Replacement 3</t>
  </si>
  <si>
    <t>http://www.irs.gov/pub/irs-pdf/p946.pdf</t>
  </si>
  <si>
    <t>State PTC</t>
  </si>
  <si>
    <t>SYSTEM COSTS</t>
  </si>
  <si>
    <t>SYSTEM DESIGN</t>
  </si>
  <si>
    <t>FINANCIAL PARAMETERS</t>
  </si>
  <si>
    <t>Solution Mode</t>
  </si>
  <si>
    <t>Target year</t>
  </si>
  <si>
    <t>Analysis Parameters</t>
  </si>
  <si>
    <t>Tax and Insurance Rates</t>
  </si>
  <si>
    <t>Federal income tax rate (%/year)</t>
  </si>
  <si>
    <t>State income tax rate (%/year)</t>
  </si>
  <si>
    <t>Insurance rate (annual, % of installed cost)</t>
  </si>
  <si>
    <t>Analysis period (years, 40 max)</t>
  </si>
  <si>
    <t>Inflation rate (%/year)</t>
  </si>
  <si>
    <t>Nominal discount rate (%/year)</t>
  </si>
  <si>
    <t>Real discount rate (%/year)</t>
  </si>
  <si>
    <t>Assessed percentage (% of total installed cost)</t>
  </si>
  <si>
    <t>Annual decline (%/year)</t>
  </si>
  <si>
    <t>Assesed value ($)</t>
  </si>
  <si>
    <t>Property tax rate (%/year)</t>
  </si>
  <si>
    <t>Property tax net assessed value</t>
  </si>
  <si>
    <t>O&amp;M production-based expense</t>
  </si>
  <si>
    <t>O&amp;M capacity-based expense</t>
  </si>
  <si>
    <t>PROJECT TERM DEBT</t>
  </si>
  <si>
    <t>Tenor (years)</t>
  </si>
  <si>
    <t>Annual all-in interest rate (%)</t>
  </si>
  <si>
    <t>Debt closing costs ($)</t>
  </si>
  <si>
    <t>Up-front fee (% of total debt)</t>
  </si>
  <si>
    <t>COST OF ACQUIRING FINANCING</t>
  </si>
  <si>
    <t>Loan 1</t>
  </si>
  <si>
    <t>Loan 2</t>
  </si>
  <si>
    <t>Loan 3</t>
  </si>
  <si>
    <t>Loan 4</t>
  </si>
  <si>
    <t>Loan 5</t>
  </si>
  <si>
    <t>Percent of installed cost</t>
  </si>
  <si>
    <t>Up-front fee (% of principal)</t>
  </si>
  <si>
    <t>Months prior to operation</t>
  </si>
  <si>
    <t>Annual interest rate (%)</t>
  </si>
  <si>
    <t>Total construction financing cost</t>
  </si>
  <si>
    <t>Totals:</t>
  </si>
  <si>
    <t>CONSTRUCTION FINANCING</t>
  </si>
  <si>
    <t>RESERVE ACCOUNTS</t>
  </si>
  <si>
    <t>Interest on reserves (%/year)</t>
  </si>
  <si>
    <t>Debt service reserve account (months of P&amp;I payments)</t>
  </si>
  <si>
    <t>Major equipment replacement reserve accounts</t>
  </si>
  <si>
    <t>Replacement  reserve 1</t>
  </si>
  <si>
    <t>Replacement  reserve 3</t>
  </si>
  <si>
    <t>Replacement  reserve 2</t>
  </si>
  <si>
    <t>Year 1 dollars</t>
  </si>
  <si>
    <t>Replacement frequency (years)</t>
  </si>
  <si>
    <t>Depreciation treatment for replacement reserves</t>
  </si>
  <si>
    <t>Working capital reserve (months of operating costs)</t>
  </si>
  <si>
    <t>TAX CREDITS</t>
  </si>
  <si>
    <t>DIRECT CASH INCENTIVES</t>
  </si>
  <si>
    <t>As fixed amount</t>
  </si>
  <si>
    <t>Federal ($)</t>
  </si>
  <si>
    <t>State ($)</t>
  </si>
  <si>
    <t>Federal (% of total installed cost)</t>
  </si>
  <si>
    <t>State (% of total installed cost)</t>
  </si>
  <si>
    <t>As percentage</t>
  </si>
  <si>
    <t>Sales tax (% of total direct cost)</t>
  </si>
  <si>
    <t>Total installed cost ($)</t>
  </si>
  <si>
    <t>OPERATION AND MAINTENANCE COSTS</t>
  </si>
  <si>
    <t>Fixed annual cost ($/yr)</t>
  </si>
  <si>
    <t>Variable cost by generation ($/MWh)</t>
  </si>
  <si>
    <t>Utility ($)</t>
  </si>
  <si>
    <t>Other ($)</t>
  </si>
  <si>
    <t>Utility (% of total installed cost)</t>
  </si>
  <si>
    <t>Other (% of total installed cost)</t>
  </si>
  <si>
    <t>Federal ($/W)</t>
  </si>
  <si>
    <t>State ($/W)</t>
  </si>
  <si>
    <t>Utility ($/W)</t>
  </si>
  <si>
    <t>Other ($/W)</t>
  </si>
  <si>
    <t>Amount ($/W)</t>
  </si>
  <si>
    <t>Federal ($/kWh)</t>
  </si>
  <si>
    <t>State ($/kWh)</t>
  </si>
  <si>
    <t>Utility ($/kWh)</t>
  </si>
  <si>
    <t>Other ($/kWh)</t>
  </si>
  <si>
    <t>Maximum ($)</t>
  </si>
  <si>
    <t>Classes</t>
  </si>
  <si>
    <t>DEPRECIATION</t>
  </si>
  <si>
    <t>Calculated</t>
  </si>
  <si>
    <t>Input from SAM</t>
  </si>
  <si>
    <t>End of analysis period value ($)</t>
  </si>
  <si>
    <t>Net salvage value (% of total installed cost)</t>
  </si>
  <si>
    <t>Total construction financing cost ($)</t>
  </si>
  <si>
    <t>Escalation (% above inflation)</t>
  </si>
  <si>
    <t>Utility</t>
  </si>
  <si>
    <t>Other</t>
  </si>
  <si>
    <t>Taxable Income before Incentives</t>
  </si>
  <si>
    <t>Taxable Income after Incentives</t>
  </si>
  <si>
    <t>For additional information on depreciation schedules, see IRS publication 946.</t>
  </si>
  <si>
    <t>Depreciation Percent (%)</t>
  </si>
  <si>
    <t>Plus: PBI (if not included above)</t>
  </si>
  <si>
    <t>Principal payment</t>
  </si>
  <si>
    <t>Interest payment</t>
  </si>
  <si>
    <t>Replacement cost ($/W)</t>
  </si>
  <si>
    <t>Nameplate capacity (kW)</t>
  </si>
  <si>
    <t>Non-depreciable</t>
  </si>
  <si>
    <t>Capital Costs</t>
  </si>
  <si>
    <t>Total installed cost</t>
  </si>
  <si>
    <t>Construction financing</t>
  </si>
  <si>
    <t xml:space="preserve">Reserve Accounts (Increase)/Decrease </t>
  </si>
  <si>
    <t>METRICS</t>
  </si>
  <si>
    <t>PPA price escalation (%/yr)</t>
  </si>
  <si>
    <r>
      <t>PPA price, year 1 (</t>
    </r>
    <r>
      <rPr>
        <sz val="10"/>
        <color theme="1"/>
        <rFont val="Calibri"/>
        <family val="2"/>
      </rPr>
      <t>¢</t>
    </r>
    <r>
      <rPr>
        <sz val="9"/>
        <color theme="1"/>
        <rFont val="Calibri"/>
        <family val="2"/>
      </rPr>
      <t>/kWh)</t>
    </r>
  </si>
  <si>
    <t>Equity ($)</t>
  </si>
  <si>
    <t>NPV of annual generation (kWh)</t>
  </si>
  <si>
    <t>NPV of annual costs ($)</t>
  </si>
  <si>
    <t>Annual costs ($)</t>
  </si>
  <si>
    <t>Total purchase of property</t>
  </si>
  <si>
    <t>Cumulative after-tax IRR (%)</t>
  </si>
  <si>
    <t>Incentive Amounts</t>
  </si>
  <si>
    <t>NPV of after-tax returns</t>
  </si>
  <si>
    <t>Annual PPA revenues ($)</t>
  </si>
  <si>
    <t>NPV of annual PPA revenues ($)</t>
  </si>
  <si>
    <t>Escalation (%/year)</t>
  </si>
  <si>
    <t>Amount ($)</t>
  </si>
  <si>
    <t>Term (years)</t>
  </si>
  <si>
    <t>Allocations (%)</t>
  </si>
  <si>
    <t>CONSTRUCTION FINANCING CALCULATION (provided here for reference, only total financing cost above is input to cash flow)</t>
  </si>
  <si>
    <t>Debt principal payment</t>
  </si>
  <si>
    <t>Issuance of equity</t>
  </si>
  <si>
    <t>Incentives and size of debt</t>
  </si>
  <si>
    <t>Size of debt</t>
  </si>
  <si>
    <t>FUEL COSTS (CSP, GENERIC, AND BIOPOWER SYSTEMS ONLY)</t>
  </si>
  <si>
    <t>Annual usage (kWh)</t>
  </si>
  <si>
    <t>Cost ($/MMBtu)</t>
  </si>
  <si>
    <t>Escalation (%/year above inflation)</t>
  </si>
  <si>
    <t>Fuel (CSP and generic system only)</t>
  </si>
  <si>
    <t>Depreciation Schedules (Half Year)</t>
  </si>
  <si>
    <t>Operation and maintenance (O&amp;M)</t>
  </si>
  <si>
    <t>Fixed</t>
  </si>
  <si>
    <t>Capacity</t>
  </si>
  <si>
    <t>Variable</t>
  </si>
  <si>
    <t>Fuel (CSP and generic only)</t>
  </si>
  <si>
    <t>Biomass feedstock (Biopower only)</t>
  </si>
  <si>
    <t>Coal feedstock (Biopower only)</t>
  </si>
  <si>
    <t>PPA price ($/kWh)</t>
  </si>
  <si>
    <t>Avail. for debt svc.</t>
  </si>
  <si>
    <t>Federal taxable</t>
  </si>
  <si>
    <t>State taxable</t>
  </si>
  <si>
    <t>Red. fed. depr. &amp; ITC</t>
  </si>
  <si>
    <t>Red. st. depr. &amp; ITC</t>
  </si>
  <si>
    <t>Qual. for fed. ITC</t>
  </si>
  <si>
    <t>Qual. for state ITC</t>
  </si>
  <si>
    <t>Federal bonus</t>
  </si>
  <si>
    <t>State bonus</t>
  </si>
  <si>
    <t>Reduces depreciation basis</t>
  </si>
  <si>
    <t>Heat rate (MMBtu/MWh)</t>
  </si>
  <si>
    <t>Operating Expenses</t>
  </si>
  <si>
    <t>Cash Flows from Operating Activities</t>
  </si>
  <si>
    <t>Reserve Capital Spending</t>
  </si>
  <si>
    <r>
      <t>Levelized PPA price (</t>
    </r>
    <r>
      <rPr>
        <sz val="10"/>
        <color theme="1"/>
        <rFont val="Calibri"/>
        <family val="2"/>
      </rPr>
      <t>¢</t>
    </r>
    <r>
      <rPr>
        <sz val="10"/>
        <color theme="1"/>
        <rFont val="Calibri"/>
        <family val="2"/>
        <scheme val="minor"/>
      </rPr>
      <t>/kWh)</t>
    </r>
  </si>
  <si>
    <t>Levelized PPA price nominal  (¢/kWh)</t>
  </si>
  <si>
    <t>Debt Parameters</t>
  </si>
  <si>
    <t>Value depends on option in SAM</t>
  </si>
  <si>
    <t>Debt service coverage ratio</t>
  </si>
  <si>
    <t>Ending balance</t>
  </si>
  <si>
    <t>Size of debt calculation</t>
  </si>
  <si>
    <t>Up-front fee amount ($, from SAM results)</t>
  </si>
  <si>
    <t>Debt closing costs</t>
  </si>
  <si>
    <t>Debt up-front fee</t>
  </si>
  <si>
    <t>Financing cost</t>
  </si>
  <si>
    <t>Cash available for debt service (CAFDS)</t>
  </si>
  <si>
    <t>Present value of CAFDS</t>
  </si>
  <si>
    <t>CAFDS</t>
  </si>
  <si>
    <t>Present value debt interest factor</t>
  </si>
  <si>
    <t>Total IBI</t>
  </si>
  <si>
    <t>Total CBI</t>
  </si>
  <si>
    <t>Plus: Interest earned on reserve accounts</t>
  </si>
  <si>
    <t>Less: Debt interest payment</t>
  </si>
  <si>
    <t>Operating cash distributions/(contributions)</t>
  </si>
  <si>
    <t>Project Returns</t>
  </si>
  <si>
    <t>Project Returns: Pre-Tax</t>
  </si>
  <si>
    <t>Project Returns: After-Tax</t>
  </si>
  <si>
    <t>Total capital cost ($)</t>
  </si>
  <si>
    <t>Size of debt ($)</t>
  </si>
  <si>
    <t>ANNUAL VALUES</t>
  </si>
  <si>
    <t>Operation and maintenance costs specified as annual values</t>
  </si>
  <si>
    <t>N/A</t>
  </si>
  <si>
    <t>Production Based Incentive (PBI) specified as annual values</t>
  </si>
  <si>
    <t>Production Tax Credit (PTC) specified as annual values</t>
  </si>
  <si>
    <t>Unadjusted PTC ($/kWh)</t>
  </si>
  <si>
    <t>Adjusted PTC ($/MWh)</t>
  </si>
  <si>
    <t>Income tax rates specified as annual values</t>
  </si>
  <si>
    <t>State Tax Rate (%/year)</t>
  </si>
  <si>
    <t>Federal Tax Rate (%/year)</t>
  </si>
  <si>
    <t>Debt sizing and payment schedule</t>
  </si>
  <si>
    <t>Moratorium (years)</t>
  </si>
  <si>
    <t>Equal payments</t>
  </si>
  <si>
    <t>Constant DSCR (sculpted payments)</t>
  </si>
  <si>
    <t>Payment calculation</t>
  </si>
  <si>
    <t>P&amp;I for constant DSCR equal payments</t>
  </si>
  <si>
    <t>P&amp;I for mortgage style equal payments</t>
  </si>
  <si>
    <t>Principal for mortgage style fixed principal</t>
  </si>
  <si>
    <t>Working capital reserve</t>
  </si>
  <si>
    <t>Debt service reserve</t>
  </si>
  <si>
    <t>Beginning balance</t>
  </si>
  <si>
    <t>Release of funds</t>
  </si>
  <si>
    <t>Major equipment replacement reserve 1</t>
  </si>
  <si>
    <t>Timing of funding</t>
  </si>
  <si>
    <t>Cost of each occurrence</t>
  </si>
  <si>
    <t>Funding of each occurence</t>
  </si>
  <si>
    <t>Interest on reserves</t>
  </si>
  <si>
    <t>Total reserves</t>
  </si>
  <si>
    <t>Major equipment replacement reserve 2</t>
  </si>
  <si>
    <t>Major equipment replacement reserve 3</t>
  </si>
  <si>
    <t>Receivables reserve</t>
  </si>
  <si>
    <t>Major equipment reserve 1</t>
  </si>
  <si>
    <t>Major equipment reserve 2</t>
  </si>
  <si>
    <t>Major equipment reserve 3</t>
  </si>
  <si>
    <t>Major equipment spending 1</t>
  </si>
  <si>
    <t>Major equipment spending 2</t>
  </si>
  <si>
    <t>Major equipment spending 3</t>
  </si>
  <si>
    <t>Battery replacement</t>
  </si>
  <si>
    <t>Funding ($)</t>
  </si>
  <si>
    <t>Disbursement ($)</t>
  </si>
  <si>
    <t>Balance ($)</t>
  </si>
  <si>
    <t>Annual values from SAM</t>
  </si>
  <si>
    <t>Electricity purchase (Systems with battery only)</t>
  </si>
  <si>
    <t>Purchase of electricity for battery charging and inverter nighttime consumption</t>
  </si>
  <si>
    <t>Electricity purchase</t>
  </si>
  <si>
    <t>Custom</t>
  </si>
  <si>
    <t>Depreciation</t>
  </si>
  <si>
    <t>Custom allocation (%/year)</t>
  </si>
  <si>
    <t>* Note custom schedule is defined on Inputs sheet around Row 180</t>
  </si>
  <si>
    <t>Partnership Flip Inputs</t>
  </si>
  <si>
    <t>Tax investor IRR target</t>
  </si>
  <si>
    <t>Equity Flip Structure</t>
  </si>
  <si>
    <t>Developer share</t>
  </si>
  <si>
    <t>Tax investor share of equity (%)</t>
  </si>
  <si>
    <t>Tax investor share of project cash pre-flip (%)</t>
  </si>
  <si>
    <t>Tax investor share of project cash post-flip (%)</t>
  </si>
  <si>
    <t>Tax investor share of tax benefits pre-flip (%)</t>
  </si>
  <si>
    <t>Tax investor share of tax benefits post-flip (%)</t>
  </si>
  <si>
    <t>Equity closing cost ($)</t>
  </si>
  <si>
    <t>Other financing cost ($)</t>
  </si>
  <si>
    <t>Development fee (%)</t>
  </si>
  <si>
    <t>Development fee ($)</t>
  </si>
  <si>
    <t>Tax on development fee in Year 1 ($)</t>
  </si>
  <si>
    <t>Developer Capital Recovery (All Equity Only)</t>
  </si>
  <si>
    <t>Method</t>
  </si>
  <si>
    <t>Full capital recovery</t>
  </si>
  <si>
    <t>Duration (years, 40 max)</t>
  </si>
  <si>
    <t>PPA priced escalation (%/year)</t>
  </si>
  <si>
    <t>PPA price is modified by TOD multipliers</t>
  </si>
  <si>
    <t>Federal income tax rate in Year 1 (%/year)</t>
  </si>
  <si>
    <t>State income tax rate in Year 1 (%/year)</t>
  </si>
  <si>
    <t>Partnership Flip Cash Flow</t>
  </si>
  <si>
    <t>Investor IRR (%)</t>
  </si>
  <si>
    <t>Investor IRR at end of project (%)</t>
  </si>
  <si>
    <t>Investor NPV</t>
  </si>
  <si>
    <t>Investor IRR year</t>
  </si>
  <si>
    <t>Developer IRR at end of project (%)</t>
  </si>
  <si>
    <t>Developer NPV</t>
  </si>
  <si>
    <t>Partner Returns: Developer</t>
  </si>
  <si>
    <t>Partner Returns: Tax Investor</t>
  </si>
  <si>
    <t>Pre-tax Returns, Developer</t>
  </si>
  <si>
    <t>After-tax Returns, Developer</t>
  </si>
  <si>
    <t>Pre-tax Returns, Tax Investor</t>
  </si>
  <si>
    <t>After-tax Returns, Tax Investor</t>
  </si>
  <si>
    <t>Equity investment</t>
  </si>
  <si>
    <t>Development fee</t>
  </si>
  <si>
    <t xml:space="preserve">Developer share of ITC </t>
  </si>
  <si>
    <t>Developer share of PTC</t>
  </si>
  <si>
    <t>Cumulative developer after-tax IRR (%)</t>
  </si>
  <si>
    <t>NPV of developer after-tax returns</t>
  </si>
  <si>
    <t>Investor share of ITC</t>
  </si>
  <si>
    <t>Investor share of PTC</t>
  </si>
  <si>
    <t>Investor share of tax benefit (liability)</t>
  </si>
  <si>
    <t>Developer share of tax benefit (liability)</t>
  </si>
  <si>
    <t>Cumulative investor after-tax IRR (%)</t>
  </si>
  <si>
    <t>NPV of investor after-tax returns</t>
  </si>
  <si>
    <t>Equity closing cost</t>
  </si>
  <si>
    <t>Tax on development fee (Year 1)</t>
  </si>
  <si>
    <t>Operating cash distributions (contributions)</t>
  </si>
  <si>
    <t>Investor pre-tax returns</t>
  </si>
  <si>
    <t>Year investor target IRR reached</t>
  </si>
  <si>
    <t>Developer pretax returns</t>
  </si>
  <si>
    <t>Developer capital investment</t>
  </si>
  <si>
    <t>Operating cash to developer during recovery period</t>
  </si>
  <si>
    <t>Actual flip year</t>
  </si>
  <si>
    <t>LCOE, nominal  (¢/kWh)</t>
  </si>
  <si>
    <t>Adjusted for size of debt limit</t>
  </si>
  <si>
    <t>Debt percent (%) ("Calculated" for sculpted payments)</t>
  </si>
  <si>
    <t>Size of debt ($) ("N/A" for sculpted payments)</t>
  </si>
  <si>
    <t>Debt service coverage ratio ("Calculated" for mortgage style)</t>
  </si>
  <si>
    <t>Limit debt fraction (for sculpted payments only)</t>
  </si>
  <si>
    <t>Maximum debt percent (%) (for sculpted payments only)</t>
  </si>
  <si>
    <t>Annual payment schedule (for mortgage style debt only)</t>
  </si>
  <si>
    <t>Debt fraction (%)</t>
  </si>
  <si>
    <t xml:space="preserve"> </t>
  </si>
  <si>
    <t>Energy</t>
  </si>
  <si>
    <t>Electricity to grid (kWh/year)</t>
  </si>
  <si>
    <t>Electricity from grid (kWh/year)</t>
  </si>
  <si>
    <t>Electricity to grid net (kWh/year)</t>
  </si>
  <si>
    <t>Electricity generated without storage (kWh/year)</t>
  </si>
  <si>
    <t>Battery annual energy discharged (kWh/year)</t>
  </si>
  <si>
    <t>Fuel cell annual energy discharged (kWh/year)</t>
  </si>
  <si>
    <t>Revenue</t>
  </si>
  <si>
    <t>PPA price by year ($/kWh)</t>
  </si>
  <si>
    <t>Gross PPA revenue</t>
  </si>
  <si>
    <t>Capacity payments</t>
  </si>
  <si>
    <t>Curtailment payments</t>
  </si>
  <si>
    <t>Electricity to grid (AC kWh)</t>
  </si>
  <si>
    <t>Electricity from grid (AC kWh)</t>
  </si>
  <si>
    <t>Electricity to grid net (AC kWh)</t>
  </si>
  <si>
    <t>Electricity generated without storage (AC kWh)</t>
  </si>
  <si>
    <t>Battery annual energy discharged (AC kWh)</t>
  </si>
  <si>
    <t>Fuel cell annual energy discharged (AC kWh)</t>
  </si>
  <si>
    <t>Net production (AC kWh)</t>
  </si>
  <si>
    <t>Other revenue</t>
  </si>
  <si>
    <t>Expenses Specific to Battery Systems</t>
  </si>
  <si>
    <t>Battery fixed</t>
  </si>
  <si>
    <t>Battery capacity-based</t>
  </si>
  <si>
    <t>Battery variable</t>
  </si>
  <si>
    <t>Operating expenses specific to battery systems</t>
  </si>
  <si>
    <t>Operating expenses specific to fuel cell systems</t>
  </si>
  <si>
    <t>Fuel cell fixed</t>
  </si>
  <si>
    <t>Fuel cell capacity-based</t>
  </si>
  <si>
    <t>Fuel cell variable</t>
  </si>
  <si>
    <t>Fuel cell replacement</t>
  </si>
  <si>
    <t>Fuel cell fuel</t>
  </si>
  <si>
    <t>Fuel costs</t>
  </si>
  <si>
    <t>Fuel</t>
  </si>
  <si>
    <t>Biomass feedstock</t>
  </si>
  <si>
    <t>Biomass coal feedstock</t>
  </si>
  <si>
    <t>Estimates for levelized cost of storage (LCOS) calculations</t>
  </si>
  <si>
    <t>Storage costs ($)</t>
  </si>
  <si>
    <t>Storage discharge (kWh/year)</t>
  </si>
  <si>
    <t>Land lease</t>
  </si>
  <si>
    <t>Land lease payments ($)</t>
  </si>
  <si>
    <t>Expenses Specific to Fuel Cell Systems</t>
  </si>
  <si>
    <t>LAND LEASE</t>
  </si>
  <si>
    <t>Land area estimate (acres)</t>
  </si>
  <si>
    <t>Annual land lease cost ($/acre)</t>
  </si>
  <si>
    <t>Land lease escalation rate (% above inflation)</t>
  </si>
  <si>
    <t>Geothermal recapitalization</t>
  </si>
  <si>
    <t>Recapitalization</t>
  </si>
  <si>
    <t>Electricity to grid (kWh)</t>
  </si>
  <si>
    <t>Electricity to grid (MWh)</t>
  </si>
  <si>
    <r>
      <t>LCOE (</t>
    </r>
    <r>
      <rPr>
        <sz val="10"/>
        <color theme="1"/>
        <rFont val="Calibri"/>
        <family val="2"/>
      </rPr>
      <t>¢</t>
    </r>
    <r>
      <rPr>
        <sz val="10"/>
        <color theme="1"/>
        <rFont val="Calibri"/>
        <family val="2"/>
        <scheme val="minor"/>
      </rPr>
      <t>/kWh)</t>
    </r>
  </si>
  <si>
    <t>Project Levelized COE and PPA Price (Nominal)</t>
  </si>
  <si>
    <t>Annual electricity to grid (kWh)</t>
  </si>
  <si>
    <t>Levelized Cost of Storage (Nominal)</t>
  </si>
  <si>
    <t>Annual storage costs ($)</t>
  </si>
  <si>
    <t>Annual storage energy discharge (kWh)</t>
  </si>
  <si>
    <t>NPV of annual storage costs ($)</t>
  </si>
  <si>
    <t>NPV of annual storage energy discharge (kWh)</t>
  </si>
  <si>
    <t>LCOS (¢/kWh)</t>
  </si>
  <si>
    <t>Land Lease</t>
  </si>
  <si>
    <t>PPA revenue (TOD multipliers may apply)</t>
  </si>
  <si>
    <t>Thermal revenue (fuel cell only)</t>
  </si>
  <si>
    <t>Less: Replacement reserve funding</t>
  </si>
  <si>
    <t>Minimum debt service coverage ratio</t>
  </si>
  <si>
    <t>Fixed cost by capacity ($/kW-yr)</t>
  </si>
  <si>
    <t>Investment Tax Credit (ITC) specified as annual values</t>
  </si>
  <si>
    <t>Federal ITC as fixed amount</t>
  </si>
  <si>
    <t>State ITC as fixed amount</t>
  </si>
  <si>
    <t>Federal ITC  percentage (%)</t>
  </si>
  <si>
    <t>Federal ITC as percentage maximum amount</t>
  </si>
  <si>
    <t>State ITC percentage (%)</t>
  </si>
  <si>
    <t>State ITC as percentage maximum amount</t>
  </si>
  <si>
    <t>Investment Tax Credit (ITC)</t>
  </si>
  <si>
    <t>ITC as fixed amount</t>
  </si>
  <si>
    <t>ITC  percentage (%)</t>
  </si>
  <si>
    <t>ITC as percentage maximum</t>
  </si>
  <si>
    <t>ITC as percentage amount</t>
  </si>
  <si>
    <t>ITC percentage (%)</t>
  </si>
  <si>
    <t>Depreciation and ITC Basis Calculations</t>
  </si>
  <si>
    <t>Depreciable basis prior to allocation</t>
  </si>
  <si>
    <t>Basis for State and Federal Depreciation and ITC</t>
  </si>
  <si>
    <t>Other financing cost</t>
  </si>
  <si>
    <t>ITC basis prior to qualification</t>
  </si>
  <si>
    <t>State Depreciation and ITC</t>
  </si>
  <si>
    <t>State Depreciable Basis</t>
  </si>
  <si>
    <t>Depreciation Allocation</t>
  </si>
  <si>
    <t>Basis Reduction for IBI and CBI</t>
  </si>
  <si>
    <t>Basis Reduction for ITC as % of Qualifying Costs</t>
  </si>
  <si>
    <t>Red. for ITC as Fixed Amt.</t>
  </si>
  <si>
    <t>Basis Reduction for ITC</t>
  </si>
  <si>
    <t>Bonus</t>
  </si>
  <si>
    <t>State depreciation allocations</t>
  </si>
  <si>
    <t>Gross Basis Allocations</t>
  </si>
  <si>
    <t>Basis Reduction for IBI</t>
  </si>
  <si>
    <t>Basis Reduction for CBI</t>
  </si>
  <si>
    <t>Basis After IBI and CBI Reductions</t>
  </si>
  <si>
    <t>ITC as Percentage Amount</t>
  </si>
  <si>
    <t>50% Basis Reduction for ITC as %</t>
  </si>
  <si>
    <t>50% Basis Reduction for ITC as Fixed Amount</t>
  </si>
  <si>
    <t>State ITC Reduction</t>
  </si>
  <si>
    <t>Federal ITC Reduction</t>
  </si>
  <si>
    <t>Basis After ITC Reduction</t>
  </si>
  <si>
    <t>Bonus Depreciation Reduction</t>
  </si>
  <si>
    <t>State ITC qualifying costs</t>
  </si>
  <si>
    <t>Depreciable Basis Reduction for Income from Incentives</t>
  </si>
  <si>
    <t>Total basis reduction for IBI as fixed amount</t>
  </si>
  <si>
    <t>Total basis reduction for IBI as percentage</t>
  </si>
  <si>
    <t>Total basis reduction for CBI</t>
  </si>
  <si>
    <t>Deprecation of property purchased for installation</t>
  </si>
  <si>
    <t>Depreciation of major equipment replacement</t>
  </si>
  <si>
    <t>Depreciation method</t>
  </si>
  <si>
    <t>Federal Depreciation and ITC</t>
  </si>
  <si>
    <t>Federal Depreciable Basis</t>
  </si>
  <si>
    <t>Federal depreciation allocations</t>
  </si>
  <si>
    <t>50 % Basis Reduction for ITC as %</t>
  </si>
  <si>
    <t>50% Basis Reduction for ITC as Fixed Amt.</t>
  </si>
  <si>
    <t>% of Basis Prior to Allocation</t>
  </si>
  <si>
    <t>Federal ITC qualifying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</si>
</sst>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0_);[Red]\(0\)"/>
    <numFmt numFmtId="165" formatCode="_(* #,##0.000_);_(* \(#,##0.000\);_(* &quot;-&quot;??_);_(@_)"/>
    <numFmt numFmtId="166" formatCode="_(* #,##0.000_);_(* \(#,##0.000\);_(* &quot;-&quot;???_);_(@_)"/>
    <numFmt numFmtId="167" formatCode="0.0%"/>
    <numFmt numFmtId="168" formatCode="_(* #,##0.00_);_(* \(#,##0.00\);_(* &quot;-&quot;_);_(@_)"/>
    <numFmt numFmtId="169" formatCode="0.0"/>
    <numFmt numFmtId="170" formatCode="#,##0.0"/>
    <numFmt numFmtId="171" formatCode="0_);\(0\)"/>
    <numFmt numFmtId="172" formatCode="#,##0.000"/>
    <numFmt numFmtId="173" formatCode="0.000"/>
  </numFmts>
  <fonts count="14" x14ac:knownFonts="1">
    <font>
      <sz val="11"/>
      <color theme="1"/>
      <name val="Calibri"/>
      <family val="2"/>
      <scheme val="minor"/>
    </font>
    <font>
      <sz val="11"/>
      <color theme="1"/>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color rgb="FF0000CC"/>
      <name val="Calibri"/>
      <family val="2"/>
      <scheme val="minor"/>
    </font>
    <font>
      <b/>
      <sz val="10"/>
      <color rgb="FFFF0000"/>
      <name val="Calibri"/>
      <family val="2"/>
      <scheme val="minor"/>
    </font>
    <font>
      <sz val="10"/>
      <color theme="1"/>
      <name val="Calibri"/>
      <family val="2"/>
    </font>
    <font>
      <sz val="11"/>
      <name val="Calibri"/>
      <family val="2"/>
      <scheme val="minor"/>
    </font>
    <font>
      <sz val="9"/>
      <color theme="1"/>
      <name val="Calibri"/>
      <family val="2"/>
    </font>
    <font>
      <sz val="10"/>
      <name val="Arial"/>
      <family val="2"/>
    </font>
    <font>
      <b/>
      <sz val="14"/>
      <color theme="0"/>
      <name val="Segoe UI"/>
      <family val="2"/>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theme="1"/>
        <bgColor indexed="64"/>
      </patternFill>
    </fill>
    <fill>
      <patternFill patternType="solid">
        <fgColor theme="9" tint="0.59999389629810485"/>
        <bgColor indexed="64"/>
      </patternFill>
    </fill>
    <fill>
      <patternFill patternType="solid">
        <fgColor theme="3" tint="0.79998168889431442"/>
        <bgColor indexed="64"/>
      </patternFill>
    </fill>
  </fills>
  <borders count="3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bottom style="double">
        <color indexed="64"/>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1" fillId="0" borderId="0"/>
    <xf numFmtId="9" fontId="11" fillId="0" borderId="0" applyFont="0" applyFill="0" applyBorder="0" applyAlignment="0" applyProtection="0"/>
  </cellStyleXfs>
  <cellXfs count="348">
    <xf numFmtId="0" fontId="0" fillId="0" borderId="0" xfId="0"/>
    <xf numFmtId="0" fontId="3" fillId="0" borderId="0" xfId="0" applyFont="1"/>
    <xf numFmtId="0" fontId="3" fillId="0" borderId="4" xfId="0" applyFont="1" applyBorder="1" applyAlignment="1">
      <alignment horizontal="center"/>
    </xf>
    <xf numFmtId="0" fontId="2" fillId="0" borderId="3" xfId="0" applyFont="1" applyBorder="1" applyAlignment="1">
      <alignment horizontal="center"/>
    </xf>
    <xf numFmtId="0" fontId="4" fillId="0" borderId="0" xfId="0" applyFont="1"/>
    <xf numFmtId="0" fontId="5" fillId="2" borderId="16" xfId="0" applyFont="1" applyFill="1" applyBorder="1"/>
    <xf numFmtId="0" fontId="4" fillId="2" borderId="17" xfId="0" applyFont="1" applyFill="1" applyBorder="1"/>
    <xf numFmtId="0" fontId="4" fillId="2" borderId="18" xfId="0" applyFont="1" applyFill="1" applyBorder="1"/>
    <xf numFmtId="0" fontId="4" fillId="0" borderId="7" xfId="0" applyFont="1" applyBorder="1" applyAlignment="1">
      <alignment horizontal="center"/>
    </xf>
    <xf numFmtId="0" fontId="4" fillId="0" borderId="22" xfId="0" applyFont="1" applyBorder="1"/>
    <xf numFmtId="0" fontId="3" fillId="0" borderId="15" xfId="0" applyFont="1" applyBorder="1" applyAlignment="1">
      <alignment horizontal="center"/>
    </xf>
    <xf numFmtId="166" fontId="3" fillId="0" borderId="0" xfId="0" applyNumberFormat="1" applyFont="1"/>
    <xf numFmtId="43" fontId="3" fillId="0" borderId="0" xfId="0" applyNumberFormat="1" applyFont="1"/>
    <xf numFmtId="0" fontId="3" fillId="0" borderId="7" xfId="0" applyFont="1" applyBorder="1" applyAlignment="1">
      <alignment horizontal="center"/>
    </xf>
    <xf numFmtId="41" fontId="4" fillId="0" borderId="0" xfId="0" applyNumberFormat="1" applyFont="1"/>
    <xf numFmtId="164" fontId="5" fillId="2" borderId="2" xfId="0" applyNumberFormat="1" applyFont="1" applyFill="1" applyBorder="1" applyAlignment="1">
      <alignment horizontal="center"/>
    </xf>
    <xf numFmtId="164" fontId="4" fillId="0" borderId="0" xfId="0" applyNumberFormat="1" applyFont="1" applyAlignment="1">
      <alignment horizontal="center"/>
    </xf>
    <xf numFmtId="0" fontId="4" fillId="0" borderId="0" xfId="0" applyFont="1" applyAlignment="1">
      <alignment horizontal="left"/>
    </xf>
    <xf numFmtId="10" fontId="4" fillId="0" borderId="0" xfId="1" applyNumberFormat="1" applyFont="1"/>
    <xf numFmtId="0" fontId="5" fillId="0" borderId="0" xfId="0" applyFont="1"/>
    <xf numFmtId="168" fontId="4" fillId="0" borderId="0" xfId="0" applyNumberFormat="1" applyFont="1"/>
    <xf numFmtId="0" fontId="4" fillId="0" borderId="0" xfId="0" applyFont="1" applyAlignment="1">
      <alignment horizontal="left" indent="2"/>
    </xf>
    <xf numFmtId="0" fontId="4" fillId="0" borderId="0" xfId="0" applyFont="1" applyAlignment="1">
      <alignment horizontal="left" indent="4"/>
    </xf>
    <xf numFmtId="167" fontId="4" fillId="0" borderId="0" xfId="1" applyNumberFormat="1" applyFont="1" applyBorder="1"/>
    <xf numFmtId="0" fontId="4" fillId="0" borderId="0" xfId="0" applyFont="1" applyAlignment="1">
      <alignment horizontal="right"/>
    </xf>
    <xf numFmtId="167" fontId="4" fillId="0" borderId="0" xfId="1" applyNumberFormat="1" applyFont="1"/>
    <xf numFmtId="0" fontId="5" fillId="0" borderId="16" xfId="0" applyFont="1" applyBorder="1"/>
    <xf numFmtId="0" fontId="4" fillId="0" borderId="18" xfId="0" applyFont="1" applyBorder="1"/>
    <xf numFmtId="0" fontId="4" fillId="0" borderId="17" xfId="0" applyFont="1" applyBorder="1"/>
    <xf numFmtId="41" fontId="3" fillId="0" borderId="0" xfId="0" applyNumberFormat="1" applyFont="1"/>
    <xf numFmtId="0" fontId="3" fillId="0" borderId="12" xfId="0" applyFont="1" applyBorder="1"/>
    <xf numFmtId="10" fontId="3" fillId="0" borderId="0" xfId="1" applyNumberFormat="1" applyFont="1" applyFill="1" applyBorder="1"/>
    <xf numFmtId="0" fontId="4" fillId="0" borderId="0" xfId="0" applyFont="1" applyAlignment="1">
      <alignment horizontal="center"/>
    </xf>
    <xf numFmtId="0" fontId="4" fillId="3" borderId="15" xfId="0" applyFont="1" applyFill="1" applyBorder="1"/>
    <xf numFmtId="0" fontId="4" fillId="0" borderId="15" xfId="0" applyFont="1" applyBorder="1"/>
    <xf numFmtId="0" fontId="4" fillId="0" borderId="15" xfId="0" applyFont="1" applyBorder="1" applyAlignment="1">
      <alignment horizontal="left" indent="1"/>
    </xf>
    <xf numFmtId="0" fontId="4" fillId="0" borderId="15" xfId="0" applyFont="1" applyBorder="1" applyAlignment="1">
      <alignment horizontal="left" indent="3"/>
    </xf>
    <xf numFmtId="0" fontId="4" fillId="0" borderId="16" xfId="0" applyFont="1" applyBorder="1" applyAlignment="1">
      <alignment horizontal="left" indent="1"/>
    </xf>
    <xf numFmtId="0" fontId="4" fillId="0" borderId="16" xfId="0" applyFont="1" applyBorder="1" applyAlignment="1">
      <alignment horizontal="right"/>
    </xf>
    <xf numFmtId="9" fontId="3" fillId="0" borderId="16" xfId="0" applyNumberFormat="1" applyFont="1" applyBorder="1"/>
    <xf numFmtId="9" fontId="4" fillId="0" borderId="17" xfId="1" applyFont="1" applyBorder="1"/>
    <xf numFmtId="43" fontId="4" fillId="3" borderId="17" xfId="3" applyFont="1" applyFill="1" applyBorder="1"/>
    <xf numFmtId="43" fontId="4" fillId="3" borderId="15" xfId="0" applyNumberFormat="1" applyFont="1" applyFill="1" applyBorder="1"/>
    <xf numFmtId="43" fontId="5" fillId="3" borderId="15" xfId="0" applyNumberFormat="1" applyFont="1" applyFill="1" applyBorder="1"/>
    <xf numFmtId="11" fontId="3" fillId="0" borderId="15" xfId="0" applyNumberFormat="1" applyFont="1" applyBorder="1"/>
    <xf numFmtId="0" fontId="4" fillId="0" borderId="15" xfId="0" applyFont="1" applyBorder="1" applyAlignment="1">
      <alignment horizontal="left" indent="2"/>
    </xf>
    <xf numFmtId="0" fontId="4" fillId="0" borderId="15" xfId="0" applyFont="1" applyBorder="1" applyAlignment="1">
      <alignment horizontal="left" indent="4"/>
    </xf>
    <xf numFmtId="0" fontId="4" fillId="0" borderId="13" xfId="0" applyFont="1" applyBorder="1" applyAlignment="1">
      <alignment horizontal="left" indent="1"/>
    </xf>
    <xf numFmtId="0" fontId="4" fillId="0" borderId="21" xfId="0" applyFont="1" applyBorder="1"/>
    <xf numFmtId="0" fontId="3" fillId="0" borderId="13" xfId="0" applyFont="1" applyBorder="1"/>
    <xf numFmtId="0" fontId="3" fillId="0" borderId="13" xfId="0" applyFont="1" applyBorder="1" applyAlignment="1">
      <alignment horizontal="center"/>
    </xf>
    <xf numFmtId="0" fontId="3" fillId="0" borderId="17" xfId="0" applyFont="1" applyBorder="1"/>
    <xf numFmtId="0" fontId="3" fillId="0" borderId="22" xfId="0" applyFont="1" applyBorder="1" applyAlignment="1">
      <alignment horizontal="center"/>
    </xf>
    <xf numFmtId="0" fontId="3" fillId="0" borderId="16" xfId="0" applyFont="1" applyBorder="1"/>
    <xf numFmtId="0" fontId="3" fillId="0" borderId="6" xfId="0" applyFont="1" applyBorder="1" applyAlignment="1">
      <alignment horizontal="center"/>
    </xf>
    <xf numFmtId="0" fontId="3" fillId="0" borderId="21" xfId="0" applyFont="1" applyBorder="1" applyAlignment="1">
      <alignment horizontal="center"/>
    </xf>
    <xf numFmtId="0" fontId="4" fillId="0" borderId="19" xfId="0" applyFont="1" applyBorder="1"/>
    <xf numFmtId="0" fontId="4" fillId="0" borderId="22" xfId="0" applyFont="1" applyBorder="1" applyAlignment="1">
      <alignment horizontal="left" indent="1"/>
    </xf>
    <xf numFmtId="0" fontId="3" fillId="0" borderId="0" xfId="0" applyFont="1" applyAlignment="1">
      <alignment horizontal="center"/>
    </xf>
    <xf numFmtId="165" fontId="3" fillId="0" borderId="0" xfId="0" applyNumberFormat="1" applyFont="1"/>
    <xf numFmtId="0" fontId="3" fillId="0" borderId="15" xfId="0" applyFont="1" applyBorder="1"/>
    <xf numFmtId="0" fontId="3" fillId="0" borderId="23" xfId="0" applyFont="1" applyBorder="1" applyAlignment="1">
      <alignment horizontal="center"/>
    </xf>
    <xf numFmtId="0" fontId="3" fillId="0" borderId="17" xfId="0" applyFont="1" applyBorder="1" applyAlignment="1">
      <alignment horizontal="center"/>
    </xf>
    <xf numFmtId="0" fontId="4" fillId="0" borderId="15" xfId="0" applyFont="1" applyBorder="1" applyAlignment="1">
      <alignment horizontal="center"/>
    </xf>
    <xf numFmtId="0" fontId="3" fillId="0" borderId="16" xfId="0" applyFont="1" applyBorder="1" applyAlignment="1">
      <alignment horizontal="center"/>
    </xf>
    <xf numFmtId="0" fontId="6" fillId="0" borderId="0" xfId="0" applyFont="1" applyAlignment="1">
      <alignment horizontal="center"/>
    </xf>
    <xf numFmtId="0" fontId="3" fillId="0" borderId="18" xfId="0" applyFont="1" applyBorder="1"/>
    <xf numFmtId="0" fontId="3" fillId="0" borderId="18" xfId="0" applyFont="1" applyBorder="1" applyAlignment="1">
      <alignment horizontal="center"/>
    </xf>
    <xf numFmtId="0" fontId="7" fillId="0" borderId="0" xfId="0" applyFont="1"/>
    <xf numFmtId="43" fontId="4" fillId="0" borderId="0" xfId="0" applyNumberFormat="1" applyFont="1"/>
    <xf numFmtId="0" fontId="4" fillId="0" borderId="13" xfId="0" applyFont="1" applyBorder="1" applyAlignment="1">
      <alignment horizontal="center"/>
    </xf>
    <xf numFmtId="0" fontId="4" fillId="0" borderId="13" xfId="0" applyFont="1" applyBorder="1" applyAlignment="1">
      <alignment horizontal="left" indent="2"/>
    </xf>
    <xf numFmtId="0" fontId="4" fillId="0" borderId="22" xfId="0" applyFont="1" applyBorder="1" applyAlignment="1">
      <alignment horizontal="left" indent="4"/>
    </xf>
    <xf numFmtId="0" fontId="5" fillId="0" borderId="4" xfId="0" applyFont="1" applyBorder="1"/>
    <xf numFmtId="0" fontId="4" fillId="0" borderId="23" xfId="0" applyFont="1" applyBorder="1" applyAlignment="1">
      <alignment horizontal="left" indent="4"/>
    </xf>
    <xf numFmtId="0" fontId="5" fillId="0" borderId="13" xfId="0" applyFont="1" applyBorder="1"/>
    <xf numFmtId="0" fontId="4" fillId="0" borderId="13" xfId="0" applyFont="1" applyBorder="1" applyAlignment="1">
      <alignment horizontal="center" wrapText="1"/>
    </xf>
    <xf numFmtId="0" fontId="4" fillId="0" borderId="23" xfId="0" applyFont="1" applyBorder="1" applyAlignment="1">
      <alignment horizontal="left" indent="2"/>
    </xf>
    <xf numFmtId="0" fontId="4" fillId="0" borderId="0" xfId="0" applyFont="1" applyAlignment="1">
      <alignment horizontal="left" indent="5"/>
    </xf>
    <xf numFmtId="0" fontId="2" fillId="0" borderId="0" xfId="0" applyFont="1"/>
    <xf numFmtId="0" fontId="5" fillId="2" borderId="15" xfId="0" applyFont="1" applyFill="1" applyBorder="1"/>
    <xf numFmtId="0" fontId="4" fillId="0" borderId="4" xfId="0" applyFont="1" applyBorder="1" applyAlignment="1">
      <alignment horizontal="right"/>
    </xf>
    <xf numFmtId="10" fontId="4" fillId="0" borderId="0" xfId="0" applyNumberFormat="1" applyFont="1"/>
    <xf numFmtId="10" fontId="4" fillId="0" borderId="0" xfId="0" applyNumberFormat="1" applyFont="1" applyAlignment="1">
      <alignment horizontal="right"/>
    </xf>
    <xf numFmtId="0" fontId="4" fillId="0" borderId="0" xfId="0" applyFont="1" applyAlignment="1">
      <alignment horizontal="left" indent="1"/>
    </xf>
    <xf numFmtId="0" fontId="4" fillId="0" borderId="0" xfId="0" applyFont="1" applyAlignment="1">
      <alignment horizontal="left" indent="3"/>
    </xf>
    <xf numFmtId="0" fontId="5" fillId="0" borderId="0" xfId="0" applyFont="1" applyAlignment="1">
      <alignment horizontal="center"/>
    </xf>
    <xf numFmtId="10" fontId="4" fillId="0" borderId="0" xfId="1" applyNumberFormat="1" applyFont="1" applyFill="1" applyBorder="1"/>
    <xf numFmtId="10" fontId="4" fillId="0" borderId="0" xfId="1" applyNumberFormat="1" applyFont="1" applyBorder="1"/>
    <xf numFmtId="0" fontId="9" fillId="0" borderId="0" xfId="0" applyFont="1"/>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41" fontId="3" fillId="0" borderId="15" xfId="0" applyNumberFormat="1" applyFont="1" applyBorder="1" applyAlignment="1">
      <alignment horizontal="center"/>
    </xf>
    <xf numFmtId="2" fontId="3" fillId="0" borderId="15" xfId="1" applyNumberFormat="1" applyFont="1" applyFill="1" applyBorder="1"/>
    <xf numFmtId="2" fontId="4" fillId="0" borderId="0" xfId="0" applyNumberFormat="1" applyFont="1"/>
    <xf numFmtId="4" fontId="3" fillId="0" borderId="0" xfId="3" applyNumberFormat="1" applyFont="1" applyFill="1" applyBorder="1"/>
    <xf numFmtId="4" fontId="4" fillId="2" borderId="17" xfId="3" applyNumberFormat="1" applyFont="1" applyFill="1" applyBorder="1"/>
    <xf numFmtId="4" fontId="3" fillId="0" borderId="15" xfId="3" applyNumberFormat="1" applyFont="1" applyFill="1" applyBorder="1"/>
    <xf numFmtId="4" fontId="4" fillId="0" borderId="0" xfId="3" applyNumberFormat="1" applyFont="1"/>
    <xf numFmtId="4" fontId="2" fillId="2" borderId="17" xfId="0" applyNumberFormat="1" applyFont="1" applyFill="1" applyBorder="1"/>
    <xf numFmtId="4" fontId="3" fillId="0" borderId="15" xfId="0" applyNumberFormat="1" applyFont="1" applyBorder="1"/>
    <xf numFmtId="4" fontId="4" fillId="0" borderId="15" xfId="0" applyNumberFormat="1" applyFont="1" applyBorder="1"/>
    <xf numFmtId="4" fontId="4" fillId="2" borderId="17" xfId="0" applyNumberFormat="1" applyFont="1" applyFill="1" applyBorder="1"/>
    <xf numFmtId="4" fontId="4" fillId="0" borderId="0" xfId="0" applyNumberFormat="1" applyFont="1"/>
    <xf numFmtId="4" fontId="3" fillId="0" borderId="0" xfId="1" applyNumberFormat="1" applyFont="1" applyBorder="1"/>
    <xf numFmtId="4" fontId="3" fillId="0" borderId="15" xfId="1" applyNumberFormat="1" applyFont="1" applyBorder="1"/>
    <xf numFmtId="4" fontId="4" fillId="0" borderId="17" xfId="0" applyNumberFormat="1" applyFont="1" applyBorder="1"/>
    <xf numFmtId="4" fontId="3" fillId="0" borderId="17" xfId="0" applyNumberFormat="1" applyFont="1" applyBorder="1"/>
    <xf numFmtId="4" fontId="4" fillId="0" borderId="15" xfId="1" applyNumberFormat="1" applyFont="1" applyFill="1" applyBorder="1"/>
    <xf numFmtId="4" fontId="3" fillId="3" borderId="15" xfId="1" applyNumberFormat="1" applyFont="1" applyFill="1" applyBorder="1"/>
    <xf numFmtId="4" fontId="3" fillId="0" borderId="15" xfId="1" applyNumberFormat="1" applyFont="1" applyFill="1" applyBorder="1"/>
    <xf numFmtId="4" fontId="4" fillId="0" borderId="15" xfId="1" applyNumberFormat="1" applyFont="1" applyBorder="1"/>
    <xf numFmtId="4" fontId="3" fillId="0" borderId="0" xfId="0" applyNumberFormat="1" applyFont="1"/>
    <xf numFmtId="2" fontId="3" fillId="0" borderId="6" xfId="1" applyNumberFormat="1" applyFont="1" applyFill="1" applyBorder="1"/>
    <xf numFmtId="3" fontId="4" fillId="0" borderId="0" xfId="0" applyNumberFormat="1" applyFont="1"/>
    <xf numFmtId="3" fontId="4" fillId="0" borderId="1" xfId="0" applyNumberFormat="1" applyFont="1" applyBorder="1"/>
    <xf numFmtId="3" fontId="4" fillId="0" borderId="12" xfId="0" applyNumberFormat="1" applyFont="1" applyBorder="1"/>
    <xf numFmtId="3" fontId="4" fillId="0" borderId="19" xfId="0" applyNumberFormat="1" applyFont="1" applyBorder="1"/>
    <xf numFmtId="3" fontId="4" fillId="0" borderId="4" xfId="0" applyNumberFormat="1" applyFont="1" applyBorder="1"/>
    <xf numFmtId="3" fontId="4" fillId="0" borderId="13" xfId="0" applyNumberFormat="1" applyFont="1" applyBorder="1"/>
    <xf numFmtId="3" fontId="4" fillId="0" borderId="20" xfId="0" applyNumberFormat="1" applyFont="1" applyBorder="1"/>
    <xf numFmtId="3" fontId="4" fillId="0" borderId="21" xfId="0" applyNumberFormat="1" applyFont="1" applyBorder="1"/>
    <xf numFmtId="3" fontId="4" fillId="0" borderId="22" xfId="0" applyNumberFormat="1" applyFont="1" applyBorder="1"/>
    <xf numFmtId="3" fontId="4" fillId="0" borderId="5" xfId="0" applyNumberFormat="1" applyFont="1" applyBorder="1"/>
    <xf numFmtId="1" fontId="4" fillId="0" borderId="20" xfId="1" applyNumberFormat="1" applyFont="1" applyFill="1" applyBorder="1"/>
    <xf numFmtId="1" fontId="4" fillId="0" borderId="0" xfId="1" applyNumberFormat="1" applyFont="1" applyFill="1" applyBorder="1"/>
    <xf numFmtId="1" fontId="4" fillId="0" borderId="18" xfId="1" applyNumberFormat="1" applyFont="1" applyFill="1" applyBorder="1"/>
    <xf numFmtId="170" fontId="4" fillId="0" borderId="20" xfId="1" applyNumberFormat="1" applyFont="1" applyFill="1" applyBorder="1"/>
    <xf numFmtId="170" fontId="4" fillId="0" borderId="0" xfId="1" applyNumberFormat="1" applyFont="1" applyFill="1" applyBorder="1"/>
    <xf numFmtId="3" fontId="4" fillId="0" borderId="7" xfId="0" applyNumberFormat="1" applyFont="1" applyBorder="1"/>
    <xf numFmtId="3" fontId="4" fillId="0" borderId="16" xfId="0" applyNumberFormat="1" applyFont="1" applyBorder="1"/>
    <xf numFmtId="170" fontId="4" fillId="0" borderId="18" xfId="1" applyNumberFormat="1" applyFont="1" applyFill="1" applyBorder="1"/>
    <xf numFmtId="3" fontId="4" fillId="0" borderId="18" xfId="0" applyNumberFormat="1" applyFont="1" applyBorder="1"/>
    <xf numFmtId="3" fontId="4" fillId="0" borderId="17" xfId="0" applyNumberFormat="1" applyFont="1" applyBorder="1"/>
    <xf numFmtId="4" fontId="3" fillId="0" borderId="16" xfId="0" applyNumberFormat="1" applyFont="1" applyBorder="1"/>
    <xf numFmtId="1" fontId="3" fillId="0" borderId="16" xfId="0" applyNumberFormat="1" applyFont="1" applyBorder="1"/>
    <xf numFmtId="37" fontId="3" fillId="0" borderId="16" xfId="0" applyNumberFormat="1" applyFont="1" applyBorder="1"/>
    <xf numFmtId="37" fontId="3" fillId="0" borderId="19" xfId="0" applyNumberFormat="1" applyFont="1" applyBorder="1"/>
    <xf numFmtId="2" fontId="3" fillId="0" borderId="23" xfId="1" applyNumberFormat="1" applyFont="1" applyFill="1" applyBorder="1"/>
    <xf numFmtId="4" fontId="3" fillId="0" borderId="23" xfId="0" applyNumberFormat="1" applyFont="1" applyBorder="1"/>
    <xf numFmtId="1" fontId="3" fillId="0" borderId="15" xfId="0" applyNumberFormat="1" applyFont="1" applyBorder="1"/>
    <xf numFmtId="3" fontId="4" fillId="0" borderId="2" xfId="0" applyNumberFormat="1" applyFont="1" applyBorder="1"/>
    <xf numFmtId="3" fontId="4" fillId="0" borderId="3" xfId="0" applyNumberFormat="1" applyFont="1" applyBorder="1"/>
    <xf numFmtId="2" fontId="3" fillId="3" borderId="16" xfId="1" applyNumberFormat="1" applyFont="1" applyFill="1" applyBorder="1"/>
    <xf numFmtId="2" fontId="4" fillId="0" borderId="1" xfId="0" applyNumberFormat="1" applyFont="1" applyBorder="1"/>
    <xf numFmtId="1" fontId="4" fillId="0" borderId="0" xfId="0" applyNumberFormat="1" applyFont="1"/>
    <xf numFmtId="170" fontId="4" fillId="0" borderId="0" xfId="0" applyNumberFormat="1" applyFont="1"/>
    <xf numFmtId="3" fontId="4" fillId="0" borderId="8" xfId="0" applyNumberFormat="1" applyFont="1" applyBorder="1"/>
    <xf numFmtId="1" fontId="4" fillId="0" borderId="15" xfId="0" applyNumberFormat="1" applyFont="1" applyBorder="1"/>
    <xf numFmtId="3" fontId="3" fillId="0" borderId="0" xfId="0" applyNumberFormat="1" applyFont="1"/>
    <xf numFmtId="0" fontId="4" fillId="0" borderId="4" xfId="0" applyFont="1" applyBorder="1"/>
    <xf numFmtId="37" fontId="4" fillId="0" borderId="0" xfId="0" applyNumberFormat="1" applyFont="1"/>
    <xf numFmtId="37" fontId="4" fillId="0" borderId="1" xfId="0" applyNumberFormat="1" applyFont="1" applyBorder="1"/>
    <xf numFmtId="37" fontId="4" fillId="0" borderId="18" xfId="0" applyNumberFormat="1" applyFont="1" applyBorder="1"/>
    <xf numFmtId="37" fontId="4" fillId="0" borderId="2" xfId="0" applyNumberFormat="1" applyFont="1" applyBorder="1"/>
    <xf numFmtId="2" fontId="3" fillId="0" borderId="9" xfId="0" applyNumberFormat="1" applyFont="1" applyBorder="1"/>
    <xf numFmtId="2" fontId="3" fillId="0" borderId="10" xfId="0" applyNumberFormat="1" applyFont="1" applyBorder="1" applyAlignment="1">
      <alignment horizontal="right"/>
    </xf>
    <xf numFmtId="2" fontId="3" fillId="0" borderId="10" xfId="0" applyNumberFormat="1" applyFont="1" applyBorder="1"/>
    <xf numFmtId="2" fontId="3" fillId="0" borderId="11" xfId="0" applyNumberFormat="1" applyFont="1" applyBorder="1"/>
    <xf numFmtId="169" fontId="4" fillId="0" borderId="9" xfId="0" applyNumberFormat="1" applyFont="1" applyBorder="1"/>
    <xf numFmtId="169" fontId="4" fillId="0" borderId="0" xfId="1" applyNumberFormat="1" applyFont="1" applyBorder="1"/>
    <xf numFmtId="2" fontId="3" fillId="0" borderId="9" xfId="2" applyNumberFormat="1" applyFont="1" applyFill="1" applyBorder="1"/>
    <xf numFmtId="2" fontId="3" fillId="0" borderId="10" xfId="2" applyNumberFormat="1" applyFont="1" applyFill="1" applyBorder="1"/>
    <xf numFmtId="169" fontId="4" fillId="0" borderId="15" xfId="0" applyNumberFormat="1" applyFont="1" applyBorder="1"/>
    <xf numFmtId="3" fontId="4" fillId="0" borderId="9" xfId="3" applyNumberFormat="1" applyFont="1" applyBorder="1"/>
    <xf numFmtId="3" fontId="4" fillId="0" borderId="12" xfId="3" applyNumberFormat="1" applyFont="1" applyBorder="1"/>
    <xf numFmtId="3" fontId="4" fillId="0" borderId="20" xfId="3" applyNumberFormat="1" applyFont="1" applyBorder="1"/>
    <xf numFmtId="169" fontId="4" fillId="0" borderId="0" xfId="1" applyNumberFormat="1" applyFont="1"/>
    <xf numFmtId="171" fontId="4" fillId="0" borderId="0" xfId="0" applyNumberFormat="1" applyFont="1"/>
    <xf numFmtId="37" fontId="4" fillId="0" borderId="3" xfId="0" applyNumberFormat="1" applyFont="1" applyBorder="1"/>
    <xf numFmtId="37" fontId="4" fillId="0" borderId="7" xfId="0" applyNumberFormat="1" applyFont="1" applyBorder="1"/>
    <xf numFmtId="37" fontId="4" fillId="0" borderId="4" xfId="0" applyNumberFormat="1" applyFont="1" applyBorder="1"/>
    <xf numFmtId="3" fontId="4" fillId="0" borderId="9" xfId="0" applyNumberFormat="1" applyFont="1" applyBorder="1"/>
    <xf numFmtId="3" fontId="4" fillId="0" borderId="15" xfId="0" applyNumberFormat="1" applyFont="1" applyBorder="1"/>
    <xf numFmtId="37" fontId="4" fillId="0" borderId="15" xfId="0" applyNumberFormat="1" applyFont="1" applyBorder="1"/>
    <xf numFmtId="3" fontId="3" fillId="0" borderId="15" xfId="0" applyNumberFormat="1" applyFont="1" applyBorder="1"/>
    <xf numFmtId="43" fontId="4" fillId="0" borderId="4" xfId="0" applyNumberFormat="1" applyFont="1" applyBorder="1"/>
    <xf numFmtId="3" fontId="4" fillId="0" borderId="0" xfId="0" applyNumberFormat="1" applyFont="1" applyAlignment="1">
      <alignment horizontal="center"/>
    </xf>
    <xf numFmtId="170" fontId="3" fillId="0" borderId="0" xfId="0" applyNumberFormat="1" applyFont="1"/>
    <xf numFmtId="3" fontId="4" fillId="0" borderId="0" xfId="0" applyNumberFormat="1" applyFont="1" applyAlignment="1">
      <alignment horizontal="right"/>
    </xf>
    <xf numFmtId="170" fontId="4" fillId="0" borderId="0" xfId="0" applyNumberFormat="1" applyFont="1" applyAlignment="1">
      <alignment horizontal="right"/>
    </xf>
    <xf numFmtId="3" fontId="4" fillId="0" borderId="0" xfId="0" quotePrefix="1" applyNumberFormat="1" applyFont="1"/>
    <xf numFmtId="2" fontId="3" fillId="0" borderId="15" xfId="0" applyNumberFormat="1" applyFont="1" applyBorder="1"/>
    <xf numFmtId="2" fontId="3" fillId="0" borderId="22" xfId="0" applyNumberFormat="1" applyFont="1" applyBorder="1"/>
    <xf numFmtId="2" fontId="4" fillId="0" borderId="15" xfId="0" applyNumberFormat="1" applyFont="1" applyBorder="1"/>
    <xf numFmtId="2" fontId="4" fillId="0" borderId="22" xfId="0" applyNumberFormat="1" applyFont="1" applyBorder="1"/>
    <xf numFmtId="1" fontId="4" fillId="0" borderId="22" xfId="0" applyNumberFormat="1" applyFont="1" applyBorder="1"/>
    <xf numFmtId="2" fontId="4" fillId="0" borderId="15" xfId="1" applyNumberFormat="1" applyFont="1" applyBorder="1"/>
    <xf numFmtId="2" fontId="4" fillId="0" borderId="22" xfId="1" applyNumberFormat="1" applyFont="1" applyBorder="1"/>
    <xf numFmtId="0" fontId="4" fillId="0" borderId="20" xfId="0" applyFont="1" applyBorder="1"/>
    <xf numFmtId="2" fontId="4" fillId="0" borderId="15" xfId="1" applyNumberFormat="1" applyFont="1" applyFill="1" applyBorder="1" applyAlignment="1">
      <alignment horizontal="right"/>
    </xf>
    <xf numFmtId="3" fontId="4" fillId="0" borderId="0" xfId="0" applyNumberFormat="1" applyFont="1" applyAlignment="1">
      <alignment horizontal="left"/>
    </xf>
    <xf numFmtId="0" fontId="3" fillId="0" borderId="0" xfId="0" applyFont="1" applyAlignment="1">
      <alignment horizontal="right"/>
    </xf>
    <xf numFmtId="3" fontId="5" fillId="2" borderId="15" xfId="0" applyNumberFormat="1" applyFont="1" applyFill="1" applyBorder="1" applyAlignment="1">
      <alignment horizontal="left"/>
    </xf>
    <xf numFmtId="3" fontId="5" fillId="2" borderId="15" xfId="0" quotePrefix="1" applyNumberFormat="1" applyFont="1" applyFill="1" applyBorder="1" applyAlignment="1">
      <alignment horizontal="center"/>
    </xf>
    <xf numFmtId="3" fontId="4" fillId="0" borderId="15" xfId="0" applyNumberFormat="1" applyFont="1" applyBorder="1" applyAlignment="1">
      <alignment horizontal="left"/>
    </xf>
    <xf numFmtId="172" fontId="4" fillId="0" borderId="0" xfId="0" applyNumberFormat="1" applyFont="1"/>
    <xf numFmtId="3" fontId="4" fillId="5" borderId="15" xfId="0" applyNumberFormat="1" applyFont="1" applyFill="1" applyBorder="1"/>
    <xf numFmtId="4" fontId="3" fillId="5" borderId="15" xfId="0" applyNumberFormat="1" applyFont="1" applyFill="1" applyBorder="1"/>
    <xf numFmtId="0" fontId="4" fillId="0" borderId="18" xfId="0" applyFont="1" applyBorder="1" applyAlignment="1">
      <alignment horizontal="left"/>
    </xf>
    <xf numFmtId="0" fontId="4" fillId="0" borderId="14" xfId="0" applyFont="1" applyBorder="1"/>
    <xf numFmtId="0" fontId="5" fillId="0" borderId="18" xfId="0" applyFont="1" applyBorder="1"/>
    <xf numFmtId="0" fontId="4" fillId="0" borderId="18" xfId="0" applyFont="1" applyBorder="1" applyAlignment="1">
      <alignment horizontal="left" indent="1"/>
    </xf>
    <xf numFmtId="4" fontId="4" fillId="0" borderId="3" xfId="0" applyNumberFormat="1" applyFont="1" applyBorder="1"/>
    <xf numFmtId="2" fontId="4" fillId="0" borderId="4" xfId="1" applyNumberFormat="1" applyFont="1" applyFill="1" applyBorder="1"/>
    <xf numFmtId="2" fontId="4" fillId="0" borderId="7" xfId="1" applyNumberFormat="1" applyFont="1" applyFill="1" applyBorder="1"/>
    <xf numFmtId="4" fontId="4" fillId="0" borderId="4" xfId="1" applyNumberFormat="1" applyFont="1" applyFill="1" applyBorder="1"/>
    <xf numFmtId="4" fontId="4" fillId="0" borderId="7" xfId="1" applyNumberFormat="1" applyFont="1" applyFill="1" applyBorder="1"/>
    <xf numFmtId="10" fontId="4" fillId="2" borderId="18" xfId="1" applyNumberFormat="1" applyFont="1" applyFill="1" applyBorder="1"/>
    <xf numFmtId="41" fontId="4" fillId="2" borderId="18" xfId="0" applyNumberFormat="1" applyFont="1" applyFill="1" applyBorder="1"/>
    <xf numFmtId="0" fontId="4" fillId="0" borderId="15" xfId="0" applyFont="1" applyBorder="1" applyAlignment="1">
      <alignment horizontal="center" wrapText="1"/>
    </xf>
    <xf numFmtId="41" fontId="3" fillId="0" borderId="15" xfId="0" applyNumberFormat="1" applyFont="1" applyBorder="1" applyAlignment="1">
      <alignment horizontal="center" wrapText="1"/>
    </xf>
    <xf numFmtId="0" fontId="12" fillId="6" borderId="26" xfId="4" applyFont="1" applyFill="1" applyBorder="1" applyAlignment="1">
      <alignment horizontal="center"/>
    </xf>
    <xf numFmtId="0" fontId="5" fillId="2" borderId="19" xfId="0" applyFont="1" applyFill="1" applyBorder="1"/>
    <xf numFmtId="4" fontId="4" fillId="2" borderId="21" xfId="0" applyNumberFormat="1" applyFont="1" applyFill="1" applyBorder="1"/>
    <xf numFmtId="4" fontId="3" fillId="0" borderId="13" xfId="0" applyNumberFormat="1" applyFont="1" applyBorder="1"/>
    <xf numFmtId="0" fontId="3" fillId="4" borderId="22" xfId="0" applyFont="1" applyFill="1" applyBorder="1"/>
    <xf numFmtId="0" fontId="12" fillId="6" borderId="26" xfId="4" applyFont="1" applyFill="1" applyBorder="1" applyAlignment="1">
      <alignment horizontal="left"/>
    </xf>
    <xf numFmtId="0" fontId="3" fillId="6" borderId="2" xfId="0" applyFont="1" applyFill="1" applyBorder="1" applyAlignment="1">
      <alignment horizontal="left"/>
    </xf>
    <xf numFmtId="41" fontId="3" fillId="6" borderId="2" xfId="2" applyNumberFormat="1" applyFont="1" applyFill="1" applyBorder="1" applyAlignment="1">
      <alignment horizontal="left"/>
    </xf>
    <xf numFmtId="0" fontId="5" fillId="0" borderId="7" xfId="0" applyFont="1" applyBorder="1"/>
    <xf numFmtId="4" fontId="3" fillId="0" borderId="6" xfId="0" applyNumberFormat="1" applyFont="1" applyBorder="1"/>
    <xf numFmtId="0" fontId="5" fillId="0" borderId="27" xfId="0" applyFont="1" applyBorder="1"/>
    <xf numFmtId="4" fontId="4" fillId="0" borderId="28" xfId="0" applyNumberFormat="1" applyFont="1" applyBorder="1"/>
    <xf numFmtId="0" fontId="3" fillId="0" borderId="16" xfId="0" applyFont="1" applyBorder="1" applyAlignment="1">
      <alignment horizontal="right"/>
    </xf>
    <xf numFmtId="0" fontId="4" fillId="0" borderId="16" xfId="0" applyFont="1" applyBorder="1" applyAlignment="1">
      <alignment horizontal="center" wrapText="1"/>
    </xf>
    <xf numFmtId="41" fontId="3" fillId="0" borderId="16" xfId="0" applyNumberFormat="1" applyFont="1" applyBorder="1"/>
    <xf numFmtId="0" fontId="4" fillId="0" borderId="7" xfId="0" applyFont="1" applyBorder="1"/>
    <xf numFmtId="0" fontId="4" fillId="0" borderId="6" xfId="0" applyFont="1" applyBorder="1"/>
    <xf numFmtId="0" fontId="4" fillId="0" borderId="12" xfId="0" applyFont="1" applyBorder="1" applyAlignment="1">
      <alignment horizontal="center"/>
    </xf>
    <xf numFmtId="0" fontId="4" fillId="0" borderId="12" xfId="0" applyFont="1" applyBorder="1"/>
    <xf numFmtId="0" fontId="4" fillId="2" borderId="20" xfId="0" applyFont="1" applyFill="1" applyBorder="1"/>
    <xf numFmtId="0" fontId="4" fillId="2" borderId="21" xfId="0" applyFont="1" applyFill="1" applyBorder="1"/>
    <xf numFmtId="0" fontId="3" fillId="0" borderId="7" xfId="0" applyFont="1" applyBorder="1"/>
    <xf numFmtId="0" fontId="3" fillId="0" borderId="1" xfId="0" applyFont="1" applyBorder="1"/>
    <xf numFmtId="0" fontId="3" fillId="0" borderId="6" xfId="0" applyFont="1" applyBorder="1"/>
    <xf numFmtId="0" fontId="3" fillId="0" borderId="31" xfId="0" applyFont="1" applyBorder="1" applyAlignment="1">
      <alignment horizontal="center"/>
    </xf>
    <xf numFmtId="11" fontId="3" fillId="0" borderId="23" xfId="0" applyNumberFormat="1" applyFont="1" applyBorder="1"/>
    <xf numFmtId="4" fontId="3" fillId="7" borderId="15" xfId="0" applyNumberFormat="1" applyFont="1" applyFill="1" applyBorder="1"/>
    <xf numFmtId="0" fontId="4" fillId="7" borderId="29" xfId="0" applyFont="1" applyFill="1" applyBorder="1" applyAlignment="1">
      <alignment horizontal="left" indent="1"/>
    </xf>
    <xf numFmtId="4" fontId="3" fillId="7" borderId="30" xfId="0" applyNumberFormat="1" applyFont="1" applyFill="1" applyBorder="1"/>
    <xf numFmtId="0" fontId="4" fillId="7" borderId="24" xfId="0" applyFont="1" applyFill="1" applyBorder="1" applyAlignment="1">
      <alignment horizontal="left" indent="1"/>
    </xf>
    <xf numFmtId="4" fontId="3" fillId="7" borderId="25" xfId="0" applyNumberFormat="1" applyFont="1" applyFill="1" applyBorder="1"/>
    <xf numFmtId="4" fontId="3" fillId="3" borderId="15" xfId="0" applyNumberFormat="1" applyFont="1" applyFill="1" applyBorder="1"/>
    <xf numFmtId="0" fontId="3" fillId="0" borderId="2" xfId="0" applyFont="1" applyBorder="1" applyAlignment="1">
      <alignment horizontal="left"/>
    </xf>
    <xf numFmtId="0" fontId="3" fillId="0" borderId="0" xfId="0" applyFont="1" applyAlignment="1">
      <alignment horizontal="left"/>
    </xf>
    <xf numFmtId="0" fontId="2" fillId="0" borderId="15" xfId="0" applyFont="1" applyBorder="1" applyAlignment="1">
      <alignment horizontal="center"/>
    </xf>
    <xf numFmtId="0" fontId="12" fillId="0" borderId="0" xfId="4" applyFont="1" applyAlignment="1">
      <alignment horizontal="center"/>
    </xf>
    <xf numFmtId="0" fontId="12" fillId="6" borderId="32" xfId="4" applyFont="1" applyFill="1" applyBorder="1" applyAlignment="1">
      <alignment horizontal="center"/>
    </xf>
    <xf numFmtId="0" fontId="4" fillId="4" borderId="15" xfId="0" applyFont="1" applyFill="1" applyBorder="1"/>
    <xf numFmtId="0" fontId="4" fillId="5" borderId="15" xfId="0" applyFont="1" applyFill="1" applyBorder="1"/>
    <xf numFmtId="3" fontId="5" fillId="0" borderId="16" xfId="0" applyNumberFormat="1" applyFont="1" applyBorder="1"/>
    <xf numFmtId="3" fontId="4" fillId="5" borderId="22" xfId="0" applyNumberFormat="1" applyFont="1" applyFill="1" applyBorder="1"/>
    <xf numFmtId="0" fontId="4" fillId="4" borderId="13" xfId="0" applyFont="1" applyFill="1" applyBorder="1"/>
    <xf numFmtId="0" fontId="4" fillId="5" borderId="13" xfId="0" applyFont="1" applyFill="1" applyBorder="1"/>
    <xf numFmtId="0" fontId="4" fillId="4" borderId="18" xfId="0" applyFont="1" applyFill="1" applyBorder="1"/>
    <xf numFmtId="0" fontId="4" fillId="4" borderId="17" xfId="0" applyFont="1" applyFill="1" applyBorder="1"/>
    <xf numFmtId="0" fontId="4" fillId="0" borderId="22" xfId="0" applyFont="1" applyBorder="1" applyAlignment="1">
      <alignment horizontal="left" indent="2"/>
    </xf>
    <xf numFmtId="0" fontId="4" fillId="4" borderId="22" xfId="0" applyFont="1" applyFill="1" applyBorder="1"/>
    <xf numFmtId="0" fontId="4" fillId="5" borderId="22" xfId="0" applyFont="1" applyFill="1" applyBorder="1"/>
    <xf numFmtId="2" fontId="3" fillId="0" borderId="16" xfId="1" applyNumberFormat="1" applyFont="1" applyFill="1" applyBorder="1"/>
    <xf numFmtId="0" fontId="3" fillId="0" borderId="13" xfId="0" applyFont="1" applyBorder="1" applyAlignment="1">
      <alignment horizontal="center" wrapText="1"/>
    </xf>
    <xf numFmtId="0" fontId="3" fillId="0" borderId="7" xfId="0" applyFont="1" applyBorder="1" applyAlignment="1">
      <alignment horizontal="center" wrapText="1"/>
    </xf>
    <xf numFmtId="2" fontId="3" fillId="0" borderId="23" xfId="1" applyNumberFormat="1" applyFont="1" applyBorder="1"/>
    <xf numFmtId="0" fontId="5" fillId="0" borderId="33" xfId="0" applyFont="1" applyBorder="1"/>
    <xf numFmtId="4" fontId="3" fillId="0" borderId="34" xfId="0" applyNumberFormat="1" applyFont="1" applyBorder="1"/>
    <xf numFmtId="0" fontId="2" fillId="0" borderId="16" xfId="0" applyFont="1" applyBorder="1" applyAlignment="1">
      <alignment horizontal="left"/>
    </xf>
    <xf numFmtId="0" fontId="3" fillId="0" borderId="15" xfId="0" applyFont="1" applyBorder="1" applyAlignment="1">
      <alignment horizontal="left" indent="1"/>
    </xf>
    <xf numFmtId="4" fontId="3" fillId="0" borderId="21" xfId="0" applyNumberFormat="1" applyFont="1" applyBorder="1"/>
    <xf numFmtId="0" fontId="3" fillId="0" borderId="16" xfId="0" applyFont="1" applyBorder="1" applyAlignment="1">
      <alignment horizontal="left" indent="1"/>
    </xf>
    <xf numFmtId="0" fontId="3" fillId="4" borderId="15" xfId="4" applyFont="1" applyFill="1" applyBorder="1" applyAlignment="1">
      <alignment horizontal="right"/>
    </xf>
    <xf numFmtId="2" fontId="4" fillId="0" borderId="0" xfId="1" applyNumberFormat="1" applyFont="1" applyFill="1" applyBorder="1"/>
    <xf numFmtId="3" fontId="4" fillId="0" borderId="6" xfId="0" applyNumberFormat="1" applyFont="1" applyBorder="1"/>
    <xf numFmtId="3" fontId="4" fillId="0" borderId="15" xfId="3" applyNumberFormat="1" applyFont="1" applyBorder="1"/>
    <xf numFmtId="0" fontId="13" fillId="0" borderId="0" xfId="0" applyFont="1"/>
    <xf numFmtId="0" fontId="5" fillId="0" borderId="15" xfId="0" applyFont="1" applyBorder="1"/>
    <xf numFmtId="4" fontId="3" fillId="8" borderId="15" xfId="3" applyNumberFormat="1" applyFont="1" applyFill="1" applyBorder="1"/>
    <xf numFmtId="0" fontId="5" fillId="0" borderId="6" xfId="0" applyFont="1" applyBorder="1"/>
    <xf numFmtId="0" fontId="4" fillId="0" borderId="7" xfId="0" applyFont="1" applyBorder="1" applyAlignment="1">
      <alignment horizontal="left" indent="1"/>
    </xf>
    <xf numFmtId="4" fontId="3" fillId="0" borderId="6" xfId="1" applyNumberFormat="1" applyFont="1" applyBorder="1"/>
    <xf numFmtId="4" fontId="3" fillId="0" borderId="0" xfId="1" applyNumberFormat="1" applyFont="1" applyFill="1" applyBorder="1"/>
    <xf numFmtId="0" fontId="4" fillId="0" borderId="5" xfId="0" applyFont="1" applyBorder="1"/>
    <xf numFmtId="4" fontId="3" fillId="5" borderId="15" xfId="1" applyNumberFormat="1" applyFont="1" applyFill="1" applyBorder="1"/>
    <xf numFmtId="0" fontId="4" fillId="0" borderId="29" xfId="0" applyFont="1" applyBorder="1" applyAlignment="1">
      <alignment horizontal="left" indent="1"/>
    </xf>
    <xf numFmtId="3" fontId="3" fillId="0" borderId="30" xfId="1" applyNumberFormat="1" applyFont="1" applyFill="1" applyBorder="1"/>
    <xf numFmtId="0" fontId="4" fillId="0" borderId="35" xfId="0" applyFont="1" applyBorder="1" applyAlignment="1">
      <alignment horizontal="left" indent="1"/>
    </xf>
    <xf numFmtId="4" fontId="3" fillId="0" borderId="36" xfId="0" applyNumberFormat="1" applyFont="1" applyBorder="1"/>
    <xf numFmtId="0" fontId="4" fillId="0" borderId="37" xfId="0" applyFont="1" applyBorder="1"/>
    <xf numFmtId="173" fontId="4" fillId="0" borderId="0" xfId="0" applyNumberFormat="1" applyFont="1"/>
    <xf numFmtId="1" fontId="3" fillId="7" borderId="30" xfId="0" applyNumberFormat="1" applyFont="1" applyFill="1" applyBorder="1"/>
    <xf numFmtId="0" fontId="4" fillId="7" borderId="35" xfId="0" applyFont="1" applyFill="1" applyBorder="1" applyAlignment="1">
      <alignment horizontal="left" indent="1"/>
    </xf>
    <xf numFmtId="172" fontId="3" fillId="7" borderId="30" xfId="0" applyNumberFormat="1" applyFont="1" applyFill="1" applyBorder="1"/>
    <xf numFmtId="172" fontId="3" fillId="0" borderId="15" xfId="0" applyNumberFormat="1" applyFont="1" applyBorder="1"/>
    <xf numFmtId="3" fontId="4" fillId="0" borderId="22" xfId="0" applyNumberFormat="1" applyFont="1" applyBorder="1" applyAlignment="1">
      <alignment horizontal="left" indent="1"/>
    </xf>
    <xf numFmtId="3" fontId="4" fillId="0" borderId="19" xfId="0" applyNumberFormat="1" applyFont="1" applyBorder="1" applyAlignment="1">
      <alignment horizontal="left" indent="1"/>
    </xf>
    <xf numFmtId="0" fontId="2" fillId="4" borderId="16" xfId="0" applyFont="1" applyFill="1" applyBorder="1" applyAlignment="1">
      <alignment horizontal="left"/>
    </xf>
    <xf numFmtId="0" fontId="3" fillId="0" borderId="7" xfId="0" applyFont="1" applyBorder="1" applyAlignment="1">
      <alignment horizontal="left" indent="1"/>
    </xf>
    <xf numFmtId="0" fontId="3" fillId="0" borderId="19" xfId="0" applyFont="1" applyBorder="1" applyAlignment="1">
      <alignment horizontal="left" indent="1"/>
    </xf>
    <xf numFmtId="0" fontId="3" fillId="4" borderId="18" xfId="4" applyFont="1" applyFill="1" applyBorder="1" applyAlignment="1">
      <alignment horizontal="right"/>
    </xf>
    <xf numFmtId="3" fontId="3" fillId="5" borderId="15" xfId="4" applyNumberFormat="1" applyFont="1" applyFill="1" applyBorder="1" applyAlignment="1">
      <alignment horizontal="right"/>
    </xf>
    <xf numFmtId="3" fontId="3" fillId="5" borderId="22" xfId="4" applyNumberFormat="1" applyFont="1" applyFill="1" applyBorder="1" applyAlignment="1">
      <alignment horizontal="right"/>
    </xf>
    <xf numFmtId="3" fontId="3" fillId="4" borderId="18" xfId="4" applyNumberFormat="1" applyFont="1" applyFill="1" applyBorder="1" applyAlignment="1">
      <alignment horizontal="right"/>
    </xf>
    <xf numFmtId="3" fontId="4" fillId="4" borderId="18" xfId="0" applyNumberFormat="1" applyFont="1" applyFill="1" applyBorder="1"/>
    <xf numFmtId="3" fontId="4" fillId="4" borderId="17" xfId="0" applyNumberFormat="1" applyFont="1" applyFill="1" applyBorder="1"/>
    <xf numFmtId="0" fontId="4" fillId="0" borderId="19" xfId="0" applyFont="1" applyBorder="1" applyAlignment="1">
      <alignment horizontal="left" indent="1"/>
    </xf>
    <xf numFmtId="3" fontId="3" fillId="4" borderId="15" xfId="4" applyNumberFormat="1" applyFont="1" applyFill="1" applyBorder="1" applyAlignment="1">
      <alignment horizontal="right"/>
    </xf>
    <xf numFmtId="3" fontId="4" fillId="4" borderId="15" xfId="0" applyNumberFormat="1" applyFont="1" applyFill="1" applyBorder="1"/>
    <xf numFmtId="0" fontId="3" fillId="0" borderId="22" xfId="0" applyFont="1" applyBorder="1" applyAlignment="1">
      <alignment horizontal="left" indent="1"/>
    </xf>
    <xf numFmtId="0" fontId="3" fillId="0" borderId="13" xfId="0" applyFont="1" applyBorder="1" applyAlignment="1">
      <alignment horizontal="left" indent="1"/>
    </xf>
    <xf numFmtId="3" fontId="4" fillId="5" borderId="13" xfId="0" applyNumberFormat="1" applyFont="1" applyFill="1" applyBorder="1"/>
    <xf numFmtId="0" fontId="5" fillId="4" borderId="16" xfId="0" applyFont="1" applyFill="1" applyBorder="1"/>
    <xf numFmtId="0" fontId="4" fillId="0" borderId="15" xfId="0" applyFont="1" applyBorder="1" applyAlignment="1">
      <alignment horizontal="left"/>
    </xf>
    <xf numFmtId="0" fontId="4" fillId="0" borderId="13" xfId="0" applyFont="1" applyBorder="1" applyAlignment="1">
      <alignment horizontal="left"/>
    </xf>
    <xf numFmtId="4" fontId="3" fillId="2" borderId="17" xfId="1" applyNumberFormat="1" applyFont="1" applyFill="1" applyBorder="1"/>
    <xf numFmtId="0" fontId="3" fillId="0" borderId="0" xfId="4" applyFont="1" applyAlignment="1">
      <alignment horizontal="left" indent="1"/>
    </xf>
    <xf numFmtId="0" fontId="3" fillId="0" borderId="0" xfId="5" applyNumberFormat="1" applyFont="1" applyFill="1" applyBorder="1" applyAlignment="1">
      <alignment horizontal="right"/>
    </xf>
    <xf numFmtId="0" fontId="5" fillId="2" borderId="18" xfId="0" applyFont="1" applyFill="1" applyBorder="1"/>
    <xf numFmtId="4" fontId="4" fillId="2" borderId="18" xfId="0" applyNumberFormat="1" applyFont="1" applyFill="1" applyBorder="1"/>
    <xf numFmtId="173" fontId="4" fillId="0" borderId="15" xfId="0" applyNumberFormat="1" applyFont="1" applyBorder="1"/>
    <xf numFmtId="3" fontId="4" fillId="0" borderId="12" xfId="0" applyNumberFormat="1" applyFont="1" applyBorder="1" applyAlignment="1">
      <alignment horizontal="left" indent="1"/>
    </xf>
    <xf numFmtId="173" fontId="4" fillId="5" borderId="13" xfId="0" applyNumberFormat="1" applyFont="1" applyFill="1" applyBorder="1"/>
    <xf numFmtId="3" fontId="5" fillId="4" borderId="16" xfId="0" applyNumberFormat="1" applyFont="1" applyFill="1" applyBorder="1"/>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3" fontId="4" fillId="0" borderId="0" xfId="0" applyNumberFormat="1" applyFont="1" applyAlignment="1">
      <alignment horizontal="left" indent="1"/>
    </xf>
    <xf numFmtId="11" fontId="4" fillId="5" borderId="13" xfId="0" applyNumberFormat="1" applyFont="1" applyFill="1" applyBorder="1"/>
    <xf numFmtId="11" fontId="4" fillId="0" borderId="0" xfId="0" applyNumberFormat="1" applyFont="1"/>
    <xf numFmtId="0" fontId="5" fillId="0" borderId="15" xfId="0" applyFont="1" applyBorder="1" applyAlignment="1">
      <alignment horizontal="left"/>
    </xf>
    <xf numFmtId="0" fontId="5" fillId="0" borderId="15" xfId="0" applyFont="1" applyBorder="1" applyAlignment="1">
      <alignment horizontal="center"/>
    </xf>
    <xf numFmtId="0" fontId="4" fillId="0" borderId="18" xfId="0" applyFont="1" applyBorder="1" applyAlignment="1">
      <alignment horizontal="center" wrapText="1"/>
    </xf>
    <xf numFmtId="0" fontId="4" fillId="0" borderId="19" xfId="0" applyFont="1" applyBorder="1" applyAlignment="1">
      <alignment horizontal="center" wrapText="1"/>
    </xf>
    <xf numFmtId="0" fontId="4" fillId="0" borderId="20" xfId="0" applyFont="1" applyBorder="1" applyAlignment="1">
      <alignment horizontal="center" wrapText="1"/>
    </xf>
    <xf numFmtId="0" fontId="4" fillId="0" borderId="17" xfId="0" applyFont="1" applyBorder="1" applyAlignment="1">
      <alignment horizontal="center" wrapText="1"/>
    </xf>
    <xf numFmtId="0" fontId="4" fillId="0" borderId="21" xfId="0" applyFont="1" applyBorder="1" applyAlignment="1">
      <alignment horizontal="center" wrapText="1"/>
    </xf>
    <xf numFmtId="4" fontId="4" fillId="0" borderId="0" xfId="1" applyNumberFormat="1" applyFont="1" applyFill="1" applyBorder="1"/>
    <xf numFmtId="0" fontId="4" fillId="0" borderId="16" xfId="0" applyFont="1" applyBorder="1" applyAlignment="1">
      <alignment horizontal="center"/>
    </xf>
    <xf numFmtId="0" fontId="4" fillId="0" borderId="17" xfId="0" applyFont="1" applyBorder="1" applyAlignment="1">
      <alignment horizontal="center"/>
    </xf>
    <xf numFmtId="0" fontId="5" fillId="0" borderId="16" xfId="0" applyFont="1" applyBorder="1" applyAlignment="1">
      <alignment horizontal="center"/>
    </xf>
    <xf numFmtId="0" fontId="5" fillId="0" borderId="18" xfId="0" applyFont="1" applyBorder="1" applyAlignment="1">
      <alignment horizontal="center"/>
    </xf>
    <xf numFmtId="0" fontId="5" fillId="0" borderId="17" xfId="0" applyFont="1" applyBorder="1" applyAlignment="1">
      <alignment horizontal="center"/>
    </xf>
    <xf numFmtId="0" fontId="5" fillId="0" borderId="22" xfId="0" applyFont="1" applyBorder="1" applyAlignment="1">
      <alignment horizontal="center" wrapText="1"/>
    </xf>
    <xf numFmtId="0" fontId="5" fillId="0" borderId="13" xfId="0" applyFont="1" applyBorder="1" applyAlignment="1">
      <alignment horizontal="center"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21" xfId="0" applyFont="1" applyBorder="1" applyAlignment="1">
      <alignment horizontal="center"/>
    </xf>
    <xf numFmtId="41" fontId="5" fillId="0" borderId="19" xfId="0" applyNumberFormat="1" applyFont="1" applyBorder="1" applyAlignment="1">
      <alignment horizontal="center"/>
    </xf>
    <xf numFmtId="41" fontId="5" fillId="0" borderId="21" xfId="0" applyNumberFormat="1" applyFont="1" applyBorder="1" applyAlignment="1">
      <alignment horizontal="center"/>
    </xf>
  </cellXfs>
  <cellStyles count="6">
    <cellStyle name="Comma" xfId="3" builtinId="3"/>
    <cellStyle name="Currency" xfId="2" builtinId="4"/>
    <cellStyle name="Normal" xfId="0" builtinId="0"/>
    <cellStyle name="Normal 2" xfId="4" xr:uid="{00000000-0005-0000-0000-000003000000}"/>
    <cellStyle name="Percent" xfId="1" builtinId="5"/>
    <cellStyle name="Percent 2 2" xfId="5" xr:uid="{00000000-0005-0000-0000-000005000000}"/>
  </cellStyles>
  <dxfs count="0"/>
  <tableStyles count="0" defaultTableStyle="TableStyleMedium9" defaultPivotStyle="PivotStyleLight16"/>
  <colors>
    <mruColors>
      <color rgb="FFFF0000"/>
      <color rgb="FF0000CC"/>
      <color rgb="FF0000FF"/>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63501</xdr:colOff>
      <xdr:row>65</xdr:row>
      <xdr:rowOff>158749</xdr:rowOff>
    </xdr:from>
    <xdr:to>
      <xdr:col>5</xdr:col>
      <xdr:colOff>21168</xdr:colOff>
      <xdr:row>83</xdr:row>
      <xdr:rowOff>10582</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799668" y="10615082"/>
          <a:ext cx="3429000" cy="2719917"/>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solidFill>
                <a:schemeClr val="dk1"/>
              </a:solidFill>
              <a:effectLst/>
              <a:latin typeface="+mn-lt"/>
              <a:ea typeface="+mn-ea"/>
              <a:cs typeface="+mn-cs"/>
            </a:rPr>
            <a:t>Mortgage-style size of debt is the product of the debt fraction and total capital cost. The total capital cost includes debt service reserve funding and debt up-front costs, which are both calculated from the size of debt value. To calculate the value, SAM uses a two-step iteration that is not possible to replicate in this workbook using static formulas.</a:t>
          </a:r>
        </a:p>
        <a:p>
          <a:endParaRPr lang="en-US">
            <a:effectLst/>
          </a:endParaRPr>
        </a:p>
        <a:p>
          <a:r>
            <a:rPr lang="en-US" sz="1100">
              <a:solidFill>
                <a:schemeClr val="dk1"/>
              </a:solidFill>
              <a:effectLst/>
              <a:latin typeface="+mn-lt"/>
              <a:ea typeface="+mn-ea"/>
              <a:cs typeface="+mn-cs"/>
            </a:rPr>
            <a:t>Sculpted debt sizes</a:t>
          </a:r>
          <a:r>
            <a:rPr lang="en-US" sz="1100" baseline="0">
              <a:solidFill>
                <a:schemeClr val="dk1"/>
              </a:solidFill>
              <a:effectLst/>
              <a:latin typeface="+mn-lt"/>
              <a:ea typeface="+mn-ea"/>
              <a:cs typeface="+mn-cs"/>
            </a:rPr>
            <a:t> debt based on EBITDA to maintain a constant DSCR from year to year.</a:t>
          </a:r>
          <a:endParaRPr lang="en-US">
            <a:effectLst/>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"Equal payments" for the annual payment schedule indicates a standard amortization with constant total annual P&amp;I payments. "Fixed principal" indicates fixed principal with declining interest annual payments.</a:t>
          </a:r>
          <a:endParaRPr lang="en-US">
            <a:effectLst/>
          </a:endParaRPr>
        </a:p>
      </xdr:txBody>
    </xdr:sp>
    <xdr:clientData/>
  </xdr:twoCellAnchor>
  <xdr:twoCellAnchor>
    <xdr:from>
      <xdr:col>1</xdr:col>
      <xdr:colOff>2582331</xdr:colOff>
      <xdr:row>8</xdr:row>
      <xdr:rowOff>63498</xdr:rowOff>
    </xdr:from>
    <xdr:to>
      <xdr:col>1</xdr:col>
      <xdr:colOff>4049181</xdr:colOff>
      <xdr:row>13</xdr:row>
      <xdr:rowOff>10583</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815164" y="1439331"/>
          <a:ext cx="1466850" cy="74083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indicates O&amp;M costs entered as annual values. </a:t>
          </a:r>
          <a:r>
            <a:rPr lang="en-US" sz="1100" baseline="0"/>
            <a:t>See "ANNUAL VALUES" below.</a:t>
          </a:r>
          <a:endParaRPr lang="en-US" sz="1100"/>
        </a:p>
      </xdr:txBody>
    </xdr:sp>
    <xdr:clientData/>
  </xdr:twoCellAnchor>
  <xdr:oneCellAnchor>
    <xdr:from>
      <xdr:col>3</xdr:col>
      <xdr:colOff>582083</xdr:colOff>
      <xdr:row>20</xdr:row>
      <xdr:rowOff>10584</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318250" y="3132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31747</xdr:colOff>
      <xdr:row>120</xdr:row>
      <xdr:rowOff>42334</xdr:rowOff>
    </xdr:from>
    <xdr:to>
      <xdr:col>7</xdr:col>
      <xdr:colOff>444497</xdr:colOff>
      <xdr:row>123</xdr:row>
      <xdr:rowOff>43604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239247" y="19420417"/>
          <a:ext cx="3429000" cy="477520"/>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for a PBI or PTC amount indicates amounts entered as annual values. </a:t>
          </a:r>
          <a:r>
            <a:rPr lang="en-US" sz="1100" baseline="0"/>
            <a:t>See "ANNUAL VALUES" below.</a:t>
          </a:r>
          <a:endParaRPr lang="en-US" sz="1100"/>
        </a:p>
      </xdr:txBody>
    </xdr:sp>
    <xdr:clientData/>
  </xdr:twoCellAnchor>
  <xdr:twoCellAnchor>
    <xdr:from>
      <xdr:col>3</xdr:col>
      <xdr:colOff>57147</xdr:colOff>
      <xdr:row>51</xdr:row>
      <xdr:rowOff>4232</xdr:rowOff>
    </xdr:from>
    <xdr:to>
      <xdr:col>5</xdr:col>
      <xdr:colOff>10583</xdr:colOff>
      <xdr:row>61</xdr:row>
      <xdr:rowOff>21168</xdr:rowOff>
    </xdr:to>
    <xdr:sp macro="" textlink="">
      <xdr:nvSpPr>
        <xdr:cNvPr id="6" name="TextBox 5">
          <a:extLst>
            <a:ext uri="{FF2B5EF4-FFF2-40B4-BE49-F238E27FC236}">
              <a16:creationId xmlns:a16="http://schemas.microsoft.com/office/drawing/2014/main" id="{594AD579-CEBD-4CAE-ABEF-9FEFCE41B1F1}"/>
            </a:ext>
          </a:extLst>
        </xdr:cNvPr>
        <xdr:cNvSpPr txBox="1"/>
      </xdr:nvSpPr>
      <xdr:spPr>
        <a:xfrm>
          <a:off x="5793314" y="8227482"/>
          <a:ext cx="3424769" cy="1604436"/>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Cash flow reads the annual income tax rate from the table under </a:t>
          </a:r>
          <a:r>
            <a:rPr lang="en-US" sz="1100" baseline="0"/>
            <a:t>"ANNUAL VALUES" below. Year 1 </a:t>
          </a:r>
          <a:r>
            <a:rPr lang="en-US" sz="1100" baseline="0">
              <a:solidFill>
                <a:schemeClr val="dk1"/>
              </a:solidFill>
              <a:effectLst/>
              <a:latin typeface="+mn-lt"/>
              <a:ea typeface="+mn-ea"/>
              <a:cs typeface="+mn-cs"/>
            </a:rPr>
            <a:t>rates are shown here for reference.</a:t>
          </a:r>
          <a:endParaRPr lang="en-US">
            <a:effectLst/>
          </a:endParaRP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sales tax rate is shown here for reference, but is not used in the workbook calculations. SAM passes the total installed cost value to the spreadsheet. That value includes the sales tax, which is calculated on SAM's System Costs input page.</a:t>
          </a:r>
          <a:endParaRPr lang="en-US">
            <a:effectLst/>
          </a:endParaRPr>
        </a:p>
        <a:p>
          <a:endParaRPr lang="en-US" sz="1100"/>
        </a:p>
      </xdr:txBody>
    </xdr:sp>
    <xdr:clientData/>
  </xdr:twoCellAnchor>
  <xdr:twoCellAnchor>
    <xdr:from>
      <xdr:col>1</xdr:col>
      <xdr:colOff>1227665</xdr:colOff>
      <xdr:row>214</xdr:row>
      <xdr:rowOff>10585</xdr:rowOff>
    </xdr:from>
    <xdr:to>
      <xdr:col>3</xdr:col>
      <xdr:colOff>105833</xdr:colOff>
      <xdr:row>218</xdr:row>
      <xdr:rowOff>105835</xdr:rowOff>
    </xdr:to>
    <xdr:sp macro="" textlink="">
      <xdr:nvSpPr>
        <xdr:cNvPr id="7" name="TextBox 6">
          <a:extLst>
            <a:ext uri="{FF2B5EF4-FFF2-40B4-BE49-F238E27FC236}">
              <a16:creationId xmlns:a16="http://schemas.microsoft.com/office/drawing/2014/main" id="{BE977134-0C2F-4D11-AE86-EEA1A68EB043}"/>
            </a:ext>
          </a:extLst>
        </xdr:cNvPr>
        <xdr:cNvSpPr txBox="1"/>
      </xdr:nvSpPr>
      <xdr:spPr>
        <a:xfrm>
          <a:off x="1460498" y="33189335"/>
          <a:ext cx="4381502" cy="730250"/>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the debt fraction</a:t>
          </a:r>
          <a:r>
            <a:rPr lang="en-US" sz="1100" baseline="0"/>
            <a:t> input option, debt service reserve calculations involve an iterative calculation that is not replicated in this workbook. The iteration is required because the capital cost on which the debt amount depends includes the initial debt service funding amount.</a:t>
          </a:r>
          <a:endParaRPr lang="en-US">
            <a:effectLst/>
          </a:endParaRPr>
        </a:p>
      </xdr:txBody>
    </xdr:sp>
    <xdr:clientData/>
  </xdr:twoCellAnchor>
  <xdr:twoCellAnchor>
    <xdr:from>
      <xdr:col>3</xdr:col>
      <xdr:colOff>148165</xdr:colOff>
      <xdr:row>23</xdr:row>
      <xdr:rowOff>74083</xdr:rowOff>
    </xdr:from>
    <xdr:to>
      <xdr:col>6</xdr:col>
      <xdr:colOff>116415</xdr:colOff>
      <xdr:row>35</xdr:row>
      <xdr:rowOff>105833</xdr:rowOff>
    </xdr:to>
    <xdr:sp macro="" textlink="">
      <xdr:nvSpPr>
        <xdr:cNvPr id="8" name="TextBox 7">
          <a:extLst>
            <a:ext uri="{FF2B5EF4-FFF2-40B4-BE49-F238E27FC236}">
              <a16:creationId xmlns:a16="http://schemas.microsoft.com/office/drawing/2014/main" id="{D7DCB3E5-9611-4D23-8B3D-13F6F94F7DAF}"/>
            </a:ext>
          </a:extLst>
        </xdr:cNvPr>
        <xdr:cNvSpPr txBox="1"/>
      </xdr:nvSpPr>
      <xdr:spPr>
        <a:xfrm>
          <a:off x="5884332" y="3831166"/>
          <a:ext cx="5207000" cy="1947334"/>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 IRR target value of "N/A" indicates the solution mode in SAM is "Specify PPA price." The</a:t>
          </a:r>
          <a:r>
            <a:rPr lang="en-US" sz="1100" baseline="0">
              <a:solidFill>
                <a:schemeClr val="dk1"/>
              </a:solidFill>
              <a:effectLst/>
              <a:latin typeface="+mn-lt"/>
              <a:ea typeface="+mn-ea"/>
              <a:cs typeface="+mn-cs"/>
            </a:rPr>
            <a:t> formulas in this workbook use the "actual flip year" value from SAM's results because </a:t>
          </a:r>
          <a:r>
            <a:rPr lang="en-US" sz="1100">
              <a:solidFill>
                <a:schemeClr val="dk1"/>
              </a:solidFill>
              <a:effectLst/>
              <a:latin typeface="+mn-lt"/>
              <a:ea typeface="+mn-ea"/>
              <a:cs typeface="+mn-cs"/>
            </a:rPr>
            <a:t>SAM uses an iterative</a:t>
          </a:r>
          <a:r>
            <a:rPr lang="en-US" sz="1100" baseline="0">
              <a:solidFill>
                <a:schemeClr val="dk1"/>
              </a:solidFill>
              <a:effectLst/>
              <a:latin typeface="+mn-lt"/>
              <a:ea typeface="+mn-ea"/>
              <a:cs typeface="+mn-cs"/>
            </a:rPr>
            <a:t> process to determine the IRR and flip year that is not replicated in this workbook. </a:t>
          </a:r>
          <a:endParaRPr lang="en-US">
            <a:effectLst/>
          </a:endParaRPr>
        </a:p>
        <a:p>
          <a:pPr eaLnBrk="1" fontAlgn="auto" latinLnBrk="0" hangingPunct="1"/>
          <a:endParaRPr lang="en-US" sz="1100">
            <a:solidFill>
              <a:schemeClr val="dk1"/>
            </a:solidFill>
            <a:effectLst/>
            <a:latin typeface="+mn-lt"/>
            <a:ea typeface="+mn-ea"/>
            <a:cs typeface="+mn-cs"/>
          </a:endParaRPr>
        </a:p>
        <a:p>
          <a:pPr eaLnBrk="1" fontAlgn="auto" latinLnBrk="0" hangingPunct="1"/>
          <a:r>
            <a:rPr lang="en-US" sz="1100">
              <a:solidFill>
                <a:schemeClr val="dk1"/>
              </a:solidFill>
              <a:effectLst/>
              <a:latin typeface="+mn-lt"/>
              <a:ea typeface="+mn-ea"/>
              <a:cs typeface="+mn-cs"/>
            </a:rPr>
            <a:t>If the PPA Price is modified by Time</a:t>
          </a:r>
          <a:r>
            <a:rPr lang="en-US" sz="1100" baseline="0">
              <a:solidFill>
                <a:schemeClr val="dk1"/>
              </a:solidFill>
              <a:effectLst/>
              <a:latin typeface="+mn-lt"/>
              <a:ea typeface="+mn-ea"/>
              <a:cs typeface="+mn-cs"/>
            </a:rPr>
            <a:t> of Delivery (TOD) multipliers, then the total PPA revenue in the cash flow is the sum of the products of PPA price ($/kWh), hourly (or subhourly) production (kWh) and TOD multiplier. The TOD multipliers do not appear in this workbook, but their effect is reflected in the annual PPA revenue row imported from SAM under"Annual Values" below.</a:t>
          </a:r>
          <a:endParaRPr lang="en-US">
            <a:effectLst/>
          </a:endParaRPr>
        </a:p>
        <a:p>
          <a:endParaRPr lang="en-US" sz="1100"/>
        </a:p>
      </xdr:txBody>
    </xdr:sp>
    <xdr:clientData/>
  </xdr:twoCellAnchor>
  <xdr:twoCellAnchor>
    <xdr:from>
      <xdr:col>6</xdr:col>
      <xdr:colOff>35980</xdr:colOff>
      <xdr:row>113</xdr:row>
      <xdr:rowOff>46567</xdr:rowOff>
    </xdr:from>
    <xdr:to>
      <xdr:col>8</xdr:col>
      <xdr:colOff>967314</xdr:colOff>
      <xdr:row>116</xdr:row>
      <xdr:rowOff>137583</xdr:rowOff>
    </xdr:to>
    <xdr:sp macro="" textlink="">
      <xdr:nvSpPr>
        <xdr:cNvPr id="9" name="TextBox 8">
          <a:extLst>
            <a:ext uri="{FF2B5EF4-FFF2-40B4-BE49-F238E27FC236}">
              <a16:creationId xmlns:a16="http://schemas.microsoft.com/office/drawing/2014/main" id="{D20A3945-E5DD-4013-B167-D2CB2021D6CA}"/>
            </a:ext>
          </a:extLst>
        </xdr:cNvPr>
        <xdr:cNvSpPr txBox="1"/>
      </xdr:nvSpPr>
      <xdr:spPr>
        <a:xfrm>
          <a:off x="11010897" y="18302817"/>
          <a:ext cx="3429000" cy="567266"/>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ITC allocated to multiple years, see "ANNUAL VALUES" below: Values here are shown as sums of annual values for reference.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Y225"/>
  <sheetViews>
    <sheetView tabSelected="1" zoomScale="90" zoomScaleNormal="90" workbookViewId="0"/>
  </sheetViews>
  <sheetFormatPr defaultColWidth="9.140625" defaultRowHeight="12.75" x14ac:dyDescent="0.2"/>
  <cols>
    <col min="1" max="1" width="3.42578125" style="4" customWidth="1"/>
    <col min="2" max="2" width="60.7109375" style="4" customWidth="1"/>
    <col min="3" max="3" width="21.7109375" style="4" customWidth="1"/>
    <col min="4" max="4" width="18.7109375" style="4" customWidth="1"/>
    <col min="5" max="5" width="33.28515625" style="4" customWidth="1"/>
    <col min="6" max="6" width="26.42578125" style="4" customWidth="1"/>
    <col min="7" max="9" width="18.7109375" style="4" customWidth="1"/>
    <col min="10" max="12" width="25.85546875" style="4" customWidth="1"/>
    <col min="13" max="13" width="21" style="4" customWidth="1"/>
    <col min="14" max="14" width="17" style="4" customWidth="1"/>
    <col min="15" max="251" width="13.7109375" style="4" customWidth="1"/>
    <col min="252" max="16384" width="9.140625" style="4"/>
  </cols>
  <sheetData>
    <row r="1" spans="1:48" ht="21" customHeight="1" x14ac:dyDescent="0.35">
      <c r="A1" s="248"/>
      <c r="B1" s="249" t="s">
        <v>305</v>
      </c>
      <c r="C1" s="248"/>
      <c r="D1" s="248"/>
      <c r="E1" s="248"/>
      <c r="F1" s="248"/>
      <c r="G1" s="248"/>
      <c r="H1" s="248"/>
      <c r="I1" s="248"/>
      <c r="J1" s="79"/>
      <c r="K1" s="79"/>
      <c r="L1" s="79"/>
      <c r="M1" s="79"/>
      <c r="N1" s="79"/>
    </row>
    <row r="2" spans="1:48" ht="12.75" customHeight="1" x14ac:dyDescent="0.2">
      <c r="B2" s="5" t="s">
        <v>81</v>
      </c>
      <c r="C2" s="100"/>
      <c r="D2" s="79"/>
      <c r="E2" s="80" t="s">
        <v>73</v>
      </c>
      <c r="G2" s="79"/>
      <c r="H2" s="193"/>
      <c r="J2" s="79"/>
      <c r="K2" s="79"/>
      <c r="L2" s="79"/>
      <c r="M2" s="79"/>
      <c r="N2" s="79"/>
    </row>
    <row r="3" spans="1:48" ht="12.75" customHeight="1" x14ac:dyDescent="0.2">
      <c r="B3" s="60" t="s">
        <v>175</v>
      </c>
      <c r="C3" s="101">
        <v>0</v>
      </c>
      <c r="D3" s="79"/>
      <c r="E3" s="33" t="s">
        <v>159</v>
      </c>
      <c r="G3" s="79"/>
      <c r="H3" s="193"/>
      <c r="I3" s="115"/>
      <c r="J3" s="79"/>
      <c r="K3" s="79"/>
      <c r="L3" s="79"/>
      <c r="M3" s="79"/>
      <c r="N3" s="79"/>
    </row>
    <row r="4" spans="1:48" ht="12.75" customHeight="1" x14ac:dyDescent="0.2">
      <c r="B4" s="1"/>
      <c r="C4" s="104"/>
      <c r="D4" s="79"/>
      <c r="E4" s="217" t="s">
        <v>160</v>
      </c>
      <c r="G4" s="79"/>
      <c r="H4" s="24"/>
      <c r="I4" s="113"/>
      <c r="J4" s="79"/>
      <c r="K4" s="79"/>
      <c r="L4" s="79"/>
      <c r="M4" s="79"/>
      <c r="N4" s="79"/>
    </row>
    <row r="5" spans="1:48" ht="12.75" customHeight="1" x14ac:dyDescent="0.2">
      <c r="B5" s="5" t="s">
        <v>80</v>
      </c>
      <c r="C5" s="103"/>
      <c r="D5" s="79"/>
      <c r="E5" s="199" t="s">
        <v>297</v>
      </c>
      <c r="I5" s="115"/>
      <c r="K5" s="79"/>
      <c r="L5" s="79"/>
      <c r="M5" s="79"/>
      <c r="N5" s="79"/>
    </row>
    <row r="6" spans="1:48" x14ac:dyDescent="0.2">
      <c r="B6" s="34" t="s">
        <v>139</v>
      </c>
      <c r="C6" s="176">
        <v>0</v>
      </c>
      <c r="E6" s="239" t="s">
        <v>234</v>
      </c>
      <c r="G6" s="79"/>
      <c r="H6" s="79"/>
      <c r="I6" s="79"/>
      <c r="J6" s="79"/>
      <c r="K6" s="1"/>
      <c r="M6" s="19"/>
    </row>
    <row r="7" spans="1:48" x14ac:dyDescent="0.2">
      <c r="C7" s="104"/>
      <c r="G7" s="32"/>
      <c r="H7" s="32"/>
      <c r="I7" s="32"/>
      <c r="J7" s="32"/>
      <c r="M7" s="18"/>
    </row>
    <row r="8" spans="1:48" x14ac:dyDescent="0.2">
      <c r="B8" s="5" t="s">
        <v>140</v>
      </c>
      <c r="C8" s="103"/>
      <c r="E8" s="194" t="s">
        <v>181</v>
      </c>
      <c r="F8" s="195"/>
      <c r="G8" s="150"/>
      <c r="H8" s="115"/>
      <c r="I8" s="115"/>
      <c r="J8" s="115"/>
      <c r="M8" s="87"/>
      <c r="N8" s="24"/>
    </row>
    <row r="9" spans="1:48" x14ac:dyDescent="0.2">
      <c r="B9" s="312" t="s">
        <v>141</v>
      </c>
      <c r="C9" s="101">
        <v>0</v>
      </c>
      <c r="E9" s="196" t="s">
        <v>183</v>
      </c>
      <c r="F9" s="101">
        <f>'Cash Flow'!C16</f>
        <v>0</v>
      </c>
      <c r="G9" s="150"/>
      <c r="H9" s="150"/>
      <c r="I9" s="179"/>
      <c r="J9" s="150"/>
      <c r="K9" s="82"/>
      <c r="M9" s="88"/>
      <c r="O9" s="83"/>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row>
    <row r="10" spans="1:48" x14ac:dyDescent="0.2">
      <c r="B10" s="35" t="s">
        <v>164</v>
      </c>
      <c r="C10" s="106">
        <v>0</v>
      </c>
      <c r="E10" s="196" t="s">
        <v>182</v>
      </c>
      <c r="F10" s="102">
        <f>ppa_escalation</f>
        <v>0</v>
      </c>
      <c r="G10" s="115"/>
      <c r="H10" s="115"/>
      <c r="I10" s="147"/>
      <c r="J10" s="115"/>
      <c r="M10" s="87"/>
      <c r="N10" s="24"/>
    </row>
    <row r="11" spans="1:48" x14ac:dyDescent="0.2">
      <c r="B11" s="312" t="s">
        <v>434</v>
      </c>
      <c r="C11" s="101">
        <v>0</v>
      </c>
      <c r="E11" s="196" t="s">
        <v>232</v>
      </c>
      <c r="F11" s="102">
        <f>'Cash Flow'!B152</f>
        <v>0</v>
      </c>
      <c r="G11" s="115"/>
      <c r="H11" s="115"/>
      <c r="I11" s="147"/>
      <c r="J11" s="115"/>
      <c r="M11" s="87"/>
      <c r="N11" s="24"/>
    </row>
    <row r="12" spans="1:48" x14ac:dyDescent="0.2">
      <c r="B12" s="35" t="s">
        <v>164</v>
      </c>
      <c r="C12" s="106">
        <v>0</v>
      </c>
      <c r="E12" s="196" t="s">
        <v>361</v>
      </c>
      <c r="F12" s="102">
        <f>'Cash Flow'!B148</f>
        <v>0</v>
      </c>
      <c r="G12" s="115"/>
      <c r="H12" s="115"/>
      <c r="I12" s="147"/>
      <c r="J12" s="115"/>
      <c r="M12" s="87"/>
      <c r="N12" s="24"/>
    </row>
    <row r="13" spans="1:48" x14ac:dyDescent="0.2">
      <c r="B13" s="312" t="s">
        <v>142</v>
      </c>
      <c r="C13" s="101">
        <v>0</v>
      </c>
      <c r="E13" s="34" t="s">
        <v>328</v>
      </c>
      <c r="F13" s="185">
        <f>HLOOKUP(IF(PPAPriceInput="Calculated",flip_actual_year,F14),'Cash Flow'!B2:AP202,201)</f>
        <v>0</v>
      </c>
      <c r="G13" s="115"/>
      <c r="H13" s="115"/>
      <c r="I13" s="147"/>
      <c r="J13" s="115"/>
      <c r="M13" s="87"/>
      <c r="N13" s="24"/>
    </row>
    <row r="14" spans="1:48" x14ac:dyDescent="0.2">
      <c r="B14" s="35" t="s">
        <v>164</v>
      </c>
      <c r="C14" s="106">
        <v>0</v>
      </c>
      <c r="E14" s="34" t="s">
        <v>331</v>
      </c>
      <c r="F14" s="149">
        <f>flip_actual_year</f>
        <v>0</v>
      </c>
      <c r="G14" s="115"/>
      <c r="H14" s="115"/>
      <c r="I14" s="147"/>
      <c r="J14" s="115"/>
      <c r="M14" s="87"/>
      <c r="N14" s="24"/>
    </row>
    <row r="15" spans="1:48" x14ac:dyDescent="0.2">
      <c r="B15" s="315"/>
      <c r="C15" s="316"/>
      <c r="D15" s="1"/>
      <c r="E15" s="34" t="s">
        <v>329</v>
      </c>
      <c r="F15" s="185">
        <f>HLOOKUP(analysis_period,'Cash Flow'!B2:AP202,201)</f>
        <v>0</v>
      </c>
      <c r="G15" s="115"/>
      <c r="H15" s="115"/>
      <c r="I15" s="147"/>
      <c r="J15" s="115"/>
      <c r="M15" s="87"/>
      <c r="N15" s="24"/>
    </row>
    <row r="16" spans="1:48" x14ac:dyDescent="0.2">
      <c r="E16" s="34" t="s">
        <v>330</v>
      </c>
      <c r="F16" s="174">
        <f>'Cash Flow'!B205</f>
        <v>0</v>
      </c>
      <c r="G16" s="115"/>
      <c r="H16" s="115"/>
      <c r="I16" s="147"/>
      <c r="J16" s="115"/>
      <c r="M16" s="87"/>
      <c r="N16" s="24"/>
    </row>
    <row r="17" spans="2:14" x14ac:dyDescent="0.2">
      <c r="B17" s="214" t="s">
        <v>203</v>
      </c>
      <c r="C17" s="215"/>
      <c r="E17" s="34" t="s">
        <v>332</v>
      </c>
      <c r="F17" s="185">
        <f>HLOOKUP(analysis_period,'Cash Flow'!B2:AP184,183)</f>
        <v>0</v>
      </c>
      <c r="G17" s="115"/>
      <c r="H17" s="115"/>
      <c r="I17" s="147"/>
      <c r="J17" s="115"/>
      <c r="M17" s="87"/>
      <c r="N17" s="24"/>
    </row>
    <row r="18" spans="2:14" x14ac:dyDescent="0.2">
      <c r="B18" s="312" t="s">
        <v>207</v>
      </c>
      <c r="C18" s="101"/>
      <c r="E18" s="34" t="s">
        <v>333</v>
      </c>
      <c r="F18" s="174">
        <f>'Cash Flow'!B186</f>
        <v>0</v>
      </c>
      <c r="G18" s="115"/>
      <c r="H18" s="115"/>
      <c r="I18" s="147"/>
      <c r="J18" s="115"/>
      <c r="M18" s="87"/>
      <c r="N18" s="24"/>
    </row>
    <row r="19" spans="2:14" x14ac:dyDescent="0.2">
      <c r="B19" s="35" t="s">
        <v>204</v>
      </c>
      <c r="C19" s="101">
        <v>0</v>
      </c>
      <c r="E19" s="196" t="s">
        <v>254</v>
      </c>
      <c r="F19" s="174">
        <f>-'Cash Flow'!B105</f>
        <v>0</v>
      </c>
      <c r="G19" s="115"/>
      <c r="H19" s="115"/>
      <c r="I19" s="147"/>
      <c r="J19" s="115"/>
      <c r="M19" s="87"/>
      <c r="N19" s="24"/>
    </row>
    <row r="20" spans="2:14" x14ac:dyDescent="0.2">
      <c r="B20" s="35" t="s">
        <v>227</v>
      </c>
      <c r="C20" s="102">
        <v>0</v>
      </c>
      <c r="E20" s="196" t="s">
        <v>184</v>
      </c>
      <c r="F20" s="174">
        <f>F19-F21</f>
        <v>0</v>
      </c>
      <c r="G20" s="115"/>
      <c r="H20" s="115"/>
      <c r="I20" s="147"/>
      <c r="J20" s="115"/>
      <c r="M20" s="87"/>
      <c r="N20" s="24"/>
    </row>
    <row r="21" spans="2:14" x14ac:dyDescent="0.2">
      <c r="B21" s="35" t="s">
        <v>205</v>
      </c>
      <c r="C21" s="101">
        <v>0</v>
      </c>
      <c r="E21" s="196" t="s">
        <v>255</v>
      </c>
      <c r="F21" s="174">
        <f>'Cash Flow'!B645</f>
        <v>0</v>
      </c>
      <c r="G21" s="180"/>
      <c r="H21" s="180"/>
      <c r="I21" s="181"/>
      <c r="J21" s="180"/>
      <c r="M21" s="87"/>
      <c r="N21" s="24"/>
    </row>
    <row r="22" spans="2:14" x14ac:dyDescent="0.2">
      <c r="B22" s="35" t="s">
        <v>206</v>
      </c>
      <c r="C22" s="111">
        <v>0</v>
      </c>
      <c r="E22" s="34" t="s">
        <v>433</v>
      </c>
      <c r="F22" s="102">
        <f>'Cash Flow'!B665</f>
        <v>0</v>
      </c>
      <c r="G22" s="115"/>
      <c r="H22" s="115"/>
      <c r="I22" s="147"/>
      <c r="J22" s="115"/>
      <c r="M22" s="87"/>
      <c r="N22" s="24"/>
    </row>
    <row r="23" spans="2:14" x14ac:dyDescent="0.2">
      <c r="B23" s="17"/>
      <c r="C23" s="281"/>
      <c r="E23" s="34" t="s">
        <v>369</v>
      </c>
      <c r="F23" s="319" t="e">
        <f>F21/F19*100</f>
        <v>#DIV/0!</v>
      </c>
      <c r="G23" s="115"/>
      <c r="H23" s="115"/>
      <c r="I23" s="147"/>
      <c r="J23" s="115"/>
      <c r="M23" s="87"/>
      <c r="N23" s="24"/>
    </row>
    <row r="24" spans="2:14" x14ac:dyDescent="0.2">
      <c r="B24" s="5" t="s">
        <v>412</v>
      </c>
      <c r="C24" s="314"/>
      <c r="G24" s="115"/>
      <c r="H24" s="115"/>
      <c r="I24" s="147"/>
      <c r="J24" s="115"/>
      <c r="M24" s="87"/>
      <c r="N24" s="24"/>
    </row>
    <row r="25" spans="2:14" x14ac:dyDescent="0.2">
      <c r="B25" s="313" t="s">
        <v>413</v>
      </c>
      <c r="C25" s="111">
        <v>0</v>
      </c>
      <c r="G25" s="115"/>
      <c r="H25" s="115"/>
      <c r="I25" s="147"/>
      <c r="J25" s="115"/>
      <c r="M25" s="87"/>
      <c r="N25" s="24"/>
    </row>
    <row r="26" spans="2:14" x14ac:dyDescent="0.2">
      <c r="B26" s="312" t="s">
        <v>414</v>
      </c>
      <c r="C26" s="111">
        <v>0</v>
      </c>
      <c r="G26" s="115"/>
      <c r="H26" s="115"/>
      <c r="I26" s="147"/>
      <c r="J26" s="115"/>
      <c r="M26" s="87"/>
      <c r="N26" s="24"/>
    </row>
    <row r="27" spans="2:14" x14ac:dyDescent="0.2">
      <c r="B27" s="312" t="s">
        <v>415</v>
      </c>
      <c r="C27" s="111">
        <v>0</v>
      </c>
      <c r="G27" s="115"/>
      <c r="H27" s="115"/>
      <c r="I27" s="147"/>
      <c r="J27" s="115"/>
      <c r="M27" s="87"/>
      <c r="N27" s="24"/>
    </row>
    <row r="28" spans="2:14" x14ac:dyDescent="0.2">
      <c r="B28" s="84"/>
      <c r="C28" s="105"/>
      <c r="G28" s="115"/>
      <c r="H28" s="115"/>
      <c r="I28" s="147"/>
      <c r="J28" s="115"/>
      <c r="M28" s="87"/>
    </row>
    <row r="29" spans="2:14" ht="13.5" thickBot="1" x14ac:dyDescent="0.25">
      <c r="B29" s="214" t="s">
        <v>82</v>
      </c>
      <c r="C29" s="215"/>
      <c r="G29" s="115"/>
      <c r="H29" s="115"/>
      <c r="I29" s="147"/>
      <c r="J29" s="115"/>
      <c r="M29" s="87"/>
      <c r="N29" s="86"/>
    </row>
    <row r="30" spans="2:14" x14ac:dyDescent="0.2">
      <c r="B30" s="223" t="s">
        <v>83</v>
      </c>
      <c r="C30" s="224"/>
      <c r="G30" s="115"/>
      <c r="H30" s="115"/>
      <c r="I30" s="147"/>
      <c r="J30" s="115"/>
      <c r="M30" s="87"/>
      <c r="N30" s="1"/>
    </row>
    <row r="31" spans="2:14" x14ac:dyDescent="0.2">
      <c r="B31" s="240" t="s">
        <v>306</v>
      </c>
      <c r="C31" s="241">
        <v>0</v>
      </c>
      <c r="G31" s="115"/>
      <c r="H31" s="115"/>
      <c r="I31" s="147"/>
      <c r="J31" s="115"/>
      <c r="M31" s="87"/>
      <c r="N31" s="1"/>
    </row>
    <row r="32" spans="2:14" x14ac:dyDescent="0.2">
      <c r="B32" s="240" t="s">
        <v>360</v>
      </c>
      <c r="C32" s="290">
        <v>0</v>
      </c>
      <c r="G32" s="115"/>
      <c r="H32" s="115"/>
      <c r="I32" s="147"/>
      <c r="J32" s="115"/>
      <c r="M32" s="87"/>
      <c r="N32" s="1"/>
    </row>
    <row r="33" spans="2:14" x14ac:dyDescent="0.2">
      <c r="B33" s="284" t="s">
        <v>84</v>
      </c>
      <c r="C33" s="285">
        <v>0</v>
      </c>
      <c r="G33" s="115"/>
      <c r="H33" s="115"/>
      <c r="I33" s="147"/>
      <c r="J33" s="115"/>
      <c r="M33" s="87"/>
      <c r="N33" s="1"/>
    </row>
    <row r="34" spans="2:14" x14ac:dyDescent="0.2">
      <c r="B34" s="240" t="s">
        <v>216</v>
      </c>
      <c r="C34" s="292" t="s">
        <v>159</v>
      </c>
      <c r="G34" s="115"/>
      <c r="H34" s="115"/>
      <c r="I34" s="147"/>
      <c r="J34" s="115"/>
      <c r="M34" s="87"/>
      <c r="N34" s="1"/>
    </row>
    <row r="35" spans="2:14" x14ac:dyDescent="0.2">
      <c r="B35" s="286" t="s">
        <v>323</v>
      </c>
      <c r="C35" s="287">
        <v>0</v>
      </c>
      <c r="G35" s="115"/>
      <c r="H35" s="115"/>
      <c r="I35" s="147"/>
      <c r="J35" s="115"/>
      <c r="M35" s="87"/>
      <c r="N35" s="1"/>
    </row>
    <row r="36" spans="2:14" ht="13.5" thickBot="1" x14ac:dyDescent="0.25">
      <c r="B36" s="242" t="s">
        <v>324</v>
      </c>
      <c r="C36" s="243" t="s">
        <v>18</v>
      </c>
      <c r="G36" s="115"/>
      <c r="H36" s="115"/>
      <c r="I36" s="147"/>
      <c r="J36" s="115"/>
      <c r="M36" s="87"/>
      <c r="N36" s="1"/>
    </row>
    <row r="37" spans="2:14" x14ac:dyDescent="0.2">
      <c r="B37" s="221" t="s">
        <v>307</v>
      </c>
      <c r="C37" s="278"/>
      <c r="D37" s="276" t="s">
        <v>308</v>
      </c>
      <c r="G37" s="115"/>
      <c r="H37" s="115"/>
      <c r="I37" s="147"/>
      <c r="J37" s="115"/>
      <c r="M37" s="87"/>
      <c r="N37" s="1"/>
    </row>
    <row r="38" spans="2:14" x14ac:dyDescent="0.2">
      <c r="B38" s="35" t="s">
        <v>309</v>
      </c>
      <c r="C38" s="106">
        <v>0</v>
      </c>
      <c r="D38" s="110">
        <f>100-C38</f>
        <v>100</v>
      </c>
      <c r="G38" s="115"/>
      <c r="H38" s="115"/>
      <c r="I38" s="147"/>
      <c r="J38" s="115"/>
      <c r="M38" s="87"/>
      <c r="N38" s="1"/>
    </row>
    <row r="39" spans="2:14" x14ac:dyDescent="0.2">
      <c r="B39" s="35" t="s">
        <v>310</v>
      </c>
      <c r="C39" s="106">
        <v>0</v>
      </c>
      <c r="D39" s="110">
        <f t="shared" ref="D39:D42" si="0">100-C39</f>
        <v>100</v>
      </c>
      <c r="G39" s="115"/>
      <c r="H39" s="115"/>
      <c r="I39" s="147"/>
      <c r="J39" s="115"/>
      <c r="M39" s="87"/>
      <c r="N39" s="1"/>
    </row>
    <row r="40" spans="2:14" x14ac:dyDescent="0.2">
      <c r="B40" s="35" t="s">
        <v>311</v>
      </c>
      <c r="C40" s="106">
        <v>0</v>
      </c>
      <c r="D40" s="110">
        <f t="shared" si="0"/>
        <v>100</v>
      </c>
      <c r="G40" s="115"/>
      <c r="H40" s="115"/>
      <c r="I40" s="147"/>
      <c r="J40" s="115"/>
      <c r="M40" s="87"/>
      <c r="N40" s="1"/>
    </row>
    <row r="41" spans="2:14" x14ac:dyDescent="0.2">
      <c r="B41" s="35" t="s">
        <v>312</v>
      </c>
      <c r="C41" s="106">
        <v>0</v>
      </c>
      <c r="D41" s="110">
        <f t="shared" si="0"/>
        <v>100</v>
      </c>
      <c r="G41" s="115"/>
      <c r="H41" s="115"/>
      <c r="I41" s="147"/>
      <c r="J41" s="115"/>
      <c r="M41" s="87"/>
      <c r="N41" s="1"/>
    </row>
    <row r="42" spans="2:14" x14ac:dyDescent="0.2">
      <c r="B42" s="35" t="s">
        <v>313</v>
      </c>
      <c r="C42" s="106">
        <v>0</v>
      </c>
      <c r="D42" s="110">
        <f t="shared" si="0"/>
        <v>100</v>
      </c>
      <c r="G42" s="115"/>
      <c r="H42" s="115"/>
      <c r="I42" s="147"/>
      <c r="J42" s="115"/>
      <c r="M42" s="87"/>
      <c r="N42" s="1"/>
    </row>
    <row r="43" spans="2:14" x14ac:dyDescent="0.2">
      <c r="B43" s="221" t="s">
        <v>319</v>
      </c>
      <c r="C43" s="280"/>
      <c r="D43" s="281"/>
      <c r="G43" s="115"/>
      <c r="H43" s="115"/>
      <c r="I43" s="147"/>
      <c r="J43" s="115"/>
      <c r="M43" s="87"/>
      <c r="N43" s="1"/>
    </row>
    <row r="44" spans="2:14" x14ac:dyDescent="0.2">
      <c r="B44" s="279" t="s">
        <v>320</v>
      </c>
      <c r="C44" s="106" t="s">
        <v>321</v>
      </c>
      <c r="D44" s="281"/>
      <c r="G44" s="115"/>
      <c r="H44" s="115"/>
      <c r="I44" s="147"/>
      <c r="J44" s="115"/>
      <c r="M44" s="87"/>
      <c r="N44" s="1"/>
    </row>
    <row r="45" spans="2:14" x14ac:dyDescent="0.2">
      <c r="B45" s="279" t="s">
        <v>322</v>
      </c>
      <c r="C45" s="176"/>
      <c r="D45" s="281"/>
      <c r="G45" s="115"/>
      <c r="H45" s="115"/>
      <c r="I45" s="147"/>
      <c r="J45" s="115"/>
      <c r="M45" s="87"/>
      <c r="N45" s="1"/>
    </row>
    <row r="46" spans="2:14" x14ac:dyDescent="0.2">
      <c r="B46" s="221" t="s">
        <v>85</v>
      </c>
      <c r="C46" s="222"/>
      <c r="G46" s="115"/>
      <c r="H46" s="115"/>
      <c r="I46" s="147"/>
      <c r="J46" s="115"/>
      <c r="M46" s="87"/>
      <c r="N46" s="1"/>
    </row>
    <row r="47" spans="2:14" x14ac:dyDescent="0.2">
      <c r="B47" s="35" t="s">
        <v>90</v>
      </c>
      <c r="C47" s="176">
        <v>0</v>
      </c>
      <c r="G47" s="115"/>
      <c r="H47" s="115"/>
      <c r="I47" s="147"/>
      <c r="J47" s="115"/>
      <c r="M47" s="87"/>
      <c r="N47" s="1"/>
    </row>
    <row r="48" spans="2:14" x14ac:dyDescent="0.2">
      <c r="B48" s="35" t="s">
        <v>91</v>
      </c>
      <c r="C48" s="106">
        <v>0</v>
      </c>
      <c r="G48" s="115"/>
      <c r="H48" s="115"/>
      <c r="I48" s="147"/>
      <c r="J48" s="115"/>
      <c r="K48" s="12"/>
      <c r="M48" s="87"/>
      <c r="N48" s="1"/>
    </row>
    <row r="49" spans="2:14" x14ac:dyDescent="0.2">
      <c r="B49" s="35" t="s">
        <v>93</v>
      </c>
      <c r="C49" s="109">
        <v>0</v>
      </c>
      <c r="G49" s="182"/>
      <c r="H49" s="115"/>
      <c r="I49" s="147"/>
      <c r="J49" s="115"/>
      <c r="K49" s="29"/>
      <c r="M49" s="87"/>
      <c r="N49" s="1"/>
    </row>
    <row r="50" spans="2:14" x14ac:dyDescent="0.2">
      <c r="B50" s="35" t="s">
        <v>92</v>
      </c>
      <c r="C50" s="110">
        <f>((inflation_rate/100+1)*(real_discount_rate/100+1)-1)*100</f>
        <v>0</v>
      </c>
      <c r="G50" s="115"/>
      <c r="H50" s="115"/>
      <c r="I50" s="147"/>
      <c r="J50" s="115"/>
      <c r="K50" s="29"/>
      <c r="M50" s="87"/>
      <c r="N50" s="1"/>
    </row>
    <row r="51" spans="2:14" x14ac:dyDescent="0.2">
      <c r="B51" s="26" t="s">
        <v>86</v>
      </c>
      <c r="C51" s="108"/>
      <c r="G51" s="115"/>
      <c r="H51" s="115"/>
      <c r="I51" s="147"/>
      <c r="J51" s="115"/>
      <c r="M51" s="87"/>
      <c r="N51" s="1"/>
    </row>
    <row r="52" spans="2:14" x14ac:dyDescent="0.2">
      <c r="B52" s="35" t="s">
        <v>325</v>
      </c>
      <c r="C52" s="283">
        <f>AnnualTaxFederal</f>
        <v>0</v>
      </c>
      <c r="E52" s="192"/>
      <c r="F52" s="147"/>
      <c r="G52" s="115"/>
      <c r="H52" s="115"/>
      <c r="I52" s="147"/>
      <c r="J52" s="115"/>
      <c r="K52" s="12"/>
      <c r="M52" s="87"/>
      <c r="N52" s="1"/>
    </row>
    <row r="53" spans="2:14" x14ac:dyDescent="0.2">
      <c r="B53" s="35" t="s">
        <v>326</v>
      </c>
      <c r="C53" s="283">
        <f>AnnualTaxState</f>
        <v>0</v>
      </c>
      <c r="E53" s="192"/>
      <c r="F53" s="147"/>
      <c r="G53" s="115"/>
      <c r="H53" s="115"/>
      <c r="I53" s="147"/>
      <c r="J53" s="115"/>
      <c r="K53" s="29"/>
      <c r="M53" s="87"/>
      <c r="N53" s="1"/>
    </row>
    <row r="54" spans="2:14" x14ac:dyDescent="0.2">
      <c r="B54" s="35" t="s">
        <v>138</v>
      </c>
      <c r="C54" s="111">
        <v>0</v>
      </c>
      <c r="E54" s="192"/>
      <c r="F54" s="147"/>
      <c r="G54" s="115"/>
      <c r="H54" s="115"/>
      <c r="I54" s="147"/>
      <c r="J54" s="115"/>
      <c r="K54" s="29"/>
      <c r="M54" s="87"/>
      <c r="N54" s="1"/>
    </row>
    <row r="55" spans="2:14" x14ac:dyDescent="0.2">
      <c r="B55" s="35" t="s">
        <v>89</v>
      </c>
      <c r="C55" s="111">
        <v>0</v>
      </c>
      <c r="E55" s="178"/>
      <c r="F55" s="147"/>
      <c r="G55" s="115"/>
      <c r="H55" s="115"/>
      <c r="I55" s="147"/>
      <c r="J55" s="115"/>
      <c r="M55" s="87"/>
      <c r="N55" s="1"/>
    </row>
    <row r="56" spans="2:14" x14ac:dyDescent="0.2">
      <c r="B56" s="37" t="s">
        <v>0</v>
      </c>
      <c r="C56" s="107"/>
      <c r="E56" s="178"/>
      <c r="F56" s="147"/>
      <c r="G56" s="115"/>
      <c r="H56" s="115"/>
      <c r="I56" s="147"/>
      <c r="J56" s="115"/>
      <c r="K56" s="12"/>
      <c r="M56" s="87"/>
      <c r="N56" s="1"/>
    </row>
    <row r="57" spans="2:14" x14ac:dyDescent="0.2">
      <c r="B57" s="36" t="s">
        <v>94</v>
      </c>
      <c r="C57" s="112">
        <v>0</v>
      </c>
      <c r="E57" s="178"/>
      <c r="F57" s="147"/>
      <c r="G57" s="115"/>
      <c r="H57" s="115"/>
      <c r="I57" s="147"/>
      <c r="J57" s="115"/>
      <c r="K57" s="29"/>
      <c r="M57" s="87"/>
      <c r="N57" s="1"/>
    </row>
    <row r="58" spans="2:14" x14ac:dyDescent="0.2">
      <c r="B58" s="36" t="s">
        <v>96</v>
      </c>
      <c r="C58" s="244">
        <f>total_installed_cost*prop_tax_cost_assessed_percent/100</f>
        <v>0</v>
      </c>
      <c r="E58" s="178"/>
      <c r="F58" s="147"/>
      <c r="G58" s="115"/>
      <c r="H58" s="115"/>
      <c r="I58" s="147"/>
      <c r="J58" s="115"/>
      <c r="M58" s="87"/>
      <c r="N58" s="1"/>
    </row>
    <row r="59" spans="2:14" x14ac:dyDescent="0.2">
      <c r="B59" s="36" t="s">
        <v>95</v>
      </c>
      <c r="C59" s="111">
        <v>0</v>
      </c>
      <c r="E59" s="178"/>
      <c r="F59" s="147"/>
      <c r="G59" s="115"/>
      <c r="H59" s="115"/>
      <c r="I59" s="147"/>
      <c r="J59" s="115"/>
      <c r="K59" s="1"/>
      <c r="M59" s="87"/>
      <c r="N59" s="1"/>
    </row>
    <row r="60" spans="2:14" x14ac:dyDescent="0.2">
      <c r="B60" s="36" t="s">
        <v>97</v>
      </c>
      <c r="C60" s="111">
        <v>0</v>
      </c>
      <c r="E60" s="178"/>
      <c r="F60" s="147"/>
      <c r="G60" s="115"/>
      <c r="H60" s="115"/>
      <c r="I60" s="147"/>
      <c r="J60" s="115"/>
      <c r="M60" s="87"/>
      <c r="N60" s="1"/>
    </row>
    <row r="61" spans="2:14" x14ac:dyDescent="0.2">
      <c r="B61" s="26" t="s">
        <v>51</v>
      </c>
      <c r="C61" s="107"/>
      <c r="E61" s="178"/>
      <c r="F61" s="147"/>
      <c r="G61" s="115"/>
      <c r="H61" s="115"/>
      <c r="I61" s="147"/>
      <c r="J61" s="115"/>
      <c r="M61" s="87"/>
      <c r="N61" s="1"/>
    </row>
    <row r="62" spans="2:14" x14ac:dyDescent="0.2">
      <c r="B62" s="34" t="s">
        <v>162</v>
      </c>
      <c r="C62" s="106">
        <v>0</v>
      </c>
      <c r="E62" s="178"/>
      <c r="F62" s="147"/>
      <c r="G62" s="115"/>
      <c r="H62" s="115"/>
      <c r="I62" s="147"/>
      <c r="J62" s="115"/>
      <c r="M62" s="87"/>
      <c r="N62" s="1"/>
    </row>
    <row r="63" spans="2:14" x14ac:dyDescent="0.2">
      <c r="B63" s="34" t="s">
        <v>161</v>
      </c>
      <c r="C63" s="244">
        <f>total_installed_cost*salvage_percentage/100</f>
        <v>0</v>
      </c>
      <c r="G63" s="115"/>
      <c r="H63" s="115"/>
      <c r="I63" s="147"/>
      <c r="J63" s="115"/>
      <c r="M63" s="87"/>
      <c r="N63" s="1"/>
    </row>
    <row r="64" spans="2:14" x14ac:dyDescent="0.2">
      <c r="C64" s="113"/>
      <c r="I64" s="19"/>
      <c r="M64" s="87"/>
      <c r="N64" s="1"/>
    </row>
    <row r="65" spans="2:14" ht="13.5" thickBot="1" x14ac:dyDescent="0.25">
      <c r="B65" s="214" t="s">
        <v>101</v>
      </c>
      <c r="C65" s="215"/>
      <c r="I65" s="19"/>
      <c r="M65" s="87"/>
      <c r="N65" s="1"/>
    </row>
    <row r="66" spans="2:14" x14ac:dyDescent="0.2">
      <c r="B66" s="265" t="s">
        <v>266</v>
      </c>
      <c r="C66" s="266"/>
      <c r="I66" s="19"/>
      <c r="M66" s="87"/>
      <c r="N66" s="1"/>
    </row>
    <row r="67" spans="2:14" x14ac:dyDescent="0.2">
      <c r="B67" s="240" t="s">
        <v>363</v>
      </c>
      <c r="C67" s="241" t="s">
        <v>159</v>
      </c>
      <c r="I67" s="19"/>
      <c r="M67" s="87"/>
      <c r="N67" s="1"/>
    </row>
    <row r="68" spans="2:14" x14ac:dyDescent="0.2">
      <c r="B68" s="240" t="s">
        <v>364</v>
      </c>
      <c r="C68" s="241" t="s">
        <v>258</v>
      </c>
      <c r="I68" s="19"/>
      <c r="M68" s="87"/>
      <c r="N68" s="1"/>
    </row>
    <row r="69" spans="2:14" x14ac:dyDescent="0.2">
      <c r="B69" s="240" t="s">
        <v>365</v>
      </c>
      <c r="C69" s="241">
        <v>0</v>
      </c>
      <c r="I69" s="19"/>
      <c r="M69" s="87"/>
      <c r="N69" s="1"/>
    </row>
    <row r="70" spans="2:14" x14ac:dyDescent="0.2">
      <c r="B70" s="291" t="s">
        <v>366</v>
      </c>
      <c r="C70" s="241" t="s">
        <v>18</v>
      </c>
      <c r="I70" s="19"/>
      <c r="M70" s="87"/>
      <c r="N70" s="1"/>
    </row>
    <row r="71" spans="2:14" x14ac:dyDescent="0.2">
      <c r="B71" s="291" t="s">
        <v>367</v>
      </c>
      <c r="C71" s="241">
        <v>100</v>
      </c>
      <c r="I71" s="19"/>
      <c r="M71" s="87"/>
      <c r="N71" s="1"/>
    </row>
    <row r="72" spans="2:14" ht="13.5" thickBot="1" x14ac:dyDescent="0.25">
      <c r="B72" s="242" t="s">
        <v>368</v>
      </c>
      <c r="C72" s="243" t="s">
        <v>268</v>
      </c>
      <c r="I72" s="19"/>
      <c r="M72" s="87"/>
      <c r="N72" s="1"/>
    </row>
    <row r="73" spans="2:14" x14ac:dyDescent="0.2">
      <c r="B73" s="221" t="s">
        <v>233</v>
      </c>
      <c r="C73" s="216"/>
      <c r="E73" s="113"/>
      <c r="I73" s="19"/>
      <c r="M73" s="87"/>
      <c r="N73" s="1"/>
    </row>
    <row r="74" spans="2:14" x14ac:dyDescent="0.2">
      <c r="B74" s="35" t="s">
        <v>102</v>
      </c>
      <c r="C74" s="176">
        <v>0</v>
      </c>
      <c r="D74" s="81"/>
      <c r="E74" s="113"/>
      <c r="I74" s="19"/>
      <c r="M74" s="87"/>
      <c r="N74" s="1"/>
    </row>
    <row r="75" spans="2:14" x14ac:dyDescent="0.2">
      <c r="B75" s="35" t="s">
        <v>267</v>
      </c>
      <c r="C75" s="176">
        <v>0</v>
      </c>
      <c r="D75" s="81"/>
      <c r="E75" s="113"/>
      <c r="I75" s="19"/>
      <c r="M75" s="87"/>
      <c r="N75" s="1"/>
    </row>
    <row r="76" spans="2:14" x14ac:dyDescent="0.2">
      <c r="B76" s="35" t="s">
        <v>103</v>
      </c>
      <c r="C76" s="111">
        <v>0</v>
      </c>
      <c r="D76" s="81"/>
      <c r="E76" s="113"/>
      <c r="I76" s="19"/>
      <c r="M76" s="87"/>
      <c r="N76" s="1"/>
    </row>
    <row r="77" spans="2:14" x14ac:dyDescent="0.2">
      <c r="B77" s="35" t="s">
        <v>104</v>
      </c>
      <c r="C77" s="101">
        <v>0</v>
      </c>
      <c r="D77" s="81"/>
      <c r="E77" s="150"/>
      <c r="I77" s="19"/>
      <c r="M77" s="87"/>
      <c r="N77" s="1"/>
    </row>
    <row r="78" spans="2:14" x14ac:dyDescent="0.2">
      <c r="B78" s="35" t="s">
        <v>105</v>
      </c>
      <c r="C78" s="111">
        <v>0</v>
      </c>
      <c r="D78" s="81"/>
      <c r="E78" s="150"/>
      <c r="I78" s="19"/>
      <c r="M78" s="87"/>
      <c r="N78" s="1"/>
    </row>
    <row r="79" spans="2:14" x14ac:dyDescent="0.2">
      <c r="B79" s="35" t="s">
        <v>238</v>
      </c>
      <c r="C79" s="199">
        <v>0</v>
      </c>
      <c r="D79" s="24"/>
      <c r="I79" s="19"/>
      <c r="M79" s="87"/>
      <c r="N79" s="1"/>
    </row>
    <row r="80" spans="2:14" x14ac:dyDescent="0.2">
      <c r="C80" s="96"/>
      <c r="I80" s="19"/>
      <c r="M80" s="87"/>
      <c r="N80" s="1"/>
    </row>
    <row r="81" spans="2:14" x14ac:dyDescent="0.2">
      <c r="B81" s="5" t="s">
        <v>106</v>
      </c>
      <c r="C81" s="97"/>
      <c r="I81" s="19"/>
      <c r="M81" s="87"/>
      <c r="N81" s="1"/>
    </row>
    <row r="82" spans="2:14" x14ac:dyDescent="0.2">
      <c r="B82" s="34" t="s">
        <v>314</v>
      </c>
      <c r="C82" s="98">
        <v>0</v>
      </c>
      <c r="I82" s="19"/>
      <c r="M82" s="87"/>
      <c r="N82" s="1"/>
    </row>
    <row r="83" spans="2:14" x14ac:dyDescent="0.2">
      <c r="B83" s="34" t="s">
        <v>315</v>
      </c>
      <c r="C83" s="98">
        <v>0</v>
      </c>
      <c r="I83" s="19"/>
      <c r="M83" s="87"/>
      <c r="N83" s="1"/>
    </row>
    <row r="84" spans="2:14" x14ac:dyDescent="0.2">
      <c r="B84" s="34" t="s">
        <v>316</v>
      </c>
      <c r="C84" s="98">
        <v>0</v>
      </c>
      <c r="I84" s="19"/>
      <c r="M84" s="87"/>
      <c r="N84" s="1"/>
    </row>
    <row r="85" spans="2:14" x14ac:dyDescent="0.2">
      <c r="B85" s="34" t="s">
        <v>317</v>
      </c>
      <c r="C85" s="277">
        <f>cost_dev_fee_percent/100*total_installed_cost</f>
        <v>0</v>
      </c>
      <c r="I85" s="19"/>
      <c r="M85" s="87"/>
      <c r="N85" s="1"/>
    </row>
    <row r="86" spans="2:14" x14ac:dyDescent="0.2">
      <c r="B86" s="34" t="s">
        <v>318</v>
      </c>
      <c r="C86" s="277">
        <f>C85*(federal_tax_rate/100*(1-state_tax_rate/100)+state_tax_rate/100)</f>
        <v>0</v>
      </c>
      <c r="I86" s="19"/>
      <c r="M86" s="87"/>
      <c r="N86" s="1"/>
    </row>
    <row r="87" spans="2:14" x14ac:dyDescent="0.2">
      <c r="C87" s="96"/>
      <c r="I87" s="19"/>
      <c r="M87" s="87"/>
      <c r="N87" s="1"/>
    </row>
    <row r="88" spans="2:14" x14ac:dyDescent="0.2">
      <c r="B88" s="5" t="s">
        <v>118</v>
      </c>
      <c r="C88" s="97"/>
      <c r="M88" s="87"/>
      <c r="N88" s="1"/>
    </row>
    <row r="89" spans="2:14" x14ac:dyDescent="0.2">
      <c r="B89" s="34" t="s">
        <v>163</v>
      </c>
      <c r="C89" s="98">
        <v>0</v>
      </c>
      <c r="M89" s="87"/>
      <c r="N89" s="1"/>
    </row>
    <row r="90" spans="2:14" x14ac:dyDescent="0.2">
      <c r="C90" s="99"/>
      <c r="M90" s="87"/>
      <c r="N90" s="1"/>
    </row>
    <row r="91" spans="2:14" x14ac:dyDescent="0.2">
      <c r="B91" s="5" t="s">
        <v>198</v>
      </c>
      <c r="C91" s="7"/>
      <c r="D91" s="7"/>
      <c r="E91" s="7"/>
      <c r="F91" s="7"/>
      <c r="G91" s="7"/>
      <c r="H91" s="7"/>
      <c r="I91" s="6"/>
      <c r="M91" s="87"/>
      <c r="N91" s="1"/>
    </row>
    <row r="92" spans="2:14" ht="25.5" x14ac:dyDescent="0.2">
      <c r="B92" s="34"/>
      <c r="C92" s="212" t="s">
        <v>112</v>
      </c>
      <c r="D92" s="211" t="s">
        <v>113</v>
      </c>
      <c r="E92" s="211" t="s">
        <v>114</v>
      </c>
      <c r="F92" s="211" t="s">
        <v>115</v>
      </c>
      <c r="G92" s="211" t="s">
        <v>27</v>
      </c>
      <c r="H92" s="211" t="s">
        <v>28</v>
      </c>
      <c r="I92" s="211" t="s">
        <v>116</v>
      </c>
      <c r="M92" s="87"/>
      <c r="N92" s="1"/>
    </row>
    <row r="93" spans="2:14" x14ac:dyDescent="0.2">
      <c r="B93" s="34" t="s">
        <v>107</v>
      </c>
      <c r="C93" s="183">
        <v>0</v>
      </c>
      <c r="D93" s="185">
        <v>0</v>
      </c>
      <c r="E93" s="149">
        <v>0</v>
      </c>
      <c r="F93" s="188">
        <v>0</v>
      </c>
      <c r="G93" s="183">
        <f>C93/100*total_installed_cost</f>
        <v>0</v>
      </c>
      <c r="H93" s="183">
        <f>G93*F93/100*E93/12*0.5</f>
        <v>0</v>
      </c>
      <c r="I93" s="183">
        <f>H93+D93/100*G93</f>
        <v>0</v>
      </c>
      <c r="M93" s="87"/>
      <c r="N93" s="1"/>
    </row>
    <row r="94" spans="2:14" x14ac:dyDescent="0.2">
      <c r="B94" s="34" t="s">
        <v>108</v>
      </c>
      <c r="C94" s="183">
        <v>0</v>
      </c>
      <c r="D94" s="185">
        <v>0</v>
      </c>
      <c r="E94" s="149">
        <v>0</v>
      </c>
      <c r="F94" s="188">
        <v>0</v>
      </c>
      <c r="G94" s="183">
        <f>C94/100*total_installed_cost</f>
        <v>0</v>
      </c>
      <c r="H94" s="183">
        <f>G94*F94/100*E94/12*0.5</f>
        <v>0</v>
      </c>
      <c r="I94" s="183">
        <f t="shared" ref="I94:I97" si="1">H94+D94/100*G94</f>
        <v>0</v>
      </c>
      <c r="M94" s="87"/>
      <c r="N94" s="1"/>
    </row>
    <row r="95" spans="2:14" x14ac:dyDescent="0.2">
      <c r="B95" s="34" t="s">
        <v>109</v>
      </c>
      <c r="C95" s="183">
        <v>0</v>
      </c>
      <c r="D95" s="185">
        <v>0</v>
      </c>
      <c r="E95" s="149">
        <v>0</v>
      </c>
      <c r="F95" s="188">
        <v>0</v>
      </c>
      <c r="G95" s="183">
        <f>C95/100*total_installed_cost</f>
        <v>0</v>
      </c>
      <c r="H95" s="183">
        <f>G95*F95/100*E95/12*0.5</f>
        <v>0</v>
      </c>
      <c r="I95" s="183">
        <f t="shared" si="1"/>
        <v>0</v>
      </c>
      <c r="M95" s="87"/>
      <c r="N95" s="1"/>
    </row>
    <row r="96" spans="2:14" x14ac:dyDescent="0.2">
      <c r="B96" s="34" t="s">
        <v>110</v>
      </c>
      <c r="C96" s="183">
        <v>0</v>
      </c>
      <c r="D96" s="185">
        <v>0</v>
      </c>
      <c r="E96" s="149">
        <v>0</v>
      </c>
      <c r="F96" s="188">
        <v>0</v>
      </c>
      <c r="G96" s="183">
        <f>C96/100*total_installed_cost</f>
        <v>0</v>
      </c>
      <c r="H96" s="183">
        <f>G96*F96/100*E96/12*0.5</f>
        <v>0</v>
      </c>
      <c r="I96" s="183">
        <f t="shared" si="1"/>
        <v>0</v>
      </c>
      <c r="M96" s="87"/>
      <c r="N96" s="1"/>
    </row>
    <row r="97" spans="2:14" x14ac:dyDescent="0.2">
      <c r="B97" s="34" t="s">
        <v>111</v>
      </c>
      <c r="C97" s="184">
        <v>0</v>
      </c>
      <c r="D97" s="186">
        <v>0</v>
      </c>
      <c r="E97" s="187">
        <v>0</v>
      </c>
      <c r="F97" s="189">
        <v>0</v>
      </c>
      <c r="G97" s="183">
        <f>C97/100*total_installed_cost</f>
        <v>0</v>
      </c>
      <c r="H97" s="183">
        <f>G97*F97/100*E97/12*0.5</f>
        <v>0</v>
      </c>
      <c r="I97" s="183">
        <f t="shared" si="1"/>
        <v>0</v>
      </c>
      <c r="M97" s="87"/>
      <c r="N97" s="1"/>
    </row>
    <row r="98" spans="2:14" x14ac:dyDescent="0.2">
      <c r="B98" s="38" t="s">
        <v>117</v>
      </c>
      <c r="C98" s="39"/>
      <c r="D98" s="27"/>
      <c r="E98" s="27"/>
      <c r="F98" s="40"/>
      <c r="G98" s="41">
        <f>SUM(G93:G97)</f>
        <v>0</v>
      </c>
      <c r="H98" s="42">
        <f>SUM(H93:H97)</f>
        <v>0</v>
      </c>
      <c r="I98" s="43">
        <f>SUM(I93:I97)</f>
        <v>0</v>
      </c>
      <c r="M98" s="87"/>
      <c r="N98" s="1"/>
    </row>
    <row r="99" spans="2:14" x14ac:dyDescent="0.2">
      <c r="C99" s="99"/>
      <c r="M99" s="87"/>
      <c r="N99" s="1"/>
    </row>
    <row r="100" spans="2:14" x14ac:dyDescent="0.2">
      <c r="B100" s="5" t="s">
        <v>119</v>
      </c>
      <c r="C100" s="7"/>
      <c r="D100" s="7"/>
      <c r="E100" s="7"/>
      <c r="F100" s="151"/>
      <c r="M100" s="87"/>
      <c r="N100" s="1"/>
    </row>
    <row r="101" spans="2:14" x14ac:dyDescent="0.2">
      <c r="B101" s="34" t="s">
        <v>120</v>
      </c>
      <c r="C101" s="114">
        <v>0</v>
      </c>
      <c r="F101" s="151"/>
      <c r="M101" s="87"/>
      <c r="N101" s="1"/>
    </row>
    <row r="102" spans="2:14" x14ac:dyDescent="0.2">
      <c r="B102" s="34" t="s">
        <v>129</v>
      </c>
      <c r="C102" s="114">
        <v>0</v>
      </c>
      <c r="F102" s="151"/>
      <c r="M102" s="87"/>
      <c r="N102" s="1"/>
    </row>
    <row r="103" spans="2:14" x14ac:dyDescent="0.2">
      <c r="B103" s="9" t="s">
        <v>121</v>
      </c>
      <c r="C103" s="114">
        <v>0</v>
      </c>
      <c r="E103" s="282"/>
      <c r="M103" s="87"/>
      <c r="N103" s="1"/>
    </row>
    <row r="104" spans="2:14" x14ac:dyDescent="0.2">
      <c r="B104" s="9" t="s">
        <v>286</v>
      </c>
      <c r="C104" s="114">
        <v>0</v>
      </c>
      <c r="F104" s="151"/>
      <c r="M104" s="87"/>
      <c r="N104" s="1"/>
    </row>
    <row r="105" spans="2:14" x14ac:dyDescent="0.2">
      <c r="B105" s="34" t="s">
        <v>122</v>
      </c>
      <c r="C105" s="94" t="s">
        <v>174</v>
      </c>
      <c r="D105" s="211" t="s">
        <v>126</v>
      </c>
      <c r="E105" s="226" t="s">
        <v>127</v>
      </c>
      <c r="F105" s="151"/>
      <c r="M105" s="87"/>
      <c r="N105" s="1"/>
    </row>
    <row r="106" spans="2:14" x14ac:dyDescent="0.2">
      <c r="B106" s="47" t="s">
        <v>123</v>
      </c>
      <c r="C106" s="114">
        <v>0</v>
      </c>
      <c r="D106" s="277">
        <f>C106*system_capacity*1000</f>
        <v>0</v>
      </c>
      <c r="E106" s="227">
        <v>0</v>
      </c>
      <c r="F106" s="151"/>
      <c r="M106" s="87"/>
      <c r="N106" s="1"/>
    </row>
    <row r="107" spans="2:14" x14ac:dyDescent="0.2">
      <c r="B107" s="35" t="s">
        <v>125</v>
      </c>
      <c r="C107" s="114">
        <v>0</v>
      </c>
      <c r="D107" s="277">
        <f>C107*system_capacity*1000</f>
        <v>0</v>
      </c>
      <c r="E107" s="227">
        <v>0</v>
      </c>
      <c r="F107" s="151"/>
      <c r="M107" s="87"/>
      <c r="N107" s="1"/>
    </row>
    <row r="108" spans="2:14" x14ac:dyDescent="0.2">
      <c r="B108" s="57" t="s">
        <v>124</v>
      </c>
      <c r="C108" s="114">
        <v>0</v>
      </c>
      <c r="D108" s="277">
        <f>C108*system_capacity*1000</f>
        <v>0</v>
      </c>
      <c r="E108" s="227">
        <v>0</v>
      </c>
      <c r="F108" s="151"/>
      <c r="M108" s="87"/>
      <c r="N108" s="1"/>
    </row>
    <row r="109" spans="2:14" x14ac:dyDescent="0.2">
      <c r="B109" s="37" t="s">
        <v>128</v>
      </c>
      <c r="C109" s="28"/>
      <c r="D109" s="190"/>
      <c r="E109" s="190"/>
      <c r="F109" s="151"/>
      <c r="M109" s="87"/>
      <c r="N109" s="1"/>
    </row>
    <row r="110" spans="2:14" x14ac:dyDescent="0.2">
      <c r="B110" s="45" t="s">
        <v>4</v>
      </c>
      <c r="C110" s="225" t="s">
        <v>45</v>
      </c>
      <c r="D110" s="151"/>
      <c r="F110" s="151"/>
      <c r="M110" s="87"/>
      <c r="N110" s="1"/>
    </row>
    <row r="111" spans="2:14" x14ac:dyDescent="0.2">
      <c r="B111" s="45" t="s">
        <v>5</v>
      </c>
      <c r="C111" s="225" t="s">
        <v>45</v>
      </c>
      <c r="D111" s="228"/>
      <c r="E111" s="229"/>
      <c r="F111" s="151"/>
      <c r="M111" s="87"/>
      <c r="N111" s="1"/>
    </row>
    <row r="112" spans="2:14" x14ac:dyDescent="0.2">
      <c r="M112" s="87"/>
      <c r="N112" s="1"/>
    </row>
    <row r="113" spans="2:14" x14ac:dyDescent="0.2">
      <c r="B113" s="5" t="s">
        <v>130</v>
      </c>
      <c r="C113" s="7"/>
      <c r="D113" s="7"/>
      <c r="E113" s="7"/>
      <c r="F113" s="6"/>
      <c r="M113" s="87"/>
      <c r="N113" s="1"/>
    </row>
    <row r="114" spans="2:14" x14ac:dyDescent="0.2">
      <c r="B114" s="26" t="s">
        <v>2</v>
      </c>
      <c r="C114" s="27"/>
      <c r="D114" s="48"/>
      <c r="E114" s="336" t="s">
        <v>226</v>
      </c>
      <c r="F114" s="337"/>
      <c r="M114" s="87"/>
      <c r="N114" s="1"/>
    </row>
    <row r="115" spans="2:14" x14ac:dyDescent="0.2">
      <c r="B115" s="47" t="s">
        <v>132</v>
      </c>
      <c r="C115" s="8" t="s">
        <v>195</v>
      </c>
      <c r="D115" s="56"/>
      <c r="E115" s="211" t="s">
        <v>4</v>
      </c>
      <c r="F115" s="211" t="s">
        <v>5</v>
      </c>
      <c r="M115" s="87"/>
      <c r="N115" s="1"/>
    </row>
    <row r="116" spans="2:14" x14ac:dyDescent="0.2">
      <c r="B116" s="46" t="s">
        <v>133</v>
      </c>
      <c r="C116" s="135">
        <f>SUM(D182:AQ182)</f>
        <v>0</v>
      </c>
      <c r="D116" s="30"/>
      <c r="E116" s="10" t="s">
        <v>17</v>
      </c>
      <c r="F116" s="10" t="s">
        <v>17</v>
      </c>
      <c r="M116" s="87"/>
      <c r="N116" s="1"/>
    </row>
    <row r="117" spans="2:14" x14ac:dyDescent="0.2">
      <c r="B117" s="46" t="s">
        <v>134</v>
      </c>
      <c r="C117" s="135">
        <f>SUM(D183:AQ183)</f>
        <v>0</v>
      </c>
      <c r="D117" s="49"/>
      <c r="E117" s="55" t="s">
        <v>18</v>
      </c>
      <c r="F117" s="52" t="s">
        <v>18</v>
      </c>
      <c r="M117" s="87"/>
      <c r="N117" s="1"/>
    </row>
    <row r="118" spans="2:14" x14ac:dyDescent="0.2">
      <c r="B118" s="45" t="s">
        <v>137</v>
      </c>
      <c r="C118" s="10" t="s">
        <v>7</v>
      </c>
      <c r="D118" s="13" t="s">
        <v>156</v>
      </c>
      <c r="E118" s="53"/>
      <c r="F118" s="51"/>
      <c r="M118" s="87"/>
      <c r="N118" s="1"/>
    </row>
    <row r="119" spans="2:14" x14ac:dyDescent="0.2">
      <c r="B119" s="46" t="s">
        <v>135</v>
      </c>
      <c r="C119" s="94">
        <f>SUM(D184:AQ184)</f>
        <v>0</v>
      </c>
      <c r="D119" s="44">
        <f>SUM(D185:AQ185)</f>
        <v>0</v>
      </c>
      <c r="E119" s="50" t="s">
        <v>17</v>
      </c>
      <c r="F119" s="50" t="s">
        <v>17</v>
      </c>
      <c r="M119" s="87"/>
      <c r="N119" s="1"/>
    </row>
    <row r="120" spans="2:14" ht="13.5" thickBot="1" x14ac:dyDescent="0.25">
      <c r="B120" s="74" t="s">
        <v>136</v>
      </c>
      <c r="C120" s="264">
        <f>SUM(D186:AQ186)</f>
        <v>0</v>
      </c>
      <c r="D120" s="238">
        <f>SUM(D187:AQ187)</f>
        <v>0</v>
      </c>
      <c r="E120" s="61" t="s">
        <v>18</v>
      </c>
      <c r="F120" s="61" t="s">
        <v>18</v>
      </c>
      <c r="M120" s="87"/>
      <c r="N120" s="1"/>
    </row>
    <row r="121" spans="2:14" x14ac:dyDescent="0.2">
      <c r="B121" s="75" t="s">
        <v>6</v>
      </c>
      <c r="C121" s="262" t="s">
        <v>9</v>
      </c>
      <c r="D121" s="263" t="s">
        <v>196</v>
      </c>
      <c r="E121" s="13" t="s">
        <v>194</v>
      </c>
      <c r="F121" s="151"/>
      <c r="M121" s="87"/>
      <c r="N121" s="1"/>
    </row>
    <row r="122" spans="2:14" x14ac:dyDescent="0.2">
      <c r="B122" s="45" t="s">
        <v>4</v>
      </c>
      <c r="C122" s="293">
        <v>0</v>
      </c>
      <c r="D122" s="136">
        <v>0</v>
      </c>
      <c r="E122" s="261">
        <v>0</v>
      </c>
      <c r="F122" s="151"/>
      <c r="M122" s="87"/>
      <c r="N122" s="1"/>
    </row>
    <row r="123" spans="2:14" x14ac:dyDescent="0.2">
      <c r="B123" s="45" t="s">
        <v>5</v>
      </c>
      <c r="C123" s="293">
        <v>0</v>
      </c>
      <c r="D123" s="136">
        <v>0</v>
      </c>
      <c r="E123" s="261">
        <v>0</v>
      </c>
      <c r="F123" s="151"/>
      <c r="M123" s="87"/>
      <c r="N123" s="1"/>
    </row>
    <row r="124" spans="2:14" x14ac:dyDescent="0.2">
      <c r="B124" s="21"/>
      <c r="C124" s="11"/>
      <c r="D124" s="12"/>
      <c r="M124" s="87"/>
      <c r="N124" s="1"/>
    </row>
    <row r="125" spans="2:14" x14ac:dyDescent="0.2">
      <c r="B125" s="214" t="s">
        <v>131</v>
      </c>
      <c r="C125" s="232"/>
      <c r="D125" s="232"/>
      <c r="E125" s="232"/>
      <c r="F125" s="232"/>
      <c r="G125" s="232"/>
      <c r="H125" s="233"/>
      <c r="I125" s="32"/>
      <c r="M125" s="87"/>
    </row>
    <row r="126" spans="2:14" x14ac:dyDescent="0.2">
      <c r="B126" s="26" t="s">
        <v>16</v>
      </c>
      <c r="C126" s="27"/>
      <c r="D126" s="27"/>
      <c r="E126" s="66"/>
      <c r="F126" s="66"/>
      <c r="G126" s="66"/>
      <c r="H126" s="51"/>
      <c r="M126" s="87"/>
    </row>
    <row r="127" spans="2:14" x14ac:dyDescent="0.2">
      <c r="B127" s="71" t="s">
        <v>132</v>
      </c>
      <c r="C127" s="8" t="s">
        <v>195</v>
      </c>
      <c r="D127" s="230"/>
      <c r="E127" s="54" t="s">
        <v>218</v>
      </c>
      <c r="F127" s="50" t="s">
        <v>219</v>
      </c>
      <c r="G127" s="50" t="s">
        <v>220</v>
      </c>
      <c r="H127" s="50" t="s">
        <v>221</v>
      </c>
      <c r="K127" s="65"/>
      <c r="M127" s="87"/>
      <c r="N127" s="65"/>
    </row>
    <row r="128" spans="2:14" x14ac:dyDescent="0.2">
      <c r="B128" s="46" t="s">
        <v>133</v>
      </c>
      <c r="C128" s="137">
        <v>0</v>
      </c>
      <c r="D128" s="231"/>
      <c r="E128" s="62" t="s">
        <v>17</v>
      </c>
      <c r="F128" s="62" t="s">
        <v>17</v>
      </c>
      <c r="G128" s="10" t="s">
        <v>18</v>
      </c>
      <c r="H128" s="10" t="s">
        <v>18</v>
      </c>
      <c r="M128" s="87"/>
    </row>
    <row r="129" spans="2:14" x14ac:dyDescent="0.2">
      <c r="B129" s="46" t="s">
        <v>134</v>
      </c>
      <c r="C129" s="137">
        <v>0</v>
      </c>
      <c r="D129" s="231"/>
      <c r="E129" s="62" t="s">
        <v>17</v>
      </c>
      <c r="F129" s="62" t="s">
        <v>17</v>
      </c>
      <c r="G129" s="10" t="s">
        <v>18</v>
      </c>
      <c r="H129" s="10" t="s">
        <v>18</v>
      </c>
      <c r="M129" s="87"/>
    </row>
    <row r="130" spans="2:14" x14ac:dyDescent="0.2">
      <c r="B130" s="46" t="s">
        <v>143</v>
      </c>
      <c r="C130" s="137">
        <v>0</v>
      </c>
      <c r="D130" s="231"/>
      <c r="E130" s="62" t="s">
        <v>17</v>
      </c>
      <c r="F130" s="62" t="s">
        <v>17</v>
      </c>
      <c r="G130" s="62" t="s">
        <v>18</v>
      </c>
      <c r="H130" s="10" t="s">
        <v>18</v>
      </c>
      <c r="M130" s="87"/>
    </row>
    <row r="131" spans="2:14" x14ac:dyDescent="0.2">
      <c r="B131" s="72" t="s">
        <v>144</v>
      </c>
      <c r="C131" s="138">
        <v>0</v>
      </c>
      <c r="D131" s="231"/>
      <c r="E131" s="62" t="s">
        <v>17</v>
      </c>
      <c r="F131" s="62" t="s">
        <v>17</v>
      </c>
      <c r="G131" s="52" t="s">
        <v>18</v>
      </c>
      <c r="H131" s="52" t="s">
        <v>18</v>
      </c>
      <c r="M131" s="87"/>
    </row>
    <row r="132" spans="2:14" x14ac:dyDescent="0.2">
      <c r="B132" s="45" t="s">
        <v>137</v>
      </c>
      <c r="C132" s="63" t="s">
        <v>7</v>
      </c>
      <c r="D132" s="10" t="s">
        <v>156</v>
      </c>
      <c r="E132" s="64"/>
      <c r="F132" s="67"/>
      <c r="G132" s="67"/>
      <c r="H132" s="62"/>
      <c r="I132" s="32"/>
      <c r="K132" s="1"/>
      <c r="M132" s="87"/>
      <c r="N132" s="1"/>
    </row>
    <row r="133" spans="2:14" x14ac:dyDescent="0.2">
      <c r="B133" s="46" t="s">
        <v>135</v>
      </c>
      <c r="C133" s="94">
        <v>0</v>
      </c>
      <c r="D133" s="44">
        <v>9.9999999999999998E+37</v>
      </c>
      <c r="E133" s="62" t="s">
        <v>17</v>
      </c>
      <c r="F133" s="62" t="s">
        <v>17</v>
      </c>
      <c r="G133" s="10" t="s">
        <v>18</v>
      </c>
      <c r="H133" s="62" t="s">
        <v>18</v>
      </c>
      <c r="M133" s="1"/>
    </row>
    <row r="134" spans="2:14" x14ac:dyDescent="0.2">
      <c r="B134" s="46" t="s">
        <v>136</v>
      </c>
      <c r="C134" s="94">
        <v>0</v>
      </c>
      <c r="D134" s="44">
        <v>9.9999999999999998E+37</v>
      </c>
      <c r="E134" s="62" t="s">
        <v>17</v>
      </c>
      <c r="F134" s="62" t="s">
        <v>17</v>
      </c>
      <c r="G134" s="10" t="s">
        <v>18</v>
      </c>
      <c r="H134" s="10" t="s">
        <v>18</v>
      </c>
      <c r="M134" s="1"/>
    </row>
    <row r="135" spans="2:14" x14ac:dyDescent="0.2">
      <c r="B135" s="46" t="s">
        <v>145</v>
      </c>
      <c r="C135" s="94">
        <v>0</v>
      </c>
      <c r="D135" s="44">
        <v>9.9999999999999998E+37</v>
      </c>
      <c r="E135" s="62" t="s">
        <v>17</v>
      </c>
      <c r="F135" s="62" t="s">
        <v>17</v>
      </c>
      <c r="G135" s="10" t="s">
        <v>18</v>
      </c>
      <c r="H135" s="10" t="s">
        <v>18</v>
      </c>
      <c r="M135" s="1"/>
    </row>
    <row r="136" spans="2:14" ht="13.5" thickBot="1" x14ac:dyDescent="0.25">
      <c r="B136" s="74" t="s">
        <v>146</v>
      </c>
      <c r="C136" s="139">
        <v>0</v>
      </c>
      <c r="D136" s="238">
        <v>9.9999999999999998E+37</v>
      </c>
      <c r="E136" s="61" t="s">
        <v>17</v>
      </c>
      <c r="F136" s="237" t="s">
        <v>17</v>
      </c>
      <c r="G136" s="61" t="s">
        <v>18</v>
      </c>
      <c r="H136" s="61" t="s">
        <v>18</v>
      </c>
      <c r="M136" s="1"/>
    </row>
    <row r="137" spans="2:14" x14ac:dyDescent="0.2">
      <c r="B137" s="73" t="s">
        <v>38</v>
      </c>
      <c r="C137" s="70" t="s">
        <v>151</v>
      </c>
      <c r="D137" s="50" t="s">
        <v>156</v>
      </c>
      <c r="E137" s="234"/>
      <c r="F137" s="235"/>
      <c r="G137" s="235"/>
      <c r="H137" s="236"/>
      <c r="K137" s="58"/>
      <c r="L137" s="58"/>
      <c r="M137" s="1"/>
      <c r="N137" s="58"/>
    </row>
    <row r="138" spans="2:14" x14ac:dyDescent="0.2">
      <c r="B138" s="45" t="s">
        <v>147</v>
      </c>
      <c r="C138" s="101">
        <v>0</v>
      </c>
      <c r="D138" s="44">
        <v>9.9999999999999998E+37</v>
      </c>
      <c r="E138" s="62" t="s">
        <v>17</v>
      </c>
      <c r="F138" s="62" t="s">
        <v>17</v>
      </c>
      <c r="G138" s="10" t="s">
        <v>18</v>
      </c>
      <c r="H138" s="64" t="s">
        <v>18</v>
      </c>
      <c r="I138" s="151"/>
      <c r="M138" s="1"/>
    </row>
    <row r="139" spans="2:14" x14ac:dyDescent="0.2">
      <c r="B139" s="45" t="s">
        <v>148</v>
      </c>
      <c r="C139" s="101">
        <v>0</v>
      </c>
      <c r="D139" s="44">
        <v>9.9999999999999998E+37</v>
      </c>
      <c r="E139" s="62" t="s">
        <v>17</v>
      </c>
      <c r="F139" s="62" t="s">
        <v>17</v>
      </c>
      <c r="G139" s="62" t="s">
        <v>18</v>
      </c>
      <c r="H139" s="62" t="s">
        <v>18</v>
      </c>
      <c r="M139" s="1"/>
    </row>
    <row r="140" spans="2:14" x14ac:dyDescent="0.2">
      <c r="B140" s="45" t="s">
        <v>149</v>
      </c>
      <c r="C140" s="101">
        <v>0</v>
      </c>
      <c r="D140" s="44">
        <v>9.9999999999999998E+37</v>
      </c>
      <c r="E140" s="62" t="s">
        <v>17</v>
      </c>
      <c r="F140" s="62" t="s">
        <v>17</v>
      </c>
      <c r="G140" s="10" t="s">
        <v>18</v>
      </c>
      <c r="H140" s="10" t="s">
        <v>18</v>
      </c>
      <c r="M140" s="1"/>
    </row>
    <row r="141" spans="2:14" ht="13.5" thickBot="1" x14ac:dyDescent="0.25">
      <c r="B141" s="77" t="s">
        <v>150</v>
      </c>
      <c r="C141" s="140">
        <v>0</v>
      </c>
      <c r="D141" s="238">
        <v>9.9999999999999998E+37</v>
      </c>
      <c r="E141" s="61" t="s">
        <v>17</v>
      </c>
      <c r="F141" s="237" t="s">
        <v>17</v>
      </c>
      <c r="G141" s="61" t="s">
        <v>18</v>
      </c>
      <c r="H141" s="61" t="s">
        <v>18</v>
      </c>
      <c r="M141" s="1"/>
    </row>
    <row r="142" spans="2:14" x14ac:dyDescent="0.2">
      <c r="B142" s="75" t="s">
        <v>36</v>
      </c>
      <c r="C142" s="70" t="s">
        <v>9</v>
      </c>
      <c r="D142" s="50" t="s">
        <v>196</v>
      </c>
      <c r="E142" s="50" t="s">
        <v>194</v>
      </c>
      <c r="F142" s="50" t="s">
        <v>218</v>
      </c>
      <c r="G142" s="50" t="s">
        <v>219</v>
      </c>
      <c r="H142" s="76" t="s">
        <v>217</v>
      </c>
      <c r="I142" s="1"/>
      <c r="J142" s="1"/>
      <c r="K142" s="1"/>
      <c r="L142" s="58"/>
      <c r="M142" s="1"/>
      <c r="N142" s="1"/>
    </row>
    <row r="143" spans="2:14" x14ac:dyDescent="0.2">
      <c r="B143" s="45" t="s">
        <v>152</v>
      </c>
      <c r="C143" s="101">
        <v>0</v>
      </c>
      <c r="D143" s="141">
        <v>0</v>
      </c>
      <c r="E143" s="94">
        <v>0</v>
      </c>
      <c r="F143" s="62" t="s">
        <v>17</v>
      </c>
      <c r="G143" s="62" t="s">
        <v>17</v>
      </c>
      <c r="H143" s="93" t="s">
        <v>18</v>
      </c>
      <c r="I143" s="1"/>
      <c r="J143" s="1"/>
      <c r="K143" s="1"/>
      <c r="M143" s="1"/>
      <c r="N143" s="1"/>
    </row>
    <row r="144" spans="2:14" x14ac:dyDescent="0.2">
      <c r="B144" s="45" t="s">
        <v>153</v>
      </c>
      <c r="C144" s="101">
        <v>0</v>
      </c>
      <c r="D144" s="141">
        <v>0</v>
      </c>
      <c r="E144" s="94">
        <v>0</v>
      </c>
      <c r="F144" s="10" t="s">
        <v>17</v>
      </c>
      <c r="G144" s="62" t="s">
        <v>17</v>
      </c>
      <c r="H144" s="93" t="s">
        <v>18</v>
      </c>
      <c r="I144" s="1"/>
      <c r="J144" s="1"/>
      <c r="K144" s="1"/>
      <c r="M144" s="1"/>
      <c r="N144" s="1"/>
    </row>
    <row r="145" spans="2:43" x14ac:dyDescent="0.2">
      <c r="B145" s="45" t="s">
        <v>154</v>
      </c>
      <c r="C145" s="101">
        <v>0</v>
      </c>
      <c r="D145" s="141">
        <v>0</v>
      </c>
      <c r="E145" s="94">
        <v>0</v>
      </c>
      <c r="F145" s="62" t="s">
        <v>17</v>
      </c>
      <c r="G145" s="62" t="s">
        <v>17</v>
      </c>
      <c r="H145" s="93" t="s">
        <v>18</v>
      </c>
      <c r="I145" s="1"/>
      <c r="J145" s="1"/>
      <c r="K145" s="1"/>
      <c r="L145" s="1"/>
      <c r="M145" s="1"/>
      <c r="N145" s="1"/>
    </row>
    <row r="146" spans="2:43" x14ac:dyDescent="0.2">
      <c r="B146" s="45" t="s">
        <v>155</v>
      </c>
      <c r="C146" s="101">
        <v>0</v>
      </c>
      <c r="D146" s="141">
        <v>0</v>
      </c>
      <c r="E146" s="94">
        <v>0</v>
      </c>
      <c r="F146" s="62" t="s">
        <v>17</v>
      </c>
      <c r="G146" s="62" t="s">
        <v>17</v>
      </c>
      <c r="H146" s="62" t="s">
        <v>18</v>
      </c>
      <c r="I146" s="1"/>
      <c r="L146" s="1"/>
    </row>
    <row r="147" spans="2:43" x14ac:dyDescent="0.2">
      <c r="B147" s="21"/>
      <c r="C147" s="59"/>
      <c r="D147" s="29"/>
      <c r="E147" s="31"/>
      <c r="F147" s="58"/>
      <c r="G147" s="58"/>
      <c r="H147" s="58"/>
      <c r="L147" s="1"/>
    </row>
    <row r="148" spans="2:43" x14ac:dyDescent="0.2">
      <c r="B148" s="5" t="s">
        <v>158</v>
      </c>
      <c r="C148" s="7"/>
      <c r="D148" s="7"/>
      <c r="E148" s="7"/>
      <c r="F148" s="7"/>
      <c r="G148" s="6"/>
      <c r="H148" s="32"/>
    </row>
    <row r="149" spans="2:43" ht="12.75" customHeight="1" x14ac:dyDescent="0.2">
      <c r="B149" s="34" t="s">
        <v>157</v>
      </c>
      <c r="C149" s="63" t="s">
        <v>197</v>
      </c>
      <c r="D149" s="63" t="s">
        <v>224</v>
      </c>
      <c r="E149" s="63" t="s">
        <v>225</v>
      </c>
      <c r="F149" s="63" t="s">
        <v>222</v>
      </c>
      <c r="G149" s="63" t="s">
        <v>223</v>
      </c>
      <c r="H149" s="32"/>
      <c r="I149" s="68"/>
    </row>
    <row r="150" spans="2:43" x14ac:dyDescent="0.2">
      <c r="B150" s="45" t="s">
        <v>45</v>
      </c>
      <c r="C150" s="94">
        <v>0</v>
      </c>
      <c r="D150" s="62" t="s">
        <v>18</v>
      </c>
      <c r="E150" s="62" t="s">
        <v>18</v>
      </c>
      <c r="F150" s="62" t="s">
        <v>18</v>
      </c>
      <c r="G150" s="62" t="s">
        <v>18</v>
      </c>
      <c r="H150" s="1"/>
    </row>
    <row r="151" spans="2:43" ht="12.75" customHeight="1" x14ac:dyDescent="0.2">
      <c r="B151" s="45" t="s">
        <v>46</v>
      </c>
      <c r="C151" s="94">
        <v>0</v>
      </c>
      <c r="D151" s="62" t="s">
        <v>18</v>
      </c>
      <c r="E151" s="10" t="s">
        <v>18</v>
      </c>
      <c r="F151" s="10" t="s">
        <v>18</v>
      </c>
      <c r="G151" s="10" t="s">
        <v>18</v>
      </c>
      <c r="H151" s="1"/>
    </row>
    <row r="152" spans="2:43" x14ac:dyDescent="0.2">
      <c r="B152" s="45" t="s">
        <v>47</v>
      </c>
      <c r="C152" s="94">
        <v>0</v>
      </c>
      <c r="D152" s="62" t="s">
        <v>18</v>
      </c>
      <c r="E152" s="10" t="s">
        <v>18</v>
      </c>
      <c r="F152" s="10" t="s">
        <v>18</v>
      </c>
      <c r="G152" s="10" t="s">
        <v>18</v>
      </c>
      <c r="H152" s="1"/>
    </row>
    <row r="153" spans="2:43" x14ac:dyDescent="0.2">
      <c r="B153" s="45" t="s">
        <v>48</v>
      </c>
      <c r="C153" s="94">
        <v>0</v>
      </c>
      <c r="D153" s="10" t="s">
        <v>18</v>
      </c>
      <c r="E153" s="10" t="s">
        <v>18</v>
      </c>
      <c r="F153" s="10" t="s">
        <v>18</v>
      </c>
      <c r="G153" s="10" t="s">
        <v>18</v>
      </c>
      <c r="H153" s="1"/>
    </row>
    <row r="154" spans="2:43" x14ac:dyDescent="0.2">
      <c r="B154" s="45" t="s">
        <v>49</v>
      </c>
      <c r="C154" s="94">
        <v>0</v>
      </c>
      <c r="D154" s="10" t="s">
        <v>18</v>
      </c>
      <c r="E154" s="10" t="s">
        <v>18</v>
      </c>
      <c r="F154" s="10" t="s">
        <v>18</v>
      </c>
      <c r="G154" s="10" t="s">
        <v>18</v>
      </c>
      <c r="H154" s="1"/>
    </row>
    <row r="155" spans="2:43" x14ac:dyDescent="0.2">
      <c r="B155" s="45" t="s">
        <v>50</v>
      </c>
      <c r="C155" s="94">
        <v>0</v>
      </c>
      <c r="D155" s="52" t="s">
        <v>18</v>
      </c>
      <c r="E155" s="52" t="s">
        <v>18</v>
      </c>
      <c r="F155" s="52" t="s">
        <v>18</v>
      </c>
      <c r="G155" s="52" t="s">
        <v>18</v>
      </c>
      <c r="H155" s="1"/>
    </row>
    <row r="156" spans="2:43" x14ac:dyDescent="0.2">
      <c r="B156" s="45" t="s">
        <v>301</v>
      </c>
      <c r="C156" s="261">
        <v>0</v>
      </c>
      <c r="D156" s="52" t="s">
        <v>18</v>
      </c>
      <c r="E156" s="52" t="s">
        <v>18</v>
      </c>
      <c r="F156" s="10" t="s">
        <v>18</v>
      </c>
      <c r="G156" s="10" t="s">
        <v>18</v>
      </c>
      <c r="H156" s="1"/>
    </row>
    <row r="157" spans="2:43" ht="12" customHeight="1" x14ac:dyDescent="0.2">
      <c r="B157" s="45" t="s">
        <v>176</v>
      </c>
      <c r="C157" s="144">
        <f>100-C158</f>
        <v>100</v>
      </c>
      <c r="D157" s="191">
        <v>0</v>
      </c>
      <c r="E157" s="191">
        <v>0</v>
      </c>
      <c r="F157" s="190"/>
      <c r="G157" s="190"/>
      <c r="H157" s="1"/>
    </row>
    <row r="158" spans="2:43" x14ac:dyDescent="0.2">
      <c r="B158" s="45" t="s">
        <v>13</v>
      </c>
      <c r="C158" s="144">
        <f>SUM(C150:C156)</f>
        <v>0</v>
      </c>
      <c r="D158" s="151"/>
      <c r="G158" s="24"/>
      <c r="H158" s="1"/>
    </row>
    <row r="159" spans="2:43" x14ac:dyDescent="0.2">
      <c r="E159" s="69"/>
    </row>
    <row r="160" spans="2:43" x14ac:dyDescent="0.2">
      <c r="B160" s="214" t="s">
        <v>256</v>
      </c>
      <c r="C160" s="323">
        <v>0</v>
      </c>
      <c r="D160" s="323">
        <f>C160+1</f>
        <v>1</v>
      </c>
      <c r="E160" s="323">
        <f>D160+1</f>
        <v>2</v>
      </c>
      <c r="F160" s="323">
        <f t="shared" ref="F160:AQ160" si="2">E160+1</f>
        <v>3</v>
      </c>
      <c r="G160" s="323">
        <f>F160+1</f>
        <v>4</v>
      </c>
      <c r="H160" s="323">
        <f t="shared" si="2"/>
        <v>5</v>
      </c>
      <c r="I160" s="323">
        <f t="shared" si="2"/>
        <v>6</v>
      </c>
      <c r="J160" s="323">
        <f t="shared" si="2"/>
        <v>7</v>
      </c>
      <c r="K160" s="323">
        <f t="shared" si="2"/>
        <v>8</v>
      </c>
      <c r="L160" s="323">
        <f t="shared" si="2"/>
        <v>9</v>
      </c>
      <c r="M160" s="323">
        <f t="shared" si="2"/>
        <v>10</v>
      </c>
      <c r="N160" s="323">
        <f t="shared" si="2"/>
        <v>11</v>
      </c>
      <c r="O160" s="323">
        <f t="shared" si="2"/>
        <v>12</v>
      </c>
      <c r="P160" s="323">
        <f t="shared" si="2"/>
        <v>13</v>
      </c>
      <c r="Q160" s="323">
        <f t="shared" si="2"/>
        <v>14</v>
      </c>
      <c r="R160" s="323">
        <f t="shared" si="2"/>
        <v>15</v>
      </c>
      <c r="S160" s="323">
        <f t="shared" si="2"/>
        <v>16</v>
      </c>
      <c r="T160" s="323">
        <f t="shared" si="2"/>
        <v>17</v>
      </c>
      <c r="U160" s="323">
        <f t="shared" si="2"/>
        <v>18</v>
      </c>
      <c r="V160" s="323">
        <f t="shared" si="2"/>
        <v>19</v>
      </c>
      <c r="W160" s="323">
        <f t="shared" si="2"/>
        <v>20</v>
      </c>
      <c r="X160" s="323">
        <f t="shared" si="2"/>
        <v>21</v>
      </c>
      <c r="Y160" s="323">
        <f t="shared" si="2"/>
        <v>22</v>
      </c>
      <c r="Z160" s="323">
        <f t="shared" si="2"/>
        <v>23</v>
      </c>
      <c r="AA160" s="323">
        <f t="shared" si="2"/>
        <v>24</v>
      </c>
      <c r="AB160" s="323">
        <f t="shared" si="2"/>
        <v>25</v>
      </c>
      <c r="AC160" s="323">
        <f t="shared" si="2"/>
        <v>26</v>
      </c>
      <c r="AD160" s="323">
        <f t="shared" si="2"/>
        <v>27</v>
      </c>
      <c r="AE160" s="323">
        <f t="shared" si="2"/>
        <v>28</v>
      </c>
      <c r="AF160" s="323">
        <f t="shared" si="2"/>
        <v>29</v>
      </c>
      <c r="AG160" s="323">
        <f t="shared" si="2"/>
        <v>30</v>
      </c>
      <c r="AH160" s="323">
        <f t="shared" si="2"/>
        <v>31</v>
      </c>
      <c r="AI160" s="323">
        <f t="shared" si="2"/>
        <v>32</v>
      </c>
      <c r="AJ160" s="323">
        <f t="shared" si="2"/>
        <v>33</v>
      </c>
      <c r="AK160" s="323">
        <f t="shared" si="2"/>
        <v>34</v>
      </c>
      <c r="AL160" s="323">
        <f t="shared" si="2"/>
        <v>35</v>
      </c>
      <c r="AM160" s="323">
        <f t="shared" si="2"/>
        <v>36</v>
      </c>
      <c r="AN160" s="323">
        <f t="shared" si="2"/>
        <v>37</v>
      </c>
      <c r="AO160" s="323">
        <f t="shared" si="2"/>
        <v>38</v>
      </c>
      <c r="AP160" s="323">
        <f t="shared" si="2"/>
        <v>39</v>
      </c>
      <c r="AQ160" s="324">
        <f t="shared" si="2"/>
        <v>40</v>
      </c>
    </row>
    <row r="161" spans="1:43" x14ac:dyDescent="0.2">
      <c r="A161" s="4" t="s">
        <v>370</v>
      </c>
      <c r="B161" s="322" t="s">
        <v>371</v>
      </c>
      <c r="C161" s="303"/>
      <c r="D161" s="303"/>
      <c r="E161" s="303"/>
      <c r="F161" s="303"/>
      <c r="G161" s="303"/>
      <c r="H161" s="303"/>
      <c r="I161" s="303"/>
      <c r="J161" s="303"/>
      <c r="K161" s="303"/>
      <c r="L161" s="303"/>
      <c r="M161" s="303"/>
      <c r="N161" s="303"/>
      <c r="O161" s="303"/>
      <c r="P161" s="303"/>
      <c r="Q161" s="303"/>
      <c r="R161" s="303"/>
      <c r="S161" s="303"/>
      <c r="T161" s="303"/>
      <c r="U161" s="303"/>
      <c r="V161" s="303"/>
      <c r="W161" s="303"/>
      <c r="X161" s="303"/>
      <c r="Y161" s="303"/>
      <c r="Z161" s="303"/>
      <c r="AA161" s="303"/>
      <c r="AB161" s="303"/>
      <c r="AC161" s="303"/>
      <c r="AD161" s="303"/>
      <c r="AE161" s="303"/>
      <c r="AF161" s="303"/>
      <c r="AG161" s="303"/>
      <c r="AH161" s="303"/>
      <c r="AI161" s="303"/>
      <c r="AJ161" s="303"/>
      <c r="AK161" s="303"/>
      <c r="AL161" s="303"/>
      <c r="AM161" s="303"/>
      <c r="AN161" s="303"/>
      <c r="AO161" s="303"/>
      <c r="AP161" s="303"/>
      <c r="AQ161" s="304"/>
    </row>
    <row r="162" spans="1:43" x14ac:dyDescent="0.2">
      <c r="B162" s="320" t="s">
        <v>372</v>
      </c>
      <c r="C162" s="310"/>
      <c r="D162" s="310"/>
      <c r="E162" s="310"/>
      <c r="F162" s="310"/>
      <c r="G162" s="310"/>
      <c r="H162" s="310"/>
      <c r="I162" s="310"/>
      <c r="J162" s="310"/>
      <c r="K162" s="310"/>
      <c r="L162" s="310"/>
      <c r="M162" s="310"/>
      <c r="N162" s="310"/>
      <c r="O162" s="310"/>
      <c r="P162" s="310"/>
      <c r="Q162" s="310"/>
      <c r="R162" s="310"/>
      <c r="S162" s="310"/>
      <c r="T162" s="310"/>
      <c r="U162" s="310"/>
      <c r="V162" s="310"/>
      <c r="W162" s="310"/>
      <c r="X162" s="310"/>
      <c r="Y162" s="310"/>
      <c r="Z162" s="310"/>
      <c r="AA162" s="310"/>
      <c r="AB162" s="310"/>
      <c r="AC162" s="310"/>
      <c r="AD162" s="310"/>
      <c r="AE162" s="310"/>
      <c r="AF162" s="310"/>
      <c r="AG162" s="310"/>
      <c r="AH162" s="310"/>
      <c r="AI162" s="310"/>
      <c r="AJ162" s="310"/>
      <c r="AK162" s="310"/>
      <c r="AL162" s="310"/>
      <c r="AM162" s="310"/>
      <c r="AN162" s="310"/>
      <c r="AO162" s="310"/>
      <c r="AP162" s="310"/>
      <c r="AQ162" s="310"/>
    </row>
    <row r="163" spans="1:43" x14ac:dyDescent="0.2">
      <c r="B163" s="294" t="s">
        <v>373</v>
      </c>
      <c r="C163" s="198"/>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c r="AA163" s="198"/>
      <c r="AB163" s="198"/>
      <c r="AC163" s="198"/>
      <c r="AD163" s="198"/>
      <c r="AE163" s="198"/>
      <c r="AF163" s="198"/>
      <c r="AG163" s="198"/>
      <c r="AH163" s="198"/>
      <c r="AI163" s="198"/>
      <c r="AJ163" s="198"/>
      <c r="AK163" s="198"/>
      <c r="AL163" s="198"/>
      <c r="AM163" s="198"/>
      <c r="AN163" s="198"/>
      <c r="AO163" s="198"/>
      <c r="AP163" s="198"/>
      <c r="AQ163" s="198"/>
    </row>
    <row r="164" spans="1:43" x14ac:dyDescent="0.2">
      <c r="B164" s="294" t="s">
        <v>374</v>
      </c>
      <c r="C164" s="198"/>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c r="AA164" s="198"/>
      <c r="AB164" s="198"/>
      <c r="AC164" s="198"/>
      <c r="AD164" s="198"/>
      <c r="AE164" s="198"/>
      <c r="AF164" s="198"/>
      <c r="AG164" s="198"/>
      <c r="AH164" s="198"/>
      <c r="AI164" s="198"/>
      <c r="AJ164" s="198"/>
      <c r="AK164" s="198"/>
      <c r="AL164" s="198"/>
      <c r="AM164" s="198"/>
      <c r="AN164" s="198"/>
      <c r="AO164" s="198"/>
      <c r="AP164" s="198"/>
      <c r="AQ164" s="198"/>
    </row>
    <row r="165" spans="1:43" x14ac:dyDescent="0.2">
      <c r="B165" s="294" t="s">
        <v>375</v>
      </c>
      <c r="C165" s="198"/>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c r="AA165" s="198"/>
      <c r="AB165" s="198"/>
      <c r="AC165" s="198"/>
      <c r="AD165" s="198"/>
      <c r="AE165" s="198"/>
      <c r="AF165" s="198"/>
      <c r="AG165" s="198"/>
      <c r="AH165" s="198"/>
      <c r="AI165" s="198"/>
      <c r="AJ165" s="198"/>
      <c r="AK165" s="198"/>
      <c r="AL165" s="198"/>
      <c r="AM165" s="198"/>
      <c r="AN165" s="198"/>
      <c r="AO165" s="198"/>
      <c r="AP165" s="198"/>
      <c r="AQ165" s="198"/>
    </row>
    <row r="166" spans="1:43" x14ac:dyDescent="0.2">
      <c r="B166" s="294" t="s">
        <v>376</v>
      </c>
      <c r="C166" s="198"/>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c r="AA166" s="198"/>
      <c r="AB166" s="198"/>
      <c r="AC166" s="198"/>
      <c r="AD166" s="198"/>
      <c r="AE166" s="198"/>
      <c r="AF166" s="198"/>
      <c r="AG166" s="198"/>
      <c r="AH166" s="198"/>
      <c r="AI166" s="198"/>
      <c r="AJ166" s="198"/>
      <c r="AK166" s="198"/>
      <c r="AL166" s="198"/>
      <c r="AM166" s="198"/>
      <c r="AN166" s="198"/>
      <c r="AO166" s="198"/>
      <c r="AP166" s="198"/>
      <c r="AQ166" s="198"/>
    </row>
    <row r="167" spans="1:43" x14ac:dyDescent="0.2">
      <c r="B167" s="294" t="s">
        <v>377</v>
      </c>
      <c r="C167" s="253"/>
      <c r="D167" s="253"/>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c r="AA167" s="253"/>
      <c r="AB167" s="253"/>
      <c r="AC167" s="253"/>
      <c r="AD167" s="253"/>
      <c r="AE167" s="253"/>
      <c r="AF167" s="253"/>
      <c r="AG167" s="253"/>
      <c r="AH167" s="253"/>
      <c r="AI167" s="253"/>
      <c r="AJ167" s="253"/>
      <c r="AK167" s="253"/>
      <c r="AL167" s="253"/>
      <c r="AM167" s="253"/>
      <c r="AN167" s="253"/>
      <c r="AO167" s="253"/>
      <c r="AP167" s="253"/>
      <c r="AQ167" s="253"/>
    </row>
    <row r="168" spans="1:43" x14ac:dyDescent="0.2">
      <c r="B168" s="322" t="s">
        <v>378</v>
      </c>
      <c r="C168" s="303"/>
      <c r="D168" s="303"/>
      <c r="E168" s="303"/>
      <c r="F168" s="303"/>
      <c r="G168" s="303"/>
      <c r="H168" s="303"/>
      <c r="I168" s="303"/>
      <c r="J168" s="303"/>
      <c r="K168" s="303"/>
      <c r="L168" s="303"/>
      <c r="M168" s="303"/>
      <c r="N168" s="303"/>
      <c r="O168" s="303"/>
      <c r="P168" s="303"/>
      <c r="Q168" s="303"/>
      <c r="R168" s="303"/>
      <c r="S168" s="303"/>
      <c r="T168" s="303"/>
      <c r="U168" s="303"/>
      <c r="V168" s="303"/>
      <c r="W168" s="303"/>
      <c r="X168" s="303"/>
      <c r="Y168" s="303"/>
      <c r="Z168" s="303"/>
      <c r="AA168" s="303"/>
      <c r="AB168" s="303"/>
      <c r="AC168" s="303"/>
      <c r="AD168" s="303"/>
      <c r="AE168" s="303"/>
      <c r="AF168" s="303"/>
      <c r="AG168" s="303"/>
      <c r="AH168" s="303"/>
      <c r="AI168" s="303"/>
      <c r="AJ168" s="303"/>
      <c r="AK168" s="303"/>
      <c r="AL168" s="303"/>
      <c r="AM168" s="303"/>
      <c r="AN168" s="303"/>
      <c r="AO168" s="303"/>
      <c r="AP168" s="303"/>
      <c r="AQ168" s="304"/>
    </row>
    <row r="169" spans="1:43" x14ac:dyDescent="0.2">
      <c r="B169" s="320" t="s">
        <v>379</v>
      </c>
      <c r="C169" s="321"/>
      <c r="D169" s="321"/>
      <c r="E169" s="321"/>
      <c r="F169" s="321"/>
      <c r="G169" s="321"/>
      <c r="H169" s="321"/>
      <c r="I169" s="321"/>
      <c r="J169" s="321"/>
      <c r="K169" s="321"/>
      <c r="L169" s="321"/>
      <c r="M169" s="321"/>
      <c r="N169" s="321"/>
      <c r="O169" s="321"/>
      <c r="P169" s="321"/>
      <c r="Q169" s="321"/>
      <c r="R169" s="321"/>
      <c r="S169" s="321"/>
      <c r="T169" s="321"/>
      <c r="U169" s="321"/>
      <c r="V169" s="321"/>
      <c r="W169" s="321"/>
      <c r="X169" s="321"/>
      <c r="Y169" s="321"/>
      <c r="Z169" s="321"/>
      <c r="AA169" s="321"/>
      <c r="AB169" s="321"/>
      <c r="AC169" s="321"/>
      <c r="AD169" s="321"/>
      <c r="AE169" s="321"/>
      <c r="AF169" s="321"/>
      <c r="AG169" s="321"/>
      <c r="AH169" s="321"/>
      <c r="AI169" s="321"/>
      <c r="AJ169" s="321"/>
      <c r="AK169" s="321"/>
      <c r="AL169" s="321"/>
      <c r="AM169" s="321"/>
      <c r="AN169" s="321"/>
      <c r="AO169" s="321"/>
      <c r="AP169" s="321"/>
      <c r="AQ169" s="321"/>
    </row>
    <row r="170" spans="1:43" x14ac:dyDescent="0.2">
      <c r="B170" s="294" t="s">
        <v>380</v>
      </c>
      <c r="C170" s="198"/>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c r="AA170" s="198"/>
      <c r="AB170" s="198"/>
      <c r="AC170" s="198"/>
      <c r="AD170" s="198"/>
      <c r="AE170" s="198"/>
      <c r="AF170" s="198"/>
      <c r="AG170" s="198"/>
      <c r="AH170" s="198"/>
      <c r="AI170" s="198"/>
      <c r="AJ170" s="198"/>
      <c r="AK170" s="198"/>
      <c r="AL170" s="198"/>
      <c r="AM170" s="198"/>
      <c r="AN170" s="198"/>
      <c r="AO170" s="198"/>
      <c r="AP170" s="198"/>
      <c r="AQ170" s="198"/>
    </row>
    <row r="171" spans="1:43" x14ac:dyDescent="0.2">
      <c r="B171" s="295" t="s">
        <v>381</v>
      </c>
      <c r="C171" s="198"/>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c r="AA171" s="198"/>
      <c r="AB171" s="198"/>
      <c r="AC171" s="198"/>
      <c r="AD171" s="198"/>
      <c r="AE171" s="198"/>
      <c r="AF171" s="198"/>
      <c r="AG171" s="198"/>
      <c r="AH171" s="198"/>
      <c r="AI171" s="198"/>
      <c r="AJ171" s="198"/>
      <c r="AK171" s="198"/>
      <c r="AL171" s="198"/>
      <c r="AM171" s="198"/>
      <c r="AN171" s="198"/>
      <c r="AO171" s="198"/>
      <c r="AP171" s="198"/>
      <c r="AQ171" s="198"/>
    </row>
    <row r="172" spans="1:43" x14ac:dyDescent="0.2">
      <c r="B172" s="295" t="s">
        <v>382</v>
      </c>
      <c r="C172" s="198"/>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c r="AA172" s="198"/>
      <c r="AB172" s="198"/>
      <c r="AC172" s="198"/>
      <c r="AD172" s="198"/>
      <c r="AE172" s="198"/>
      <c r="AF172" s="198"/>
      <c r="AG172" s="198"/>
      <c r="AH172" s="198"/>
      <c r="AI172" s="198"/>
      <c r="AJ172" s="198"/>
      <c r="AK172" s="198"/>
      <c r="AL172" s="198"/>
      <c r="AM172" s="198"/>
      <c r="AN172" s="198"/>
      <c r="AO172" s="198"/>
      <c r="AP172" s="198"/>
      <c r="AQ172" s="198"/>
    </row>
    <row r="173" spans="1:43" x14ac:dyDescent="0.2">
      <c r="B173" s="295" t="s">
        <v>431</v>
      </c>
      <c r="C173" s="198"/>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c r="AA173" s="198"/>
      <c r="AB173" s="198"/>
      <c r="AC173" s="198"/>
      <c r="AD173" s="198"/>
      <c r="AE173" s="198"/>
      <c r="AF173" s="198"/>
      <c r="AG173" s="198"/>
      <c r="AH173" s="198"/>
      <c r="AI173" s="198"/>
      <c r="AJ173" s="198"/>
      <c r="AK173" s="198"/>
      <c r="AL173" s="198"/>
      <c r="AM173" s="198"/>
      <c r="AN173" s="198"/>
      <c r="AO173" s="198"/>
      <c r="AP173" s="198"/>
      <c r="AQ173" s="198"/>
    </row>
    <row r="174" spans="1:43" ht="13.5" customHeight="1" x14ac:dyDescent="0.2">
      <c r="B174" s="252" t="s">
        <v>257</v>
      </c>
      <c r="C174" s="256"/>
      <c r="D174" s="256"/>
      <c r="E174" s="256"/>
      <c r="F174" s="256"/>
      <c r="G174" s="256"/>
      <c r="H174" s="256"/>
      <c r="I174" s="256"/>
      <c r="J174" s="256"/>
      <c r="K174" s="256"/>
      <c r="L174" s="256"/>
      <c r="M174" s="256"/>
      <c r="N174" s="256"/>
      <c r="O174" s="256"/>
      <c r="P174" s="256"/>
      <c r="Q174" s="256"/>
      <c r="R174" s="256"/>
      <c r="S174" s="256"/>
      <c r="T174" s="256"/>
      <c r="U174" s="256"/>
      <c r="V174" s="256"/>
      <c r="W174" s="256"/>
      <c r="X174" s="256"/>
      <c r="Y174" s="256"/>
      <c r="Z174" s="256"/>
      <c r="AA174" s="256"/>
      <c r="AB174" s="256"/>
      <c r="AC174" s="256"/>
      <c r="AD174" s="256"/>
      <c r="AE174" s="256"/>
      <c r="AF174" s="256"/>
      <c r="AG174" s="256"/>
      <c r="AH174" s="256"/>
      <c r="AI174" s="256"/>
      <c r="AJ174" s="256"/>
      <c r="AK174" s="256"/>
      <c r="AL174" s="256"/>
      <c r="AM174" s="256"/>
      <c r="AN174" s="256"/>
      <c r="AO174" s="256"/>
      <c r="AP174" s="256"/>
      <c r="AQ174" s="257"/>
    </row>
    <row r="175" spans="1:43" ht="13.5" customHeight="1" x14ac:dyDescent="0.2">
      <c r="B175" s="71" t="s">
        <v>210</v>
      </c>
      <c r="C175" s="254"/>
      <c r="D175" s="255"/>
      <c r="E175" s="255"/>
      <c r="F175" s="255"/>
      <c r="G175" s="255"/>
      <c r="H175" s="255"/>
      <c r="I175" s="255"/>
      <c r="J175" s="255"/>
      <c r="K175" s="255"/>
      <c r="L175" s="255"/>
      <c r="M175" s="255"/>
      <c r="N175" s="255"/>
      <c r="O175" s="255"/>
      <c r="P175" s="255"/>
      <c r="Q175" s="255"/>
      <c r="R175" s="255"/>
      <c r="S175" s="255"/>
      <c r="T175" s="255"/>
      <c r="U175" s="255"/>
      <c r="V175" s="255"/>
      <c r="W175" s="255"/>
      <c r="X175" s="255"/>
      <c r="Y175" s="255"/>
      <c r="Z175" s="255"/>
      <c r="AA175" s="255"/>
      <c r="AB175" s="255"/>
      <c r="AC175" s="255"/>
      <c r="AD175" s="255"/>
      <c r="AE175" s="255"/>
      <c r="AF175" s="255"/>
      <c r="AG175" s="255"/>
      <c r="AH175" s="255"/>
      <c r="AI175" s="255"/>
      <c r="AJ175" s="255"/>
      <c r="AK175" s="255"/>
      <c r="AL175" s="255"/>
      <c r="AM175" s="255"/>
      <c r="AN175" s="255"/>
      <c r="AO175" s="255"/>
      <c r="AP175" s="255"/>
      <c r="AQ175" s="255"/>
    </row>
    <row r="176" spans="1:43" x14ac:dyDescent="0.2">
      <c r="B176" s="45" t="s">
        <v>12</v>
      </c>
      <c r="C176" s="250"/>
      <c r="D176" s="251"/>
      <c r="E176" s="251"/>
      <c r="F176" s="251"/>
      <c r="G176" s="251"/>
      <c r="H176" s="251"/>
      <c r="I176" s="251"/>
      <c r="J176" s="251"/>
      <c r="K176" s="251"/>
      <c r="L176" s="251"/>
      <c r="M176" s="251"/>
      <c r="N176" s="251"/>
      <c r="O176" s="251"/>
      <c r="P176" s="251"/>
      <c r="Q176" s="251"/>
      <c r="R176" s="251"/>
      <c r="S176" s="251"/>
      <c r="T176" s="251"/>
      <c r="U176" s="251"/>
      <c r="V176" s="251"/>
      <c r="W176" s="251"/>
      <c r="X176" s="251"/>
      <c r="Y176" s="251"/>
      <c r="Z176" s="251"/>
      <c r="AA176" s="251"/>
      <c r="AB176" s="251"/>
      <c r="AC176" s="251"/>
      <c r="AD176" s="251"/>
      <c r="AE176" s="251"/>
      <c r="AF176" s="251"/>
      <c r="AG176" s="251"/>
      <c r="AH176" s="251"/>
      <c r="AI176" s="251"/>
      <c r="AJ176" s="251"/>
      <c r="AK176" s="251"/>
      <c r="AL176" s="251"/>
      <c r="AM176" s="251"/>
      <c r="AN176" s="251"/>
      <c r="AO176" s="251"/>
      <c r="AP176" s="251"/>
      <c r="AQ176" s="251"/>
    </row>
    <row r="177" spans="2:43" ht="12" customHeight="1" x14ac:dyDescent="0.2">
      <c r="B177" s="258" t="s">
        <v>15</v>
      </c>
      <c r="C177" s="259"/>
      <c r="D177" s="260"/>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c r="AA177" s="260"/>
      <c r="AB177" s="260"/>
      <c r="AC177" s="260"/>
      <c r="AD177" s="260"/>
      <c r="AE177" s="260"/>
      <c r="AF177" s="260"/>
      <c r="AG177" s="260"/>
      <c r="AH177" s="260"/>
      <c r="AI177" s="260"/>
      <c r="AJ177" s="260"/>
      <c r="AK177" s="260"/>
      <c r="AL177" s="260"/>
      <c r="AM177" s="260"/>
      <c r="AN177" s="260"/>
      <c r="AO177" s="260"/>
      <c r="AP177" s="260"/>
      <c r="AQ177" s="260"/>
    </row>
    <row r="178" spans="2:43" ht="12" customHeight="1" x14ac:dyDescent="0.2">
      <c r="B178" s="252" t="s">
        <v>263</v>
      </c>
      <c r="C178" s="256"/>
      <c r="D178" s="256"/>
      <c r="E178" s="256"/>
      <c r="F178" s="256"/>
      <c r="G178" s="256"/>
      <c r="H178" s="256"/>
      <c r="I178" s="256"/>
      <c r="J178" s="256"/>
      <c r="K178" s="256"/>
      <c r="L178" s="256"/>
      <c r="M178" s="256"/>
      <c r="N178" s="256"/>
      <c r="O178" s="256"/>
      <c r="P178" s="256"/>
      <c r="Q178" s="256"/>
      <c r="R178" s="256"/>
      <c r="S178" s="256"/>
      <c r="T178" s="256"/>
      <c r="U178" s="256"/>
      <c r="V178" s="256"/>
      <c r="W178" s="256"/>
      <c r="X178" s="256"/>
      <c r="Y178" s="256"/>
      <c r="Z178" s="256"/>
      <c r="AA178" s="256"/>
      <c r="AB178" s="256"/>
      <c r="AC178" s="256"/>
      <c r="AD178" s="256"/>
      <c r="AE178" s="256"/>
      <c r="AF178" s="256"/>
      <c r="AG178" s="256"/>
      <c r="AH178" s="256"/>
      <c r="AI178" s="256"/>
      <c r="AJ178" s="256"/>
      <c r="AK178" s="256"/>
      <c r="AL178" s="256"/>
      <c r="AM178" s="256"/>
      <c r="AN178" s="256"/>
      <c r="AO178" s="256"/>
      <c r="AP178" s="256"/>
      <c r="AQ178" s="257"/>
    </row>
    <row r="179" spans="2:43" ht="12" customHeight="1" x14ac:dyDescent="0.2">
      <c r="B179" s="71" t="s">
        <v>88</v>
      </c>
      <c r="C179" s="260"/>
      <c r="D179" s="260"/>
      <c r="E179" s="255"/>
      <c r="F179" s="255"/>
      <c r="G179" s="255"/>
      <c r="H179" s="255"/>
      <c r="I179" s="255"/>
      <c r="J179" s="255"/>
      <c r="K179" s="255"/>
      <c r="L179" s="255"/>
      <c r="M179" s="255"/>
      <c r="N179" s="255"/>
      <c r="O179" s="255"/>
      <c r="P179" s="255"/>
      <c r="Q179" s="255"/>
      <c r="R179" s="255"/>
      <c r="S179" s="255"/>
      <c r="T179" s="255"/>
      <c r="U179" s="255"/>
      <c r="V179" s="255"/>
      <c r="W179" s="255"/>
      <c r="X179" s="255"/>
      <c r="Y179" s="255"/>
      <c r="Z179" s="255"/>
      <c r="AA179" s="255"/>
      <c r="AB179" s="255"/>
      <c r="AC179" s="255"/>
      <c r="AD179" s="255"/>
      <c r="AE179" s="255"/>
      <c r="AF179" s="255"/>
      <c r="AG179" s="255"/>
      <c r="AH179" s="255"/>
      <c r="AI179" s="255"/>
      <c r="AJ179" s="255"/>
      <c r="AK179" s="255"/>
      <c r="AL179" s="255"/>
      <c r="AM179" s="255"/>
      <c r="AN179" s="255"/>
      <c r="AO179" s="255"/>
      <c r="AP179" s="255"/>
      <c r="AQ179" s="255"/>
    </row>
    <row r="180" spans="2:43" ht="12" customHeight="1" x14ac:dyDescent="0.2">
      <c r="B180" s="258" t="s">
        <v>87</v>
      </c>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c r="AA180" s="260"/>
      <c r="AB180" s="260"/>
      <c r="AC180" s="260"/>
      <c r="AD180" s="260"/>
      <c r="AE180" s="260"/>
      <c r="AF180" s="260"/>
      <c r="AG180" s="260"/>
      <c r="AH180" s="260"/>
      <c r="AI180" s="260"/>
      <c r="AJ180" s="260"/>
      <c r="AK180" s="260"/>
      <c r="AL180" s="260"/>
      <c r="AM180" s="260"/>
      <c r="AN180" s="260"/>
      <c r="AO180" s="260"/>
      <c r="AP180" s="260"/>
      <c r="AQ180" s="260"/>
    </row>
    <row r="181" spans="2:43" ht="12" customHeight="1" x14ac:dyDescent="0.2">
      <c r="B181" s="252" t="s">
        <v>435</v>
      </c>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8"/>
    </row>
    <row r="182" spans="2:43" ht="12" customHeight="1" x14ac:dyDescent="0.2">
      <c r="B182" s="305" t="s">
        <v>436</v>
      </c>
      <c r="C182" s="254"/>
      <c r="D182" s="255"/>
      <c r="E182" s="255"/>
      <c r="F182" s="255"/>
      <c r="G182" s="255"/>
      <c r="H182" s="255"/>
      <c r="I182" s="255"/>
      <c r="J182" s="255"/>
      <c r="K182" s="255"/>
      <c r="L182" s="255"/>
      <c r="M182" s="255"/>
      <c r="N182" s="255"/>
      <c r="O182" s="255"/>
      <c r="P182" s="255"/>
      <c r="Q182" s="255"/>
      <c r="R182" s="255"/>
      <c r="S182" s="255"/>
      <c r="T182" s="255"/>
      <c r="U182" s="255"/>
      <c r="V182" s="255"/>
      <c r="W182" s="255"/>
      <c r="X182" s="255"/>
      <c r="Y182" s="255"/>
      <c r="Z182" s="255"/>
      <c r="AA182" s="255"/>
      <c r="AB182" s="255"/>
      <c r="AC182" s="255"/>
      <c r="AD182" s="255"/>
      <c r="AE182" s="255"/>
      <c r="AF182" s="255"/>
      <c r="AG182" s="255"/>
      <c r="AH182" s="255"/>
      <c r="AI182" s="255"/>
      <c r="AJ182" s="255"/>
      <c r="AK182" s="255"/>
      <c r="AL182" s="255"/>
      <c r="AM182" s="255"/>
      <c r="AN182" s="255"/>
      <c r="AO182" s="255"/>
      <c r="AP182" s="255"/>
      <c r="AQ182" s="255"/>
    </row>
    <row r="183" spans="2:43" ht="12" customHeight="1" x14ac:dyDescent="0.2">
      <c r="B183" s="305" t="s">
        <v>437</v>
      </c>
      <c r="C183" s="254"/>
      <c r="D183" s="255"/>
      <c r="E183" s="255"/>
      <c r="F183" s="255"/>
      <c r="G183" s="255"/>
      <c r="H183" s="255"/>
      <c r="I183" s="255"/>
      <c r="J183" s="255"/>
      <c r="K183" s="255"/>
      <c r="L183" s="255"/>
      <c r="M183" s="255"/>
      <c r="N183" s="255"/>
      <c r="O183" s="255"/>
      <c r="P183" s="255"/>
      <c r="Q183" s="255"/>
      <c r="R183" s="255"/>
      <c r="S183" s="255"/>
      <c r="T183" s="255"/>
      <c r="U183" s="255"/>
      <c r="V183" s="255"/>
      <c r="W183" s="255"/>
      <c r="X183" s="255"/>
      <c r="Y183" s="255"/>
      <c r="Z183" s="255"/>
      <c r="AA183" s="255"/>
      <c r="AB183" s="255"/>
      <c r="AC183" s="255"/>
      <c r="AD183" s="255"/>
      <c r="AE183" s="255"/>
      <c r="AF183" s="255"/>
      <c r="AG183" s="255"/>
      <c r="AH183" s="255"/>
      <c r="AI183" s="255"/>
      <c r="AJ183" s="255"/>
      <c r="AK183" s="255"/>
      <c r="AL183" s="255"/>
      <c r="AM183" s="255"/>
      <c r="AN183" s="255"/>
      <c r="AO183" s="255"/>
      <c r="AP183" s="255"/>
      <c r="AQ183" s="255"/>
    </row>
    <row r="184" spans="2:43" ht="12" customHeight="1" x14ac:dyDescent="0.2">
      <c r="B184" s="305" t="s">
        <v>438</v>
      </c>
      <c r="C184" s="254"/>
      <c r="D184" s="255"/>
      <c r="E184" s="255"/>
      <c r="F184" s="255"/>
      <c r="G184" s="255"/>
      <c r="H184" s="255"/>
      <c r="I184" s="255"/>
      <c r="J184" s="255"/>
      <c r="K184" s="255"/>
      <c r="L184" s="255"/>
      <c r="M184" s="255"/>
      <c r="N184" s="255"/>
      <c r="O184" s="255"/>
      <c r="P184" s="255"/>
      <c r="Q184" s="255"/>
      <c r="R184" s="255"/>
      <c r="S184" s="255"/>
      <c r="T184" s="255"/>
      <c r="U184" s="255"/>
      <c r="V184" s="255"/>
      <c r="W184" s="255"/>
      <c r="X184" s="255"/>
      <c r="Y184" s="255"/>
      <c r="Z184" s="255"/>
      <c r="AA184" s="255"/>
      <c r="AB184" s="255"/>
      <c r="AC184" s="255"/>
      <c r="AD184" s="255"/>
      <c r="AE184" s="255"/>
      <c r="AF184" s="255"/>
      <c r="AG184" s="255"/>
      <c r="AH184" s="255"/>
      <c r="AI184" s="255"/>
      <c r="AJ184" s="255"/>
      <c r="AK184" s="255"/>
      <c r="AL184" s="255"/>
      <c r="AM184" s="255"/>
      <c r="AN184" s="255"/>
      <c r="AO184" s="255"/>
      <c r="AP184" s="255"/>
      <c r="AQ184" s="255"/>
    </row>
    <row r="185" spans="2:43" ht="12" customHeight="1" x14ac:dyDescent="0.2">
      <c r="B185" s="305" t="s">
        <v>439</v>
      </c>
      <c r="C185" s="254"/>
      <c r="D185" s="326"/>
      <c r="E185" s="326"/>
      <c r="F185" s="326"/>
      <c r="G185" s="326"/>
      <c r="H185" s="326"/>
      <c r="I185" s="326"/>
      <c r="J185" s="326"/>
      <c r="K185" s="326"/>
      <c r="L185" s="326"/>
      <c r="M185" s="326"/>
      <c r="N185" s="326"/>
      <c r="O185" s="326"/>
      <c r="P185" s="326"/>
      <c r="Q185" s="326"/>
      <c r="R185" s="326"/>
      <c r="S185" s="326"/>
      <c r="T185" s="326"/>
      <c r="U185" s="326"/>
      <c r="V185" s="326"/>
      <c r="W185" s="326"/>
      <c r="X185" s="326"/>
      <c r="Y185" s="326"/>
      <c r="Z185" s="326"/>
      <c r="AA185" s="326"/>
      <c r="AB185" s="326"/>
      <c r="AC185" s="326"/>
      <c r="AD185" s="326"/>
      <c r="AE185" s="326"/>
      <c r="AF185" s="326"/>
      <c r="AG185" s="326"/>
      <c r="AH185" s="326"/>
      <c r="AI185" s="326"/>
      <c r="AJ185" s="326"/>
      <c r="AK185" s="326"/>
      <c r="AL185" s="326"/>
      <c r="AM185" s="326"/>
      <c r="AN185" s="326"/>
      <c r="AO185" s="326"/>
      <c r="AP185" s="326"/>
      <c r="AQ185" s="326"/>
    </row>
    <row r="186" spans="2:43" ht="12" customHeight="1" x14ac:dyDescent="0.2">
      <c r="B186" s="305" t="s">
        <v>440</v>
      </c>
      <c r="C186" s="254"/>
      <c r="D186" s="255"/>
      <c r="E186" s="255"/>
      <c r="F186" s="255"/>
      <c r="G186" s="255"/>
      <c r="H186" s="255"/>
      <c r="I186" s="255"/>
      <c r="J186" s="255"/>
      <c r="K186" s="255"/>
      <c r="L186" s="255"/>
      <c r="M186" s="255"/>
      <c r="N186" s="255"/>
      <c r="O186" s="255"/>
      <c r="P186" s="255"/>
      <c r="Q186" s="255"/>
      <c r="R186" s="255"/>
      <c r="S186" s="255"/>
      <c r="T186" s="255"/>
      <c r="U186" s="255"/>
      <c r="V186" s="255"/>
      <c r="W186" s="255"/>
      <c r="X186" s="255"/>
      <c r="Y186" s="255"/>
      <c r="Z186" s="255"/>
      <c r="AA186" s="255"/>
      <c r="AB186" s="255"/>
      <c r="AC186" s="255"/>
      <c r="AD186" s="255"/>
      <c r="AE186" s="255"/>
      <c r="AF186" s="255"/>
      <c r="AG186" s="255"/>
      <c r="AH186" s="255"/>
      <c r="AI186" s="255"/>
      <c r="AJ186" s="255"/>
      <c r="AK186" s="255"/>
      <c r="AL186" s="255"/>
      <c r="AM186" s="255"/>
      <c r="AN186" s="255"/>
      <c r="AO186" s="255"/>
      <c r="AP186" s="255"/>
      <c r="AQ186" s="255"/>
    </row>
    <row r="187" spans="2:43" ht="12" customHeight="1" x14ac:dyDescent="0.2">
      <c r="B187" s="305" t="s">
        <v>441</v>
      </c>
      <c r="C187" s="254"/>
      <c r="D187" s="326"/>
      <c r="E187" s="326"/>
      <c r="F187" s="326"/>
      <c r="G187" s="326"/>
      <c r="H187" s="326"/>
      <c r="I187" s="326"/>
      <c r="J187" s="326"/>
      <c r="K187" s="326"/>
      <c r="L187" s="326"/>
      <c r="M187" s="326"/>
      <c r="N187" s="326"/>
      <c r="O187" s="326"/>
      <c r="P187" s="326"/>
      <c r="Q187" s="326"/>
      <c r="R187" s="326"/>
      <c r="S187" s="326"/>
      <c r="T187" s="326"/>
      <c r="U187" s="326"/>
      <c r="V187" s="326"/>
      <c r="W187" s="326"/>
      <c r="X187" s="326"/>
      <c r="Y187" s="326"/>
      <c r="Z187" s="326"/>
      <c r="AA187" s="326"/>
      <c r="AB187" s="326"/>
      <c r="AC187" s="326"/>
      <c r="AD187" s="326"/>
      <c r="AE187" s="326"/>
      <c r="AF187" s="326"/>
      <c r="AG187" s="326"/>
      <c r="AH187" s="326"/>
      <c r="AI187" s="326"/>
      <c r="AJ187" s="326"/>
      <c r="AK187" s="326"/>
      <c r="AL187" s="326"/>
      <c r="AM187" s="326"/>
      <c r="AN187" s="326"/>
      <c r="AO187" s="326"/>
      <c r="AP187" s="326"/>
      <c r="AQ187" s="326"/>
    </row>
    <row r="188" spans="2:43" x14ac:dyDescent="0.2">
      <c r="B188" s="252" t="s">
        <v>259</v>
      </c>
      <c r="C188" s="256"/>
      <c r="D188" s="256"/>
      <c r="E188" s="256"/>
      <c r="F188" s="256"/>
      <c r="G188" s="256"/>
      <c r="H188" s="256"/>
      <c r="I188" s="256"/>
      <c r="J188" s="256"/>
      <c r="K188" s="256"/>
      <c r="L188" s="256"/>
      <c r="M188" s="256"/>
      <c r="N188" s="256"/>
      <c r="O188" s="256"/>
      <c r="P188" s="256"/>
      <c r="Q188" s="256"/>
      <c r="R188" s="256"/>
      <c r="S188" s="256"/>
      <c r="T188" s="256"/>
      <c r="U188" s="256"/>
      <c r="V188" s="256"/>
      <c r="W188" s="256"/>
      <c r="X188" s="256"/>
      <c r="Y188" s="256"/>
      <c r="Z188" s="256"/>
      <c r="AA188" s="256"/>
      <c r="AB188" s="256"/>
      <c r="AC188" s="256"/>
      <c r="AD188" s="256"/>
      <c r="AE188" s="256"/>
      <c r="AF188" s="256"/>
      <c r="AG188" s="256"/>
      <c r="AH188" s="256"/>
      <c r="AI188" s="256"/>
      <c r="AJ188" s="256"/>
      <c r="AK188" s="256"/>
      <c r="AL188" s="256"/>
      <c r="AM188" s="256"/>
      <c r="AN188" s="256"/>
      <c r="AO188" s="256"/>
      <c r="AP188" s="256"/>
      <c r="AQ188" s="257"/>
    </row>
    <row r="189" spans="2:43" x14ac:dyDescent="0.2">
      <c r="B189" s="71" t="s">
        <v>4</v>
      </c>
      <c r="C189" s="254"/>
      <c r="D189" s="255"/>
      <c r="E189" s="255"/>
      <c r="F189" s="255"/>
      <c r="G189" s="255"/>
      <c r="H189" s="255"/>
      <c r="I189" s="255"/>
      <c r="J189" s="255"/>
      <c r="K189" s="255"/>
      <c r="L189" s="255"/>
      <c r="M189" s="255"/>
      <c r="N189" s="255"/>
      <c r="O189" s="255"/>
      <c r="P189" s="255"/>
      <c r="Q189" s="255"/>
      <c r="R189" s="255"/>
      <c r="S189" s="255"/>
      <c r="T189" s="255"/>
      <c r="U189" s="255"/>
      <c r="V189" s="255"/>
      <c r="W189" s="255"/>
      <c r="X189" s="255"/>
      <c r="Y189" s="255"/>
      <c r="Z189" s="255"/>
      <c r="AA189" s="255"/>
      <c r="AB189" s="255"/>
      <c r="AC189" s="255"/>
      <c r="AD189" s="255"/>
      <c r="AE189" s="255"/>
      <c r="AF189" s="255"/>
      <c r="AG189" s="255"/>
      <c r="AH189" s="255"/>
      <c r="AI189" s="255"/>
      <c r="AJ189" s="255"/>
      <c r="AK189" s="255"/>
      <c r="AL189" s="255"/>
      <c r="AM189" s="255"/>
      <c r="AN189" s="255"/>
      <c r="AO189" s="255"/>
      <c r="AP189" s="255"/>
      <c r="AQ189" s="255"/>
    </row>
    <row r="190" spans="2:43" x14ac:dyDescent="0.2">
      <c r="B190" s="45" t="s">
        <v>5</v>
      </c>
      <c r="C190" s="250"/>
      <c r="D190" s="251"/>
      <c r="E190" s="251"/>
      <c r="F190" s="251"/>
      <c r="G190" s="251"/>
      <c r="H190" s="251"/>
      <c r="I190" s="251"/>
      <c r="J190" s="251"/>
      <c r="K190" s="251"/>
      <c r="L190" s="251"/>
      <c r="M190" s="251"/>
      <c r="N190" s="251"/>
      <c r="O190" s="251"/>
      <c r="P190" s="251"/>
      <c r="Q190" s="251"/>
      <c r="R190" s="251"/>
      <c r="S190" s="251"/>
      <c r="T190" s="251"/>
      <c r="U190" s="251"/>
      <c r="V190" s="251"/>
      <c r="W190" s="251"/>
      <c r="X190" s="251"/>
      <c r="Y190" s="251"/>
      <c r="Z190" s="251"/>
      <c r="AA190" s="251"/>
      <c r="AB190" s="251"/>
      <c r="AC190" s="251"/>
      <c r="AD190" s="251"/>
      <c r="AE190" s="251"/>
      <c r="AF190" s="251"/>
      <c r="AG190" s="251"/>
      <c r="AH190" s="251"/>
      <c r="AI190" s="251"/>
      <c r="AJ190" s="251"/>
      <c r="AK190" s="251"/>
      <c r="AL190" s="251"/>
      <c r="AM190" s="251"/>
      <c r="AN190" s="251"/>
      <c r="AO190" s="251"/>
      <c r="AP190" s="251"/>
      <c r="AQ190" s="251"/>
    </row>
    <row r="191" spans="2:43" x14ac:dyDescent="0.2">
      <c r="B191" s="45" t="s">
        <v>165</v>
      </c>
      <c r="C191" s="250"/>
      <c r="D191" s="251"/>
      <c r="E191" s="251"/>
      <c r="F191" s="251"/>
      <c r="G191" s="251"/>
      <c r="H191" s="251"/>
      <c r="I191" s="251"/>
      <c r="J191" s="251"/>
      <c r="K191" s="251"/>
      <c r="L191" s="251"/>
      <c r="M191" s="251"/>
      <c r="N191" s="251"/>
      <c r="O191" s="251"/>
      <c r="P191" s="251"/>
      <c r="Q191" s="251"/>
      <c r="R191" s="251"/>
      <c r="S191" s="251"/>
      <c r="T191" s="251"/>
      <c r="U191" s="251"/>
      <c r="V191" s="251"/>
      <c r="W191" s="251"/>
      <c r="X191" s="251"/>
      <c r="Y191" s="251"/>
      <c r="Z191" s="251"/>
      <c r="AA191" s="251"/>
      <c r="AB191" s="251"/>
      <c r="AC191" s="251"/>
      <c r="AD191" s="251"/>
      <c r="AE191" s="251"/>
      <c r="AF191" s="251"/>
      <c r="AG191" s="251"/>
      <c r="AH191" s="251"/>
      <c r="AI191" s="251"/>
      <c r="AJ191" s="251"/>
      <c r="AK191" s="251"/>
      <c r="AL191" s="251"/>
      <c r="AM191" s="251"/>
      <c r="AN191" s="251"/>
      <c r="AO191" s="251"/>
      <c r="AP191" s="251"/>
      <c r="AQ191" s="251"/>
    </row>
    <row r="192" spans="2:43" x14ac:dyDescent="0.2">
      <c r="B192" s="258" t="s">
        <v>166</v>
      </c>
      <c r="C192" s="259"/>
      <c r="D192" s="260"/>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c r="AA192" s="260"/>
      <c r="AB192" s="260"/>
      <c r="AC192" s="260"/>
      <c r="AD192" s="260"/>
      <c r="AE192" s="260"/>
      <c r="AF192" s="260"/>
      <c r="AG192" s="260"/>
      <c r="AH192" s="260"/>
      <c r="AI192" s="260"/>
      <c r="AJ192" s="260"/>
      <c r="AK192" s="260"/>
      <c r="AL192" s="260"/>
      <c r="AM192" s="260"/>
      <c r="AN192" s="260"/>
      <c r="AO192" s="260"/>
      <c r="AP192" s="260"/>
      <c r="AQ192" s="260"/>
    </row>
    <row r="193" spans="2:103" x14ac:dyDescent="0.2">
      <c r="B193" s="252" t="s">
        <v>260</v>
      </c>
      <c r="C193" s="256"/>
      <c r="D193" s="256"/>
      <c r="E193" s="256"/>
      <c r="F193" s="256"/>
      <c r="G193" s="256"/>
      <c r="H193" s="256"/>
      <c r="I193" s="256"/>
      <c r="J193" s="256"/>
      <c r="K193" s="256"/>
      <c r="L193" s="256"/>
      <c r="M193" s="256"/>
      <c r="N193" s="256"/>
      <c r="O193" s="256"/>
      <c r="P193" s="256"/>
      <c r="Q193" s="256"/>
      <c r="R193" s="256"/>
      <c r="S193" s="256"/>
      <c r="T193" s="256"/>
      <c r="U193" s="256"/>
      <c r="V193" s="256"/>
      <c r="W193" s="256"/>
      <c r="X193" s="256"/>
      <c r="Y193" s="256"/>
      <c r="Z193" s="256"/>
      <c r="AA193" s="256"/>
      <c r="AB193" s="256"/>
      <c r="AC193" s="256"/>
      <c r="AD193" s="256"/>
      <c r="AE193" s="256"/>
      <c r="AF193" s="256"/>
      <c r="AG193" s="256"/>
      <c r="AH193" s="256"/>
      <c r="AI193" s="256"/>
      <c r="AJ193" s="256"/>
      <c r="AK193" s="256"/>
      <c r="AL193" s="256"/>
      <c r="AM193" s="256"/>
      <c r="AN193" s="256"/>
      <c r="AO193" s="256"/>
      <c r="AP193" s="256"/>
      <c r="AQ193" s="257"/>
    </row>
    <row r="194" spans="2:103" x14ac:dyDescent="0.2">
      <c r="B194" s="71" t="s">
        <v>4</v>
      </c>
      <c r="C194" s="254"/>
      <c r="D194" s="255"/>
      <c r="E194" s="255"/>
      <c r="F194" s="255"/>
      <c r="G194" s="255"/>
      <c r="H194" s="255"/>
      <c r="I194" s="255"/>
      <c r="J194" s="255"/>
      <c r="K194" s="255"/>
      <c r="L194" s="255"/>
      <c r="M194" s="255"/>
      <c r="N194" s="255"/>
      <c r="O194" s="255"/>
      <c r="P194" s="255"/>
      <c r="Q194" s="255"/>
      <c r="R194" s="255"/>
      <c r="S194" s="255"/>
      <c r="T194" s="255"/>
      <c r="U194" s="255"/>
      <c r="V194" s="255"/>
      <c r="W194" s="255"/>
      <c r="X194" s="255"/>
      <c r="Y194" s="255"/>
      <c r="Z194" s="255"/>
      <c r="AA194" s="255"/>
      <c r="AB194" s="255"/>
      <c r="AC194" s="255"/>
      <c r="AD194" s="255"/>
      <c r="AE194" s="255"/>
      <c r="AF194" s="255"/>
      <c r="AG194" s="255"/>
      <c r="AH194" s="255"/>
      <c r="AI194" s="255"/>
      <c r="AJ194" s="255"/>
      <c r="AK194" s="255"/>
      <c r="AL194" s="255"/>
      <c r="AM194" s="255"/>
      <c r="AN194" s="255"/>
      <c r="AO194" s="255"/>
      <c r="AP194" s="255"/>
      <c r="AQ194" s="255"/>
    </row>
    <row r="195" spans="2:103" x14ac:dyDescent="0.2">
      <c r="B195" s="45" t="s">
        <v>5</v>
      </c>
      <c r="C195" s="250"/>
      <c r="D195" s="251"/>
      <c r="E195" s="251"/>
      <c r="F195" s="251"/>
      <c r="G195" s="251"/>
      <c r="H195" s="251"/>
      <c r="I195" s="251"/>
      <c r="J195" s="251"/>
      <c r="K195" s="251"/>
      <c r="L195" s="251"/>
      <c r="M195" s="251"/>
      <c r="N195" s="251"/>
      <c r="O195" s="251"/>
      <c r="P195" s="251"/>
      <c r="Q195" s="251"/>
      <c r="R195" s="251"/>
      <c r="S195" s="251"/>
      <c r="T195" s="251"/>
      <c r="U195" s="251"/>
      <c r="V195" s="251"/>
      <c r="W195" s="251"/>
      <c r="X195" s="251"/>
      <c r="Y195" s="251"/>
      <c r="Z195" s="251"/>
      <c r="AA195" s="251"/>
      <c r="AB195" s="251"/>
      <c r="AC195" s="251"/>
      <c r="AD195" s="251"/>
      <c r="AE195" s="251"/>
      <c r="AF195" s="251"/>
      <c r="AG195" s="251"/>
      <c r="AH195" s="251"/>
      <c r="AI195" s="251"/>
      <c r="AJ195" s="251"/>
      <c r="AK195" s="251"/>
      <c r="AL195" s="251"/>
      <c r="AM195" s="251"/>
      <c r="AN195" s="251"/>
      <c r="AO195" s="251"/>
      <c r="AP195" s="251"/>
      <c r="AQ195" s="251"/>
    </row>
    <row r="196" spans="2:103" x14ac:dyDescent="0.2">
      <c r="B196" s="267" t="s">
        <v>299</v>
      </c>
      <c r="C196" s="271"/>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269"/>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row>
    <row r="197" spans="2:103" x14ac:dyDescent="0.2">
      <c r="B197" s="298" t="s">
        <v>300</v>
      </c>
      <c r="C197" s="301"/>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c r="AC197" s="253"/>
      <c r="AD197" s="253"/>
      <c r="AE197" s="253"/>
      <c r="AF197" s="253"/>
      <c r="AG197" s="253"/>
      <c r="AH197" s="253"/>
      <c r="AI197" s="253"/>
      <c r="AJ197" s="253"/>
      <c r="AK197" s="253"/>
      <c r="AL197" s="253"/>
      <c r="AM197" s="253"/>
      <c r="AN197" s="253"/>
      <c r="AO197" s="253"/>
      <c r="AP197" s="253"/>
      <c r="AQ197" s="253"/>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row>
    <row r="198" spans="2:103" x14ac:dyDescent="0.2">
      <c r="B198" s="296" t="s">
        <v>395</v>
      </c>
      <c r="C198" s="299"/>
      <c r="D198" s="256"/>
      <c r="E198" s="256"/>
      <c r="F198" s="256"/>
      <c r="G198" s="256"/>
      <c r="H198" s="256"/>
      <c r="I198" s="256"/>
      <c r="J198" s="256"/>
      <c r="K198" s="256"/>
      <c r="L198" s="256"/>
      <c r="M198" s="256"/>
      <c r="N198" s="256"/>
      <c r="O198" s="256"/>
      <c r="P198" s="256"/>
      <c r="Q198" s="256"/>
      <c r="R198" s="256"/>
      <c r="S198" s="256"/>
      <c r="T198" s="256"/>
      <c r="U198" s="256"/>
      <c r="V198" s="256"/>
      <c r="W198" s="256"/>
      <c r="X198" s="256"/>
      <c r="Y198" s="256"/>
      <c r="Z198" s="256"/>
      <c r="AA198" s="256"/>
      <c r="AB198" s="256"/>
      <c r="AC198" s="256"/>
      <c r="AD198" s="256"/>
      <c r="AE198" s="256"/>
      <c r="AF198" s="256"/>
      <c r="AG198" s="256"/>
      <c r="AH198" s="256"/>
      <c r="AI198" s="256"/>
      <c r="AJ198" s="256"/>
      <c r="AK198" s="256"/>
      <c r="AL198" s="256"/>
      <c r="AM198" s="256"/>
      <c r="AN198" s="256"/>
      <c r="AO198" s="256"/>
      <c r="AP198" s="256"/>
      <c r="AQ198" s="257"/>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row>
    <row r="199" spans="2:103" x14ac:dyDescent="0.2">
      <c r="B199" s="297" t="s">
        <v>392</v>
      </c>
      <c r="C199" s="300"/>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c r="AA199" s="198"/>
      <c r="AB199" s="198"/>
      <c r="AC199" s="198"/>
      <c r="AD199" s="198"/>
      <c r="AE199" s="198"/>
      <c r="AF199" s="198"/>
      <c r="AG199" s="198"/>
      <c r="AH199" s="198"/>
      <c r="AI199" s="198"/>
      <c r="AJ199" s="198"/>
      <c r="AK199" s="198"/>
      <c r="AL199" s="198"/>
      <c r="AM199" s="198"/>
      <c r="AN199" s="198"/>
      <c r="AO199" s="198"/>
      <c r="AP199" s="198"/>
      <c r="AQ199" s="198"/>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row>
    <row r="200" spans="2:103" x14ac:dyDescent="0.2">
      <c r="B200" s="270" t="s">
        <v>393</v>
      </c>
      <c r="C200" s="300"/>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c r="AA200" s="198"/>
      <c r="AB200" s="198"/>
      <c r="AC200" s="198"/>
      <c r="AD200" s="198"/>
      <c r="AE200" s="198"/>
      <c r="AF200" s="198"/>
      <c r="AG200" s="198"/>
      <c r="AH200" s="198"/>
      <c r="AI200" s="198"/>
      <c r="AJ200" s="198"/>
      <c r="AK200" s="198"/>
      <c r="AL200" s="198"/>
      <c r="AM200" s="198"/>
      <c r="AN200" s="198"/>
      <c r="AO200" s="198"/>
      <c r="AP200" s="198"/>
      <c r="AQ200" s="198"/>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row>
    <row r="201" spans="2:103" x14ac:dyDescent="0.2">
      <c r="B201" s="270" t="s">
        <v>394</v>
      </c>
      <c r="C201" s="300"/>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c r="AA201" s="198"/>
      <c r="AB201" s="198"/>
      <c r="AC201" s="198"/>
      <c r="AD201" s="198"/>
      <c r="AE201" s="198"/>
      <c r="AF201" s="198"/>
      <c r="AG201" s="198"/>
      <c r="AH201" s="198"/>
      <c r="AI201" s="198"/>
      <c r="AJ201" s="198"/>
      <c r="AK201" s="198"/>
      <c r="AL201" s="198"/>
      <c r="AM201" s="198"/>
      <c r="AN201" s="198"/>
      <c r="AO201" s="198"/>
      <c r="AP201" s="198"/>
      <c r="AQ201" s="198"/>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row>
    <row r="202" spans="2:103" x14ac:dyDescent="0.2">
      <c r="B202" s="298" t="s">
        <v>293</v>
      </c>
      <c r="C202" s="301"/>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c r="AB202" s="253"/>
      <c r="AC202" s="253"/>
      <c r="AD202" s="253"/>
      <c r="AE202" s="253"/>
      <c r="AF202" s="253"/>
      <c r="AG202" s="253"/>
      <c r="AH202" s="253"/>
      <c r="AI202" s="253"/>
      <c r="AJ202" s="253"/>
      <c r="AK202" s="253"/>
      <c r="AL202" s="253"/>
      <c r="AM202" s="253"/>
      <c r="AN202" s="253"/>
      <c r="AO202" s="253"/>
      <c r="AP202" s="253"/>
      <c r="AQ202" s="253"/>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row>
    <row r="203" spans="2:103" x14ac:dyDescent="0.2">
      <c r="B203" s="296" t="s">
        <v>396</v>
      </c>
      <c r="C203" s="302"/>
      <c r="D203" s="303"/>
      <c r="E203" s="303"/>
      <c r="F203" s="303"/>
      <c r="G203" s="303"/>
      <c r="H203" s="303"/>
      <c r="I203" s="303"/>
      <c r="J203" s="303"/>
      <c r="K203" s="303"/>
      <c r="L203" s="303"/>
      <c r="M203" s="303"/>
      <c r="N203" s="303"/>
      <c r="O203" s="303"/>
      <c r="P203" s="303"/>
      <c r="Q203" s="303"/>
      <c r="R203" s="303"/>
      <c r="S203" s="303"/>
      <c r="T203" s="303"/>
      <c r="U203" s="303"/>
      <c r="V203" s="303"/>
      <c r="W203" s="303"/>
      <c r="X203" s="303"/>
      <c r="Y203" s="303"/>
      <c r="Z203" s="303"/>
      <c r="AA203" s="303"/>
      <c r="AB203" s="303"/>
      <c r="AC203" s="303"/>
      <c r="AD203" s="303"/>
      <c r="AE203" s="303"/>
      <c r="AF203" s="303"/>
      <c r="AG203" s="303"/>
      <c r="AH203" s="303"/>
      <c r="AI203" s="303"/>
      <c r="AJ203" s="303"/>
      <c r="AK203" s="303"/>
      <c r="AL203" s="303"/>
      <c r="AM203" s="303"/>
      <c r="AN203" s="303"/>
      <c r="AO203" s="303"/>
      <c r="AP203" s="303"/>
      <c r="AQ203" s="304"/>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row>
    <row r="204" spans="2:103" x14ac:dyDescent="0.2">
      <c r="B204" s="297" t="s">
        <v>397</v>
      </c>
      <c r="C204" s="300"/>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c r="AA204" s="198"/>
      <c r="AB204" s="198"/>
      <c r="AC204" s="198"/>
      <c r="AD204" s="198"/>
      <c r="AE204" s="198"/>
      <c r="AF204" s="198"/>
      <c r="AG204" s="198"/>
      <c r="AH204" s="198"/>
      <c r="AI204" s="198"/>
      <c r="AJ204" s="198"/>
      <c r="AK204" s="198"/>
      <c r="AL204" s="198"/>
      <c r="AM204" s="198"/>
      <c r="AN204" s="198"/>
      <c r="AO204" s="198"/>
      <c r="AP204" s="198"/>
      <c r="AQ204" s="198"/>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row>
    <row r="205" spans="2:103" x14ac:dyDescent="0.2">
      <c r="B205" s="270" t="s">
        <v>398</v>
      </c>
      <c r="C205" s="300"/>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c r="AA205" s="198"/>
      <c r="AB205" s="198"/>
      <c r="AC205" s="198"/>
      <c r="AD205" s="198"/>
      <c r="AE205" s="198"/>
      <c r="AF205" s="198"/>
      <c r="AG205" s="198"/>
      <c r="AH205" s="198"/>
      <c r="AI205" s="198"/>
      <c r="AJ205" s="198"/>
      <c r="AK205" s="198"/>
      <c r="AL205" s="198"/>
      <c r="AM205" s="198"/>
      <c r="AN205" s="198"/>
      <c r="AO205" s="198"/>
      <c r="AP205" s="198"/>
      <c r="AQ205" s="198"/>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row>
    <row r="206" spans="2:103" x14ac:dyDescent="0.2">
      <c r="B206" s="270" t="s">
        <v>399</v>
      </c>
      <c r="C206" s="300"/>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c r="AA206" s="198"/>
      <c r="AB206" s="198"/>
      <c r="AC206" s="198"/>
      <c r="AD206" s="198"/>
      <c r="AE206" s="198"/>
      <c r="AF206" s="198"/>
      <c r="AG206" s="198"/>
      <c r="AH206" s="198"/>
      <c r="AI206" s="198"/>
      <c r="AJ206" s="198"/>
      <c r="AK206" s="198"/>
      <c r="AL206" s="198"/>
      <c r="AM206" s="198"/>
      <c r="AN206" s="198"/>
      <c r="AO206" s="198"/>
      <c r="AP206" s="198"/>
      <c r="AQ206" s="198"/>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row>
    <row r="207" spans="2:103" x14ac:dyDescent="0.2">
      <c r="B207" s="270" t="s">
        <v>400</v>
      </c>
      <c r="C207" s="300"/>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c r="AA207" s="198"/>
      <c r="AB207" s="198"/>
      <c r="AC207" s="198"/>
      <c r="AD207" s="198"/>
      <c r="AE207" s="198"/>
      <c r="AF207" s="198"/>
      <c r="AG207" s="198"/>
      <c r="AH207" s="198"/>
      <c r="AI207" s="198"/>
      <c r="AJ207" s="198"/>
      <c r="AK207" s="198"/>
      <c r="AL207" s="198"/>
      <c r="AM207" s="198"/>
      <c r="AN207" s="198"/>
      <c r="AO207" s="198"/>
      <c r="AP207" s="198"/>
      <c r="AQ207" s="198"/>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row>
    <row r="208" spans="2:103" x14ac:dyDescent="0.2">
      <c r="B208" s="298" t="s">
        <v>401</v>
      </c>
      <c r="C208" s="300"/>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c r="AA208" s="198"/>
      <c r="AB208" s="198"/>
      <c r="AC208" s="198"/>
      <c r="AD208" s="198"/>
      <c r="AE208" s="198"/>
      <c r="AF208" s="198"/>
      <c r="AG208" s="198"/>
      <c r="AH208" s="198"/>
      <c r="AI208" s="198"/>
      <c r="AJ208" s="198"/>
      <c r="AK208" s="198"/>
      <c r="AL208" s="198"/>
      <c r="AM208" s="198"/>
      <c r="AN208" s="198"/>
      <c r="AO208" s="198"/>
      <c r="AP208" s="198"/>
      <c r="AQ208" s="198"/>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row>
    <row r="209" spans="2:103" x14ac:dyDescent="0.2">
      <c r="B209" s="296" t="s">
        <v>402</v>
      </c>
      <c r="C209" s="306"/>
      <c r="D209" s="307"/>
      <c r="E209" s="307"/>
      <c r="F209" s="307"/>
      <c r="G209" s="307"/>
      <c r="H209" s="307"/>
      <c r="I209" s="307"/>
      <c r="J209" s="307"/>
      <c r="K209" s="307"/>
      <c r="L209" s="307"/>
      <c r="M209" s="307"/>
      <c r="N209" s="307"/>
      <c r="O209" s="307"/>
      <c r="P209" s="307"/>
      <c r="Q209" s="307"/>
      <c r="R209" s="307"/>
      <c r="S209" s="307"/>
      <c r="T209" s="307"/>
      <c r="U209" s="307"/>
      <c r="V209" s="307"/>
      <c r="W209" s="307"/>
      <c r="X209" s="307"/>
      <c r="Y209" s="307"/>
      <c r="Z209" s="307"/>
      <c r="AA209" s="307"/>
      <c r="AB209" s="307"/>
      <c r="AC209" s="307"/>
      <c r="AD209" s="307"/>
      <c r="AE209" s="307"/>
      <c r="AF209" s="307"/>
      <c r="AG209" s="307"/>
      <c r="AH209" s="307"/>
      <c r="AI209" s="307"/>
      <c r="AJ209" s="307"/>
      <c r="AK209" s="307"/>
      <c r="AL209" s="307"/>
      <c r="AM209" s="307"/>
      <c r="AN209" s="307"/>
      <c r="AO209" s="307"/>
      <c r="AP209" s="307"/>
      <c r="AQ209" s="307"/>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row>
    <row r="210" spans="2:103" x14ac:dyDescent="0.2">
      <c r="B210" s="47" t="s">
        <v>403</v>
      </c>
      <c r="C210" s="300"/>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c r="AA210" s="198"/>
      <c r="AB210" s="198"/>
      <c r="AC210" s="198"/>
      <c r="AD210" s="198"/>
      <c r="AE210" s="198"/>
      <c r="AF210" s="198"/>
      <c r="AG210" s="198"/>
      <c r="AH210" s="198"/>
      <c r="AI210" s="198"/>
      <c r="AJ210" s="198"/>
      <c r="AK210" s="198"/>
      <c r="AL210" s="198"/>
      <c r="AM210" s="198"/>
      <c r="AN210" s="198"/>
      <c r="AO210" s="198"/>
      <c r="AP210" s="198"/>
      <c r="AQ210" s="198"/>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row>
    <row r="211" spans="2:103" x14ac:dyDescent="0.2">
      <c r="B211" s="37" t="s">
        <v>404</v>
      </c>
      <c r="C211" s="300"/>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c r="AA211" s="198"/>
      <c r="AB211" s="198"/>
      <c r="AC211" s="198"/>
      <c r="AD211" s="198"/>
      <c r="AE211" s="198"/>
      <c r="AF211" s="198"/>
      <c r="AG211" s="198"/>
      <c r="AH211" s="198"/>
      <c r="AI211" s="198"/>
      <c r="AJ211" s="198"/>
      <c r="AK211" s="198"/>
      <c r="AL211" s="198"/>
      <c r="AM211" s="198"/>
      <c r="AN211" s="198"/>
      <c r="AO211" s="198"/>
      <c r="AP211" s="198"/>
      <c r="AQ211" s="198"/>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row>
    <row r="212" spans="2:103" x14ac:dyDescent="0.2">
      <c r="B212" s="305" t="s">
        <v>405</v>
      </c>
      <c r="C212" s="301"/>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c r="AC212" s="253"/>
      <c r="AD212" s="253"/>
      <c r="AE212" s="253"/>
      <c r="AF212" s="253"/>
      <c r="AG212" s="253"/>
      <c r="AH212" s="253"/>
      <c r="AI212" s="253"/>
      <c r="AJ212" s="253"/>
      <c r="AK212" s="253"/>
      <c r="AL212" s="253"/>
      <c r="AM212" s="253"/>
      <c r="AN212" s="253"/>
      <c r="AO212" s="253"/>
      <c r="AP212" s="253"/>
      <c r="AQ212" s="253"/>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row>
    <row r="213" spans="2:103" x14ac:dyDescent="0.2">
      <c r="B213" s="296" t="s">
        <v>416</v>
      </c>
      <c r="C213" s="302"/>
      <c r="D213" s="303"/>
      <c r="E213" s="303"/>
      <c r="F213" s="303"/>
      <c r="G213" s="303"/>
      <c r="H213" s="303"/>
      <c r="I213" s="303"/>
      <c r="J213" s="303"/>
      <c r="K213" s="303"/>
      <c r="L213" s="303"/>
      <c r="M213" s="303"/>
      <c r="N213" s="303"/>
      <c r="O213" s="303"/>
      <c r="P213" s="303"/>
      <c r="Q213" s="303"/>
      <c r="R213" s="303"/>
      <c r="S213" s="303"/>
      <c r="T213" s="303"/>
      <c r="U213" s="303"/>
      <c r="V213" s="303"/>
      <c r="W213" s="303"/>
      <c r="X213" s="303"/>
      <c r="Y213" s="303"/>
      <c r="Z213" s="303"/>
      <c r="AA213" s="303"/>
      <c r="AB213" s="303"/>
      <c r="AC213" s="303"/>
      <c r="AD213" s="303"/>
      <c r="AE213" s="303"/>
      <c r="AF213" s="303"/>
      <c r="AG213" s="303"/>
      <c r="AH213" s="303"/>
      <c r="AI213" s="303"/>
      <c r="AJ213" s="303"/>
      <c r="AK213" s="303"/>
      <c r="AL213" s="303"/>
      <c r="AM213" s="303"/>
      <c r="AN213" s="303"/>
      <c r="AO213" s="303"/>
      <c r="AP213" s="303"/>
      <c r="AQ213" s="304"/>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row>
    <row r="214" spans="2:103" x14ac:dyDescent="0.2">
      <c r="B214" s="279" t="s">
        <v>417</v>
      </c>
      <c r="C214" s="300"/>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c r="AA214" s="198"/>
      <c r="AB214" s="198"/>
      <c r="AC214" s="198"/>
      <c r="AD214" s="198"/>
      <c r="AE214" s="198"/>
      <c r="AF214" s="198"/>
      <c r="AG214" s="198"/>
      <c r="AH214" s="198"/>
      <c r="AI214" s="198"/>
      <c r="AJ214" s="198"/>
      <c r="AK214" s="198"/>
      <c r="AL214" s="198"/>
      <c r="AM214" s="198"/>
      <c r="AN214" s="198"/>
      <c r="AO214" s="198"/>
      <c r="AP214" s="198"/>
      <c r="AQ214" s="198"/>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row>
    <row r="215" spans="2:103" x14ac:dyDescent="0.2">
      <c r="B215" s="267" t="s">
        <v>275</v>
      </c>
      <c r="AQ215" s="229"/>
    </row>
    <row r="216" spans="2:103" x14ac:dyDescent="0.2">
      <c r="B216" s="268" t="s">
        <v>294</v>
      </c>
      <c r="C216" s="251"/>
      <c r="D216" s="251"/>
      <c r="E216" s="251"/>
      <c r="F216" s="251"/>
      <c r="G216" s="251"/>
      <c r="H216" s="251"/>
      <c r="I216" s="251"/>
      <c r="J216" s="251"/>
      <c r="K216" s="251"/>
      <c r="L216" s="251"/>
      <c r="M216" s="251"/>
      <c r="N216" s="251"/>
      <c r="O216" s="251"/>
      <c r="P216" s="251"/>
      <c r="Q216" s="251"/>
      <c r="R216" s="251"/>
      <c r="S216" s="251"/>
      <c r="T216" s="251"/>
      <c r="U216" s="251"/>
      <c r="V216" s="251"/>
      <c r="W216" s="251"/>
      <c r="X216" s="251"/>
      <c r="Y216" s="251"/>
      <c r="Z216" s="251"/>
      <c r="AA216" s="251"/>
      <c r="AB216" s="251"/>
      <c r="AC216" s="251"/>
      <c r="AD216" s="251"/>
      <c r="AE216" s="251"/>
      <c r="AF216" s="251"/>
      <c r="AG216" s="251"/>
      <c r="AH216" s="251"/>
      <c r="AI216" s="251"/>
      <c r="AJ216" s="251"/>
      <c r="AK216" s="251"/>
      <c r="AL216" s="251"/>
      <c r="AM216" s="251"/>
      <c r="AN216" s="251"/>
      <c r="AO216" s="251"/>
      <c r="AP216" s="251"/>
      <c r="AQ216" s="251"/>
    </row>
    <row r="217" spans="2:103" x14ac:dyDescent="0.2">
      <c r="B217" s="268" t="s">
        <v>295</v>
      </c>
      <c r="C217" s="255"/>
      <c r="D217" s="255"/>
      <c r="E217" s="255"/>
      <c r="F217" s="255"/>
      <c r="G217" s="255"/>
      <c r="H217" s="255"/>
      <c r="I217" s="255"/>
      <c r="J217" s="255"/>
      <c r="K217" s="255"/>
      <c r="L217" s="255"/>
      <c r="M217" s="255"/>
      <c r="N217" s="255"/>
      <c r="O217" s="255"/>
      <c r="P217" s="255"/>
      <c r="Q217" s="255"/>
      <c r="R217" s="255"/>
      <c r="S217" s="255"/>
      <c r="T217" s="255"/>
      <c r="U217" s="255"/>
      <c r="V217" s="255"/>
      <c r="W217" s="255"/>
      <c r="X217" s="255"/>
      <c r="Y217" s="255"/>
      <c r="Z217" s="255"/>
      <c r="AA217" s="255"/>
      <c r="AB217" s="255"/>
      <c r="AC217" s="255"/>
      <c r="AD217" s="255"/>
      <c r="AE217" s="255"/>
      <c r="AF217" s="255"/>
      <c r="AG217" s="255"/>
      <c r="AH217" s="255"/>
      <c r="AI217" s="255"/>
      <c r="AJ217" s="255"/>
      <c r="AK217" s="255"/>
      <c r="AL217" s="255"/>
      <c r="AM217" s="255"/>
      <c r="AN217" s="255"/>
      <c r="AO217" s="255"/>
      <c r="AP217" s="255"/>
      <c r="AQ217" s="255"/>
    </row>
    <row r="218" spans="2:103" x14ac:dyDescent="0.2">
      <c r="B218" s="268" t="s">
        <v>296</v>
      </c>
      <c r="C218" s="255"/>
      <c r="D218" s="255"/>
      <c r="E218" s="255"/>
      <c r="F218" s="255"/>
      <c r="G218" s="255"/>
      <c r="H218" s="255"/>
      <c r="I218" s="255"/>
      <c r="J218" s="255"/>
      <c r="K218" s="255"/>
      <c r="L218" s="255"/>
      <c r="M218" s="255"/>
      <c r="N218" s="255"/>
      <c r="O218" s="255"/>
      <c r="P218" s="255"/>
      <c r="Q218" s="255"/>
      <c r="R218" s="255"/>
      <c r="S218" s="255"/>
      <c r="T218" s="255"/>
      <c r="U218" s="255"/>
      <c r="V218" s="255"/>
      <c r="W218" s="255"/>
      <c r="X218" s="255"/>
      <c r="Y218" s="255"/>
      <c r="Z218" s="255"/>
      <c r="AA218" s="255"/>
      <c r="AB218" s="255"/>
      <c r="AC218" s="255"/>
      <c r="AD218" s="255"/>
      <c r="AE218" s="255"/>
      <c r="AF218" s="255"/>
      <c r="AG218" s="255"/>
      <c r="AH218" s="255"/>
      <c r="AI218" s="255"/>
      <c r="AJ218" s="255"/>
      <c r="AK218" s="255"/>
      <c r="AL218" s="255"/>
      <c r="AM218" s="255"/>
      <c r="AN218" s="255"/>
      <c r="AO218" s="255"/>
      <c r="AP218" s="255"/>
      <c r="AQ218" s="255"/>
    </row>
    <row r="219" spans="2:103" x14ac:dyDescent="0.2">
      <c r="B219" s="267" t="s">
        <v>302</v>
      </c>
      <c r="AQ219" s="28"/>
    </row>
    <row r="220" spans="2:103" x14ac:dyDescent="0.2">
      <c r="B220" s="308" t="s">
        <v>303</v>
      </c>
      <c r="C220" s="9"/>
      <c r="D220" s="260"/>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c r="AA220" s="260"/>
      <c r="AB220" s="260"/>
      <c r="AC220" s="260"/>
      <c r="AD220" s="260"/>
      <c r="AE220" s="260"/>
      <c r="AF220" s="260"/>
      <c r="AG220" s="260"/>
      <c r="AH220" s="260"/>
      <c r="AI220" s="260"/>
      <c r="AJ220" s="260"/>
      <c r="AK220" s="260"/>
      <c r="AL220" s="260"/>
      <c r="AM220" s="260"/>
      <c r="AN220" s="260"/>
      <c r="AO220" s="260"/>
      <c r="AP220" s="260"/>
      <c r="AQ220" s="260"/>
    </row>
    <row r="221" spans="2:103" x14ac:dyDescent="0.2">
      <c r="B221" s="311" t="s">
        <v>406</v>
      </c>
      <c r="C221" s="256"/>
      <c r="D221" s="256"/>
      <c r="E221" s="256"/>
      <c r="F221" s="256"/>
      <c r="G221" s="256"/>
      <c r="H221" s="256"/>
      <c r="I221" s="256"/>
      <c r="J221" s="256"/>
      <c r="K221" s="256"/>
      <c r="L221" s="256"/>
      <c r="M221" s="256"/>
      <c r="N221" s="256"/>
      <c r="O221" s="256"/>
      <c r="P221" s="256"/>
      <c r="Q221" s="256"/>
      <c r="R221" s="256"/>
      <c r="S221" s="256"/>
      <c r="T221" s="256"/>
      <c r="U221" s="256"/>
      <c r="V221" s="256"/>
      <c r="W221" s="256"/>
      <c r="X221" s="256"/>
      <c r="Y221" s="256"/>
      <c r="Z221" s="256"/>
      <c r="AA221" s="256"/>
      <c r="AB221" s="256"/>
      <c r="AC221" s="256"/>
      <c r="AD221" s="256"/>
      <c r="AE221" s="256"/>
      <c r="AF221" s="256"/>
      <c r="AG221" s="256"/>
      <c r="AH221" s="256"/>
      <c r="AI221" s="256"/>
      <c r="AJ221" s="256"/>
      <c r="AK221" s="256"/>
      <c r="AL221" s="256"/>
      <c r="AM221" s="256"/>
      <c r="AN221" s="256"/>
      <c r="AO221" s="256"/>
      <c r="AP221" s="256"/>
      <c r="AQ221" s="257"/>
    </row>
    <row r="222" spans="2:103" x14ac:dyDescent="0.2">
      <c r="B222" s="309" t="s">
        <v>407</v>
      </c>
      <c r="C222" s="310"/>
      <c r="D222" s="310"/>
      <c r="E222" s="310"/>
      <c r="F222" s="310"/>
      <c r="G222" s="310"/>
      <c r="H222" s="310"/>
      <c r="I222" s="310"/>
      <c r="J222" s="310"/>
      <c r="K222" s="310"/>
      <c r="L222" s="310"/>
      <c r="M222" s="310"/>
      <c r="N222" s="310"/>
      <c r="O222" s="310"/>
      <c r="P222" s="310"/>
      <c r="Q222" s="310"/>
      <c r="R222" s="310"/>
      <c r="S222" s="310"/>
      <c r="T222" s="310"/>
      <c r="U222" s="310"/>
      <c r="V222" s="310"/>
      <c r="W222" s="310"/>
      <c r="X222" s="310"/>
      <c r="Y222" s="310"/>
      <c r="Z222" s="310"/>
      <c r="AA222" s="310"/>
      <c r="AB222" s="310"/>
      <c r="AC222" s="310"/>
      <c r="AD222" s="310"/>
      <c r="AE222" s="310"/>
      <c r="AF222" s="310"/>
      <c r="AG222" s="310"/>
      <c r="AH222" s="310"/>
      <c r="AI222" s="310"/>
      <c r="AJ222" s="310"/>
      <c r="AK222" s="310"/>
      <c r="AL222" s="310"/>
      <c r="AM222" s="310"/>
      <c r="AN222" s="310"/>
      <c r="AO222" s="310"/>
      <c r="AP222" s="310"/>
      <c r="AQ222" s="310"/>
    </row>
    <row r="223" spans="2:103" x14ac:dyDescent="0.2">
      <c r="B223" s="308" t="s">
        <v>408</v>
      </c>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c r="AB223" s="253"/>
      <c r="AC223" s="253"/>
      <c r="AD223" s="253"/>
      <c r="AE223" s="253"/>
      <c r="AF223" s="253"/>
      <c r="AG223" s="253"/>
      <c r="AH223" s="253"/>
      <c r="AI223" s="253"/>
      <c r="AJ223" s="253"/>
      <c r="AK223" s="253"/>
      <c r="AL223" s="253"/>
      <c r="AM223" s="253"/>
      <c r="AN223" s="253"/>
      <c r="AO223" s="253"/>
      <c r="AP223" s="253"/>
      <c r="AQ223" s="253"/>
    </row>
    <row r="224" spans="2:103" x14ac:dyDescent="0.2">
      <c r="B224" s="311" t="s">
        <v>409</v>
      </c>
      <c r="C224" s="256"/>
      <c r="D224" s="256"/>
      <c r="E224" s="256"/>
      <c r="F224" s="256"/>
      <c r="G224" s="256"/>
      <c r="H224" s="256"/>
      <c r="I224" s="256"/>
      <c r="J224" s="256"/>
      <c r="K224" s="256"/>
      <c r="L224" s="256"/>
      <c r="M224" s="256"/>
      <c r="N224" s="256"/>
      <c r="O224" s="256"/>
      <c r="P224" s="256"/>
      <c r="Q224" s="256"/>
      <c r="R224" s="256"/>
      <c r="S224" s="256"/>
      <c r="T224" s="256"/>
      <c r="U224" s="256"/>
      <c r="V224" s="256"/>
      <c r="W224" s="256"/>
      <c r="X224" s="256"/>
      <c r="Y224" s="256"/>
      <c r="Z224" s="256"/>
      <c r="AA224" s="256"/>
      <c r="AB224" s="256"/>
      <c r="AC224" s="256"/>
      <c r="AD224" s="256"/>
      <c r="AE224" s="256"/>
      <c r="AF224" s="256"/>
      <c r="AG224" s="256"/>
      <c r="AH224" s="256"/>
      <c r="AI224" s="256"/>
      <c r="AJ224" s="256"/>
      <c r="AK224" s="256"/>
      <c r="AL224" s="256"/>
      <c r="AM224" s="256"/>
      <c r="AN224" s="256"/>
      <c r="AO224" s="256"/>
      <c r="AP224" s="256"/>
      <c r="AQ224" s="257"/>
    </row>
    <row r="225" spans="2:43" x14ac:dyDescent="0.2">
      <c r="B225" s="309" t="s">
        <v>410</v>
      </c>
      <c r="C225" s="120"/>
      <c r="D225" s="310"/>
      <c r="E225" s="310"/>
      <c r="F225" s="310"/>
      <c r="G225" s="310"/>
      <c r="H225" s="310"/>
      <c r="I225" s="310"/>
      <c r="J225" s="310"/>
      <c r="K225" s="310"/>
      <c r="L225" s="310"/>
      <c r="M225" s="310"/>
      <c r="N225" s="310"/>
      <c r="O225" s="310"/>
      <c r="P225" s="310"/>
      <c r="Q225" s="310"/>
      <c r="R225" s="310"/>
      <c r="S225" s="310"/>
      <c r="T225" s="310"/>
      <c r="U225" s="310"/>
      <c r="V225" s="310"/>
      <c r="W225" s="310"/>
      <c r="X225" s="310"/>
      <c r="Y225" s="310"/>
      <c r="Z225" s="310"/>
      <c r="AA225" s="310"/>
      <c r="AB225" s="310"/>
      <c r="AC225" s="310"/>
      <c r="AD225" s="310"/>
      <c r="AE225" s="310"/>
      <c r="AF225" s="310"/>
      <c r="AG225" s="310"/>
      <c r="AH225" s="310"/>
      <c r="AI225" s="310"/>
      <c r="AJ225" s="310"/>
      <c r="AK225" s="310"/>
      <c r="AL225" s="310"/>
      <c r="AM225" s="310"/>
      <c r="AN225" s="310"/>
      <c r="AO225" s="310"/>
      <c r="AP225" s="310"/>
      <c r="AQ225" s="310"/>
    </row>
  </sheetData>
  <mergeCells count="1">
    <mergeCell ref="E114:F114"/>
  </mergeCells>
  <dataValidations disablePrompts="1" xWindow="485" yWindow="427" count="9">
    <dataValidation type="list" allowBlank="1" showInputMessage="1" showErrorMessage="1" sqref="H146:H147 E116:F117 E119:F120 E138:H141 F143:G147 E133:H136 E128:H131 D150:G156" xr:uid="{00000000-0002-0000-0000-000000000000}">
      <formula1>"Yes,No"</formula1>
    </dataValidation>
    <dataValidation type="list" allowBlank="1" showInputMessage="1" showErrorMessage="1" sqref="N8 N10:N27" xr:uid="{00000000-0002-0000-0000-000001000000}">
      <formula1>"Initial Year Input, Annual Inputs"</formula1>
    </dataValidation>
    <dataValidation type="list" allowBlank="1" showInputMessage="1" errorTitle="State Depreciation Treatment" error="The single owner workbook does not handle custom depreciation schedules." sqref="C111" xr:uid="{00000000-0002-0000-0000-000002000000}">
      <formula1>$B$150:$B$156</formula1>
    </dataValidation>
    <dataValidation allowBlank="1" showInputMessage="1" showErrorMessage="1" sqref="W9 AH9 G49:J49" xr:uid="{00000000-0002-0000-0000-000003000000}"/>
    <dataValidation allowBlank="1" sqref="C54" xr:uid="{00000000-0002-0000-0000-000004000000}"/>
    <dataValidation errorTitle="Salvage Value" error="This is a calculated value shown for reference -- it should match the value in SAM. It is not used in the single owner workbook calculations." sqref="C63" xr:uid="{00000000-0002-0000-0000-000005000000}"/>
    <dataValidation type="custom" showErrorMessage="1" errorTitle="Target Year Error" error="Please enter a target year less than or equal to the analysis period." sqref="C33" xr:uid="{00000000-0002-0000-0000-000006000000}">
      <formula1>C33&lt;=C47</formula1>
    </dataValidation>
    <dataValidation type="list" allowBlank="1" showInputMessage="1" errorTitle="Federal Depreciation Treatment" sqref="C110" xr:uid="{00000000-0002-0000-0000-000007000000}">
      <formula1>$B$150:$B$156</formula1>
    </dataValidation>
    <dataValidation type="list" allowBlank="1" showInputMessage="1" showErrorMessage="1" promptTitle="Choose one" sqref="C44" xr:uid="{2125F302-2667-4CA5-BAD0-217C50A8E2F0}">
      <formula1>"Time,Full capital recovery,N/A"</formula1>
    </dataValidation>
  </dataValidations>
  <pageMargins left="0.5" right="0.5" top="0.5" bottom="0.75" header="0.3" footer="0.3"/>
  <pageSetup scale="73" pageOrder="overThenDown" orientation="landscape" horizontalDpi="4294967294" r:id="rId1"/>
  <rowBreaks count="1" manualBreakCount="1">
    <brk id="124" min="1" max="1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BA784"/>
  <sheetViews>
    <sheetView zoomScale="90" zoomScaleNormal="9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x14ac:dyDescent="0.2"/>
  <cols>
    <col min="1" max="1" width="50.28515625" style="4" customWidth="1"/>
    <col min="2" max="2" width="14.85546875" style="4" customWidth="1"/>
    <col min="3" max="3" width="13.7109375" style="4" customWidth="1"/>
    <col min="4" max="9" width="11.5703125" style="4" customWidth="1"/>
    <col min="10" max="10" width="12.7109375" style="4" customWidth="1"/>
    <col min="11" max="15" width="11.5703125" style="4" customWidth="1"/>
    <col min="16" max="17" width="12.85546875" style="4" customWidth="1"/>
    <col min="18" max="31" width="11.5703125" style="4" customWidth="1"/>
    <col min="32" max="32" width="11.42578125" style="4" customWidth="1"/>
    <col min="33" max="42" width="11.5703125" style="4" customWidth="1"/>
    <col min="43" max="16384" width="9.140625" style="4"/>
  </cols>
  <sheetData>
    <row r="1" spans="1:42" ht="21" thickBot="1" x14ac:dyDescent="0.4">
      <c r="A1" s="213" t="s">
        <v>327</v>
      </c>
    </row>
    <row r="2" spans="1:42" x14ac:dyDescent="0.2">
      <c r="A2" s="80" t="s">
        <v>1</v>
      </c>
      <c r="B2" s="15">
        <v>0</v>
      </c>
      <c r="C2" s="15" t="str">
        <f t="shared" ref="C2:AP2" si="0">IF(B2="","",IF(B2+1&lt;=analysis_period,B2+1,""))</f>
        <v/>
      </c>
      <c r="D2" s="15" t="str">
        <f t="shared" si="0"/>
        <v/>
      </c>
      <c r="E2" s="15" t="str">
        <f t="shared" si="0"/>
        <v/>
      </c>
      <c r="F2" s="15" t="str">
        <f t="shared" si="0"/>
        <v/>
      </c>
      <c r="G2" s="15" t="str">
        <f t="shared" si="0"/>
        <v/>
      </c>
      <c r="H2" s="15" t="str">
        <f t="shared" si="0"/>
        <v/>
      </c>
      <c r="I2" s="15" t="str">
        <f t="shared" si="0"/>
        <v/>
      </c>
      <c r="J2" s="15" t="str">
        <f t="shared" si="0"/>
        <v/>
      </c>
      <c r="K2" s="15" t="str">
        <f t="shared" si="0"/>
        <v/>
      </c>
      <c r="L2" s="15" t="str">
        <f t="shared" si="0"/>
        <v/>
      </c>
      <c r="M2" s="15" t="str">
        <f t="shared" si="0"/>
        <v/>
      </c>
      <c r="N2" s="15" t="str">
        <f t="shared" si="0"/>
        <v/>
      </c>
      <c r="O2" s="15" t="str">
        <f t="shared" si="0"/>
        <v/>
      </c>
      <c r="P2" s="15" t="str">
        <f t="shared" si="0"/>
        <v/>
      </c>
      <c r="Q2" s="15" t="str">
        <f t="shared" si="0"/>
        <v/>
      </c>
      <c r="R2" s="15" t="str">
        <f t="shared" si="0"/>
        <v/>
      </c>
      <c r="S2" s="15" t="str">
        <f t="shared" si="0"/>
        <v/>
      </c>
      <c r="T2" s="15" t="str">
        <f t="shared" si="0"/>
        <v/>
      </c>
      <c r="U2" s="15" t="str">
        <f t="shared" si="0"/>
        <v/>
      </c>
      <c r="V2" s="15" t="str">
        <f t="shared" si="0"/>
        <v/>
      </c>
      <c r="W2" s="15" t="str">
        <f t="shared" si="0"/>
        <v/>
      </c>
      <c r="X2" s="15" t="str">
        <f t="shared" si="0"/>
        <v/>
      </c>
      <c r="Y2" s="15" t="str">
        <f t="shared" si="0"/>
        <v/>
      </c>
      <c r="Z2" s="15" t="str">
        <f t="shared" si="0"/>
        <v/>
      </c>
      <c r="AA2" s="15" t="str">
        <f t="shared" si="0"/>
        <v/>
      </c>
      <c r="AB2" s="15" t="str">
        <f t="shared" si="0"/>
        <v/>
      </c>
      <c r="AC2" s="15" t="str">
        <f t="shared" si="0"/>
        <v/>
      </c>
      <c r="AD2" s="15" t="str">
        <f t="shared" si="0"/>
        <v/>
      </c>
      <c r="AE2" s="15" t="str">
        <f t="shared" si="0"/>
        <v/>
      </c>
      <c r="AF2" s="15" t="str">
        <f t="shared" si="0"/>
        <v/>
      </c>
      <c r="AG2" s="15" t="str">
        <f t="shared" si="0"/>
        <v/>
      </c>
      <c r="AH2" s="15" t="str">
        <f t="shared" si="0"/>
        <v/>
      </c>
      <c r="AI2" s="15" t="str">
        <f t="shared" si="0"/>
        <v/>
      </c>
      <c r="AJ2" s="15" t="str">
        <f t="shared" si="0"/>
        <v/>
      </c>
      <c r="AK2" s="15" t="str">
        <f t="shared" si="0"/>
        <v/>
      </c>
      <c r="AL2" s="15" t="str">
        <f t="shared" si="0"/>
        <v/>
      </c>
      <c r="AM2" s="15" t="str">
        <f t="shared" si="0"/>
        <v/>
      </c>
      <c r="AN2" s="15" t="str">
        <f t="shared" si="0"/>
        <v/>
      </c>
      <c r="AO2" s="15" t="str">
        <f t="shared" si="0"/>
        <v/>
      </c>
      <c r="AP2" s="15" t="str">
        <f t="shared" si="0"/>
        <v/>
      </c>
    </row>
    <row r="3" spans="1:42" x14ac:dyDescent="0.2">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row>
    <row r="4" spans="1:42" x14ac:dyDescent="0.2">
      <c r="A4" s="80" t="s">
        <v>371</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spans="1:42" x14ac:dyDescent="0.2">
      <c r="A5" s="4" t="s">
        <v>383</v>
      </c>
      <c r="B5" s="115">
        <f t="array" ref="B5:AP6">Inputs!C162:AQ163</f>
        <v>0</v>
      </c>
      <c r="C5" s="115">
        <v>0</v>
      </c>
      <c r="D5" s="115">
        <v>0</v>
      </c>
      <c r="E5" s="115">
        <v>0</v>
      </c>
      <c r="F5" s="115">
        <v>0</v>
      </c>
      <c r="G5" s="115">
        <v>0</v>
      </c>
      <c r="H5" s="115">
        <v>0</v>
      </c>
      <c r="I5" s="115">
        <v>0</v>
      </c>
      <c r="J5" s="115">
        <v>0</v>
      </c>
      <c r="K5" s="115">
        <v>0</v>
      </c>
      <c r="L5" s="115">
        <v>0</v>
      </c>
      <c r="M5" s="115">
        <v>0</v>
      </c>
      <c r="N5" s="115">
        <v>0</v>
      </c>
      <c r="O5" s="115">
        <v>0</v>
      </c>
      <c r="P5" s="115">
        <v>0</v>
      </c>
      <c r="Q5" s="115">
        <v>0</v>
      </c>
      <c r="R5" s="115">
        <v>0</v>
      </c>
      <c r="S5" s="115">
        <v>0</v>
      </c>
      <c r="T5" s="115">
        <v>0</v>
      </c>
      <c r="U5" s="115">
        <v>0</v>
      </c>
      <c r="V5" s="115">
        <v>0</v>
      </c>
      <c r="W5" s="115">
        <v>0</v>
      </c>
      <c r="X5" s="115">
        <v>0</v>
      </c>
      <c r="Y5" s="115">
        <v>0</v>
      </c>
      <c r="Z5" s="115">
        <v>0</v>
      </c>
      <c r="AA5" s="115">
        <v>0</v>
      </c>
      <c r="AB5" s="115">
        <v>0</v>
      </c>
      <c r="AC5" s="115">
        <v>0</v>
      </c>
      <c r="AD5" s="115">
        <v>0</v>
      </c>
      <c r="AE5" s="115">
        <v>0</v>
      </c>
      <c r="AF5" s="115">
        <v>0</v>
      </c>
      <c r="AG5" s="115">
        <v>0</v>
      </c>
      <c r="AH5" s="115">
        <v>0</v>
      </c>
      <c r="AI5" s="115">
        <v>0</v>
      </c>
      <c r="AJ5" s="115">
        <v>0</v>
      </c>
      <c r="AK5" s="115">
        <v>0</v>
      </c>
      <c r="AL5" s="115">
        <v>0</v>
      </c>
      <c r="AM5" s="115">
        <v>0</v>
      </c>
      <c r="AN5" s="115">
        <v>0</v>
      </c>
      <c r="AO5" s="115">
        <v>0</v>
      </c>
      <c r="AP5" s="115">
        <v>0</v>
      </c>
    </row>
    <row r="6" spans="1:42" x14ac:dyDescent="0.2">
      <c r="A6" s="4" t="s">
        <v>384</v>
      </c>
      <c r="B6" s="115">
        <v>0</v>
      </c>
      <c r="C6" s="115">
        <v>0</v>
      </c>
      <c r="D6" s="115">
        <v>0</v>
      </c>
      <c r="E6" s="115">
        <v>0</v>
      </c>
      <c r="F6" s="115">
        <v>0</v>
      </c>
      <c r="G6" s="115">
        <v>0</v>
      </c>
      <c r="H6" s="115">
        <v>0</v>
      </c>
      <c r="I6" s="115">
        <v>0</v>
      </c>
      <c r="J6" s="115">
        <v>0</v>
      </c>
      <c r="K6" s="115">
        <v>0</v>
      </c>
      <c r="L6" s="115">
        <v>0</v>
      </c>
      <c r="M6" s="115">
        <v>0</v>
      </c>
      <c r="N6" s="115">
        <v>0</v>
      </c>
      <c r="O6" s="115">
        <v>0</v>
      </c>
      <c r="P6" s="115">
        <v>0</v>
      </c>
      <c r="Q6" s="115">
        <v>0</v>
      </c>
      <c r="R6" s="115">
        <v>0</v>
      </c>
      <c r="S6" s="115">
        <v>0</v>
      </c>
      <c r="T6" s="115">
        <v>0</v>
      </c>
      <c r="U6" s="115">
        <v>0</v>
      </c>
      <c r="V6" s="115">
        <v>0</v>
      </c>
      <c r="W6" s="115">
        <v>0</v>
      </c>
      <c r="X6" s="115">
        <v>0</v>
      </c>
      <c r="Y6" s="115">
        <v>0</v>
      </c>
      <c r="Z6" s="115">
        <v>0</v>
      </c>
      <c r="AA6" s="115">
        <v>0</v>
      </c>
      <c r="AB6" s="115">
        <v>0</v>
      </c>
      <c r="AC6" s="115">
        <v>0</v>
      </c>
      <c r="AD6" s="115">
        <v>0</v>
      </c>
      <c r="AE6" s="115">
        <v>0</v>
      </c>
      <c r="AF6" s="115">
        <v>0</v>
      </c>
      <c r="AG6" s="115">
        <v>0</v>
      </c>
      <c r="AH6" s="115">
        <v>0</v>
      </c>
      <c r="AI6" s="115">
        <v>0</v>
      </c>
      <c r="AJ6" s="115">
        <v>0</v>
      </c>
      <c r="AK6" s="115">
        <v>0</v>
      </c>
      <c r="AL6" s="115">
        <v>0</v>
      </c>
      <c r="AM6" s="115">
        <v>0</v>
      </c>
      <c r="AN6" s="115">
        <v>0</v>
      </c>
      <c r="AO6" s="115">
        <v>0</v>
      </c>
      <c r="AP6" s="115">
        <v>0</v>
      </c>
    </row>
    <row r="7" spans="1:42" x14ac:dyDescent="0.2">
      <c r="A7" s="17" t="s">
        <v>385</v>
      </c>
      <c r="B7" s="115">
        <f>SUM(B5:B6)</f>
        <v>0</v>
      </c>
      <c r="C7" s="121">
        <f t="shared" ref="C7:AP7" si="1">SUM(C5:C6)</f>
        <v>0</v>
      </c>
      <c r="D7" s="121">
        <f t="shared" si="1"/>
        <v>0</v>
      </c>
      <c r="E7" s="121">
        <f t="shared" si="1"/>
        <v>0</v>
      </c>
      <c r="F7" s="121">
        <f t="shared" si="1"/>
        <v>0</v>
      </c>
      <c r="G7" s="121">
        <f t="shared" si="1"/>
        <v>0</v>
      </c>
      <c r="H7" s="121">
        <f t="shared" si="1"/>
        <v>0</v>
      </c>
      <c r="I7" s="121">
        <f t="shared" si="1"/>
        <v>0</v>
      </c>
      <c r="J7" s="121">
        <f t="shared" si="1"/>
        <v>0</v>
      </c>
      <c r="K7" s="121">
        <f t="shared" si="1"/>
        <v>0</v>
      </c>
      <c r="L7" s="121">
        <f t="shared" si="1"/>
        <v>0</v>
      </c>
      <c r="M7" s="121">
        <f t="shared" si="1"/>
        <v>0</v>
      </c>
      <c r="N7" s="121">
        <f t="shared" si="1"/>
        <v>0</v>
      </c>
      <c r="O7" s="121">
        <f t="shared" si="1"/>
        <v>0</v>
      </c>
      <c r="P7" s="121">
        <f t="shared" si="1"/>
        <v>0</v>
      </c>
      <c r="Q7" s="121">
        <f t="shared" si="1"/>
        <v>0</v>
      </c>
      <c r="R7" s="121">
        <f t="shared" si="1"/>
        <v>0</v>
      </c>
      <c r="S7" s="121">
        <f t="shared" si="1"/>
        <v>0</v>
      </c>
      <c r="T7" s="121">
        <f t="shared" si="1"/>
        <v>0</v>
      </c>
      <c r="U7" s="121">
        <f t="shared" si="1"/>
        <v>0</v>
      </c>
      <c r="V7" s="121">
        <f t="shared" si="1"/>
        <v>0</v>
      </c>
      <c r="W7" s="121">
        <f t="shared" si="1"/>
        <v>0</v>
      </c>
      <c r="X7" s="121">
        <f t="shared" si="1"/>
        <v>0</v>
      </c>
      <c r="Y7" s="121">
        <f t="shared" si="1"/>
        <v>0</v>
      </c>
      <c r="Z7" s="121">
        <f t="shared" si="1"/>
        <v>0</v>
      </c>
      <c r="AA7" s="121">
        <f t="shared" si="1"/>
        <v>0</v>
      </c>
      <c r="AB7" s="121">
        <f t="shared" si="1"/>
        <v>0</v>
      </c>
      <c r="AC7" s="121">
        <f t="shared" si="1"/>
        <v>0</v>
      </c>
      <c r="AD7" s="121">
        <f t="shared" si="1"/>
        <v>0</v>
      </c>
      <c r="AE7" s="121">
        <f t="shared" si="1"/>
        <v>0</v>
      </c>
      <c r="AF7" s="121">
        <f t="shared" si="1"/>
        <v>0</v>
      </c>
      <c r="AG7" s="121">
        <f t="shared" si="1"/>
        <v>0</v>
      </c>
      <c r="AH7" s="121">
        <f t="shared" si="1"/>
        <v>0</v>
      </c>
      <c r="AI7" s="121">
        <f t="shared" si="1"/>
        <v>0</v>
      </c>
      <c r="AJ7" s="121">
        <f t="shared" si="1"/>
        <v>0</v>
      </c>
      <c r="AK7" s="121">
        <f t="shared" si="1"/>
        <v>0</v>
      </c>
      <c r="AL7" s="121">
        <f t="shared" si="1"/>
        <v>0</v>
      </c>
      <c r="AM7" s="121">
        <f t="shared" si="1"/>
        <v>0</v>
      </c>
      <c r="AN7" s="121">
        <f t="shared" si="1"/>
        <v>0</v>
      </c>
      <c r="AO7" s="121">
        <f t="shared" si="1"/>
        <v>0</v>
      </c>
      <c r="AP7" s="121">
        <f t="shared" si="1"/>
        <v>0</v>
      </c>
    </row>
    <row r="8" spans="1:42" x14ac:dyDescent="0.2">
      <c r="A8" s="17" t="s">
        <v>386</v>
      </c>
      <c r="B8" s="115">
        <f t="array" ref="B8:AP10">Inputs!C165:AQ167</f>
        <v>0</v>
      </c>
      <c r="C8" s="115">
        <v>0</v>
      </c>
      <c r="D8" s="115">
        <v>0</v>
      </c>
      <c r="E8" s="115">
        <v>0</v>
      </c>
      <c r="F8" s="115">
        <v>0</v>
      </c>
      <c r="G8" s="115">
        <v>0</v>
      </c>
      <c r="H8" s="115">
        <v>0</v>
      </c>
      <c r="I8" s="115">
        <v>0</v>
      </c>
      <c r="J8" s="115">
        <v>0</v>
      </c>
      <c r="K8" s="115">
        <v>0</v>
      </c>
      <c r="L8" s="115">
        <v>0</v>
      </c>
      <c r="M8" s="115">
        <v>0</v>
      </c>
      <c r="N8" s="115">
        <v>0</v>
      </c>
      <c r="O8" s="115">
        <v>0</v>
      </c>
      <c r="P8" s="115">
        <v>0</v>
      </c>
      <c r="Q8" s="115">
        <v>0</v>
      </c>
      <c r="R8" s="115">
        <v>0</v>
      </c>
      <c r="S8" s="115">
        <v>0</v>
      </c>
      <c r="T8" s="115">
        <v>0</v>
      </c>
      <c r="U8" s="115">
        <v>0</v>
      </c>
      <c r="V8" s="115">
        <v>0</v>
      </c>
      <c r="W8" s="115">
        <v>0</v>
      </c>
      <c r="X8" s="115">
        <v>0</v>
      </c>
      <c r="Y8" s="115">
        <v>0</v>
      </c>
      <c r="Z8" s="115">
        <v>0</v>
      </c>
      <c r="AA8" s="115">
        <v>0</v>
      </c>
      <c r="AB8" s="115">
        <v>0</v>
      </c>
      <c r="AC8" s="115">
        <v>0</v>
      </c>
      <c r="AD8" s="115">
        <v>0</v>
      </c>
      <c r="AE8" s="115">
        <v>0</v>
      </c>
      <c r="AF8" s="115">
        <v>0</v>
      </c>
      <c r="AG8" s="115">
        <v>0</v>
      </c>
      <c r="AH8" s="115">
        <v>0</v>
      </c>
      <c r="AI8" s="115">
        <v>0</v>
      </c>
      <c r="AJ8" s="115">
        <v>0</v>
      </c>
      <c r="AK8" s="115">
        <v>0</v>
      </c>
      <c r="AL8" s="115">
        <v>0</v>
      </c>
      <c r="AM8" s="115">
        <v>0</v>
      </c>
      <c r="AN8" s="115">
        <v>0</v>
      </c>
      <c r="AO8" s="115">
        <v>0</v>
      </c>
      <c r="AP8" s="115">
        <v>0</v>
      </c>
    </row>
    <row r="9" spans="1:42" x14ac:dyDescent="0.2">
      <c r="A9" s="17" t="s">
        <v>387</v>
      </c>
      <c r="B9" s="115">
        <v>0</v>
      </c>
      <c r="C9" s="115">
        <v>0</v>
      </c>
      <c r="D9" s="115">
        <v>0</v>
      </c>
      <c r="E9" s="115">
        <v>0</v>
      </c>
      <c r="F9" s="115">
        <v>0</v>
      </c>
      <c r="G9" s="115">
        <v>0</v>
      </c>
      <c r="H9" s="115">
        <v>0</v>
      </c>
      <c r="I9" s="115">
        <v>0</v>
      </c>
      <c r="J9" s="115">
        <v>0</v>
      </c>
      <c r="K9" s="115">
        <v>0</v>
      </c>
      <c r="L9" s="115">
        <v>0</v>
      </c>
      <c r="M9" s="115">
        <v>0</v>
      </c>
      <c r="N9" s="115">
        <v>0</v>
      </c>
      <c r="O9" s="115">
        <v>0</v>
      </c>
      <c r="P9" s="115">
        <v>0</v>
      </c>
      <c r="Q9" s="115">
        <v>0</v>
      </c>
      <c r="R9" s="115">
        <v>0</v>
      </c>
      <c r="S9" s="115">
        <v>0</v>
      </c>
      <c r="T9" s="115">
        <v>0</v>
      </c>
      <c r="U9" s="115">
        <v>0</v>
      </c>
      <c r="V9" s="115">
        <v>0</v>
      </c>
      <c r="W9" s="115">
        <v>0</v>
      </c>
      <c r="X9" s="115">
        <v>0</v>
      </c>
      <c r="Y9" s="115">
        <v>0</v>
      </c>
      <c r="Z9" s="115">
        <v>0</v>
      </c>
      <c r="AA9" s="115">
        <v>0</v>
      </c>
      <c r="AB9" s="115">
        <v>0</v>
      </c>
      <c r="AC9" s="115">
        <v>0</v>
      </c>
      <c r="AD9" s="115">
        <v>0</v>
      </c>
      <c r="AE9" s="115">
        <v>0</v>
      </c>
      <c r="AF9" s="115">
        <v>0</v>
      </c>
      <c r="AG9" s="115">
        <v>0</v>
      </c>
      <c r="AH9" s="115">
        <v>0</v>
      </c>
      <c r="AI9" s="115">
        <v>0</v>
      </c>
      <c r="AJ9" s="115">
        <v>0</v>
      </c>
      <c r="AK9" s="115">
        <v>0</v>
      </c>
      <c r="AL9" s="115">
        <v>0</v>
      </c>
      <c r="AM9" s="115">
        <v>0</v>
      </c>
      <c r="AN9" s="115">
        <v>0</v>
      </c>
      <c r="AO9" s="115">
        <v>0</v>
      </c>
      <c r="AP9" s="115">
        <v>0</v>
      </c>
    </row>
    <row r="10" spans="1:42" x14ac:dyDescent="0.2">
      <c r="A10" s="17" t="s">
        <v>388</v>
      </c>
      <c r="B10" s="115">
        <v>0</v>
      </c>
      <c r="C10" s="115">
        <v>0</v>
      </c>
      <c r="D10" s="115">
        <v>0</v>
      </c>
      <c r="E10" s="115">
        <v>0</v>
      </c>
      <c r="F10" s="115">
        <v>0</v>
      </c>
      <c r="G10" s="115">
        <v>0</v>
      </c>
      <c r="H10" s="115">
        <v>0</v>
      </c>
      <c r="I10" s="115">
        <v>0</v>
      </c>
      <c r="J10" s="115">
        <v>0</v>
      </c>
      <c r="K10" s="115">
        <v>0</v>
      </c>
      <c r="L10" s="115">
        <v>0</v>
      </c>
      <c r="M10" s="115">
        <v>0</v>
      </c>
      <c r="N10" s="115">
        <v>0</v>
      </c>
      <c r="O10" s="115">
        <v>0</v>
      </c>
      <c r="P10" s="115">
        <v>0</v>
      </c>
      <c r="Q10" s="115">
        <v>0</v>
      </c>
      <c r="R10" s="115">
        <v>0</v>
      </c>
      <c r="S10" s="115">
        <v>0</v>
      </c>
      <c r="T10" s="115">
        <v>0</v>
      </c>
      <c r="U10" s="115">
        <v>0</v>
      </c>
      <c r="V10" s="115">
        <v>0</v>
      </c>
      <c r="W10" s="115">
        <v>0</v>
      </c>
      <c r="X10" s="115">
        <v>0</v>
      </c>
      <c r="Y10" s="115">
        <v>0</v>
      </c>
      <c r="Z10" s="115">
        <v>0</v>
      </c>
      <c r="AA10" s="115">
        <v>0</v>
      </c>
      <c r="AB10" s="115">
        <v>0</v>
      </c>
      <c r="AC10" s="115">
        <v>0</v>
      </c>
      <c r="AD10" s="115">
        <v>0</v>
      </c>
      <c r="AE10" s="115">
        <v>0</v>
      </c>
      <c r="AF10" s="115">
        <v>0</v>
      </c>
      <c r="AG10" s="115">
        <v>0</v>
      </c>
      <c r="AH10" s="115">
        <v>0</v>
      </c>
      <c r="AI10" s="115">
        <v>0</v>
      </c>
      <c r="AJ10" s="115">
        <v>0</v>
      </c>
      <c r="AK10" s="115">
        <v>0</v>
      </c>
      <c r="AL10" s="115">
        <v>0</v>
      </c>
      <c r="AM10" s="115">
        <v>0</v>
      </c>
      <c r="AN10" s="115">
        <v>0</v>
      </c>
      <c r="AO10" s="115">
        <v>0</v>
      </c>
      <c r="AP10" s="115">
        <v>0</v>
      </c>
    </row>
    <row r="11" spans="1:42" x14ac:dyDescent="0.2">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row>
    <row r="12" spans="1:42" x14ac:dyDescent="0.2">
      <c r="A12" s="80" t="s">
        <v>71</v>
      </c>
      <c r="B12" s="7"/>
      <c r="C12" s="209"/>
      <c r="D12" s="209"/>
      <c r="E12" s="209"/>
      <c r="F12" s="209"/>
      <c r="G12" s="209"/>
      <c r="H12" s="209"/>
      <c r="I12" s="209"/>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row>
    <row r="13" spans="1:42" x14ac:dyDescent="0.2">
      <c r="A13" s="19" t="s">
        <v>20</v>
      </c>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row>
    <row r="14" spans="1:42" x14ac:dyDescent="0.2">
      <c r="A14" s="4" t="s">
        <v>21</v>
      </c>
      <c r="C14" s="14"/>
      <c r="D14" s="20"/>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row>
    <row r="15" spans="1:42" x14ac:dyDescent="0.2">
      <c r="A15" s="84" t="s">
        <v>389</v>
      </c>
      <c r="C15" s="115">
        <f>C$5</f>
        <v>0</v>
      </c>
      <c r="D15" s="115">
        <f t="shared" ref="D15:AP15" si="2">D$5</f>
        <v>0</v>
      </c>
      <c r="E15" s="115">
        <f t="shared" si="2"/>
        <v>0</v>
      </c>
      <c r="F15" s="115">
        <f t="shared" si="2"/>
        <v>0</v>
      </c>
      <c r="G15" s="115">
        <f t="shared" si="2"/>
        <v>0</v>
      </c>
      <c r="H15" s="115">
        <f t="shared" si="2"/>
        <v>0</v>
      </c>
      <c r="I15" s="115">
        <f t="shared" si="2"/>
        <v>0</v>
      </c>
      <c r="J15" s="115">
        <f t="shared" si="2"/>
        <v>0</v>
      </c>
      <c r="K15" s="115">
        <f t="shared" si="2"/>
        <v>0</v>
      </c>
      <c r="L15" s="115">
        <f t="shared" si="2"/>
        <v>0</v>
      </c>
      <c r="M15" s="115">
        <f t="shared" si="2"/>
        <v>0</v>
      </c>
      <c r="N15" s="115">
        <f t="shared" si="2"/>
        <v>0</v>
      </c>
      <c r="O15" s="115">
        <f t="shared" si="2"/>
        <v>0</v>
      </c>
      <c r="P15" s="115">
        <f t="shared" si="2"/>
        <v>0</v>
      </c>
      <c r="Q15" s="115">
        <f t="shared" si="2"/>
        <v>0</v>
      </c>
      <c r="R15" s="115">
        <f t="shared" si="2"/>
        <v>0</v>
      </c>
      <c r="S15" s="115">
        <f t="shared" si="2"/>
        <v>0</v>
      </c>
      <c r="T15" s="115">
        <f t="shared" si="2"/>
        <v>0</v>
      </c>
      <c r="U15" s="115">
        <f t="shared" si="2"/>
        <v>0</v>
      </c>
      <c r="V15" s="115">
        <f t="shared" si="2"/>
        <v>0</v>
      </c>
      <c r="W15" s="115">
        <f t="shared" si="2"/>
        <v>0</v>
      </c>
      <c r="X15" s="115">
        <f t="shared" si="2"/>
        <v>0</v>
      </c>
      <c r="Y15" s="115">
        <f t="shared" si="2"/>
        <v>0</v>
      </c>
      <c r="Z15" s="115">
        <f t="shared" si="2"/>
        <v>0</v>
      </c>
      <c r="AA15" s="115">
        <f t="shared" si="2"/>
        <v>0</v>
      </c>
      <c r="AB15" s="115">
        <f t="shared" si="2"/>
        <v>0</v>
      </c>
      <c r="AC15" s="115">
        <f t="shared" si="2"/>
        <v>0</v>
      </c>
      <c r="AD15" s="115">
        <f t="shared" si="2"/>
        <v>0</v>
      </c>
      <c r="AE15" s="115">
        <f t="shared" si="2"/>
        <v>0</v>
      </c>
      <c r="AF15" s="115">
        <f t="shared" si="2"/>
        <v>0</v>
      </c>
      <c r="AG15" s="115">
        <f t="shared" si="2"/>
        <v>0</v>
      </c>
      <c r="AH15" s="115">
        <f t="shared" si="2"/>
        <v>0</v>
      </c>
      <c r="AI15" s="115">
        <f t="shared" si="2"/>
        <v>0</v>
      </c>
      <c r="AJ15" s="115">
        <f t="shared" si="2"/>
        <v>0</v>
      </c>
      <c r="AK15" s="115">
        <f t="shared" si="2"/>
        <v>0</v>
      </c>
      <c r="AL15" s="115">
        <f t="shared" si="2"/>
        <v>0</v>
      </c>
      <c r="AM15" s="115">
        <f t="shared" si="2"/>
        <v>0</v>
      </c>
      <c r="AN15" s="115">
        <f t="shared" si="2"/>
        <v>0</v>
      </c>
      <c r="AO15" s="115">
        <f t="shared" si="2"/>
        <v>0</v>
      </c>
      <c r="AP15" s="115">
        <f t="shared" si="2"/>
        <v>0</v>
      </c>
    </row>
    <row r="16" spans="1:42" x14ac:dyDescent="0.2">
      <c r="A16" s="84" t="s">
        <v>10</v>
      </c>
      <c r="B16" s="4">
        <f t="array" ref="B16:AP16">Inputs!C169:AQ169</f>
        <v>0</v>
      </c>
      <c r="C16" s="95">
        <v>0</v>
      </c>
      <c r="D16" s="95">
        <v>0</v>
      </c>
      <c r="E16" s="95">
        <v>0</v>
      </c>
      <c r="F16" s="95">
        <v>0</v>
      </c>
      <c r="G16" s="95">
        <v>0</v>
      </c>
      <c r="H16" s="95">
        <v>0</v>
      </c>
      <c r="I16" s="95">
        <v>0</v>
      </c>
      <c r="J16" s="95">
        <v>0</v>
      </c>
      <c r="K16" s="95">
        <v>0</v>
      </c>
      <c r="L16" s="95">
        <v>0</v>
      </c>
      <c r="M16" s="95">
        <v>0</v>
      </c>
      <c r="N16" s="95">
        <v>0</v>
      </c>
      <c r="O16" s="95">
        <v>0</v>
      </c>
      <c r="P16" s="95">
        <v>0</v>
      </c>
      <c r="Q16" s="95">
        <v>0</v>
      </c>
      <c r="R16" s="95">
        <v>0</v>
      </c>
      <c r="S16" s="95">
        <v>0</v>
      </c>
      <c r="T16" s="95">
        <v>0</v>
      </c>
      <c r="U16" s="95">
        <v>0</v>
      </c>
      <c r="V16" s="95">
        <v>0</v>
      </c>
      <c r="W16" s="95">
        <v>0</v>
      </c>
      <c r="X16" s="95">
        <v>0</v>
      </c>
      <c r="Y16" s="95">
        <v>0</v>
      </c>
      <c r="Z16" s="95">
        <v>0</v>
      </c>
      <c r="AA16" s="95">
        <v>0</v>
      </c>
      <c r="AB16" s="95">
        <v>0</v>
      </c>
      <c r="AC16" s="95">
        <v>0</v>
      </c>
      <c r="AD16" s="95">
        <v>0</v>
      </c>
      <c r="AE16" s="95">
        <v>0</v>
      </c>
      <c r="AF16" s="95">
        <v>0</v>
      </c>
      <c r="AG16" s="95">
        <v>0</v>
      </c>
      <c r="AH16" s="95">
        <v>0</v>
      </c>
      <c r="AI16" s="95">
        <v>0</v>
      </c>
      <c r="AJ16" s="95">
        <v>0</v>
      </c>
      <c r="AK16" s="95">
        <v>0</v>
      </c>
      <c r="AL16" s="95">
        <v>0</v>
      </c>
      <c r="AM16" s="95">
        <v>0</v>
      </c>
      <c r="AN16" s="95">
        <v>0</v>
      </c>
      <c r="AO16" s="95">
        <v>0</v>
      </c>
      <c r="AP16" s="95">
        <v>0</v>
      </c>
    </row>
    <row r="17" spans="1:42" x14ac:dyDescent="0.2">
      <c r="A17" s="84" t="s">
        <v>430</v>
      </c>
      <c r="B17" s="115">
        <f t="array" ref="B17:AP17">Inputs!C170:AQ170</f>
        <v>0</v>
      </c>
      <c r="C17" s="121">
        <v>0</v>
      </c>
      <c r="D17" s="121">
        <v>0</v>
      </c>
      <c r="E17" s="121">
        <v>0</v>
      </c>
      <c r="F17" s="121">
        <v>0</v>
      </c>
      <c r="G17" s="121">
        <v>0</v>
      </c>
      <c r="H17" s="121">
        <v>0</v>
      </c>
      <c r="I17" s="121">
        <v>0</v>
      </c>
      <c r="J17" s="121">
        <v>0</v>
      </c>
      <c r="K17" s="121">
        <v>0</v>
      </c>
      <c r="L17" s="121">
        <v>0</v>
      </c>
      <c r="M17" s="121">
        <v>0</v>
      </c>
      <c r="N17" s="121">
        <v>0</v>
      </c>
      <c r="O17" s="121">
        <v>0</v>
      </c>
      <c r="P17" s="121">
        <v>0</v>
      </c>
      <c r="Q17" s="121">
        <v>0</v>
      </c>
      <c r="R17" s="121">
        <v>0</v>
      </c>
      <c r="S17" s="121">
        <v>0</v>
      </c>
      <c r="T17" s="121">
        <v>0</v>
      </c>
      <c r="U17" s="121">
        <v>0</v>
      </c>
      <c r="V17" s="121">
        <v>0</v>
      </c>
      <c r="W17" s="121">
        <v>0</v>
      </c>
      <c r="X17" s="121">
        <v>0</v>
      </c>
      <c r="Y17" s="121">
        <v>0</v>
      </c>
      <c r="Z17" s="121">
        <v>0</v>
      </c>
      <c r="AA17" s="121">
        <v>0</v>
      </c>
      <c r="AB17" s="121">
        <v>0</v>
      </c>
      <c r="AC17" s="121">
        <v>0</v>
      </c>
      <c r="AD17" s="121">
        <v>0</v>
      </c>
      <c r="AE17" s="121">
        <v>0</v>
      </c>
      <c r="AF17" s="121">
        <v>0</v>
      </c>
      <c r="AG17" s="121">
        <v>0</v>
      </c>
      <c r="AH17" s="121">
        <v>0</v>
      </c>
      <c r="AI17" s="121">
        <v>0</v>
      </c>
      <c r="AJ17" s="121">
        <v>0</v>
      </c>
      <c r="AK17" s="121">
        <v>0</v>
      </c>
      <c r="AL17" s="121">
        <v>0</v>
      </c>
      <c r="AM17" s="121">
        <v>0</v>
      </c>
      <c r="AN17" s="121">
        <v>0</v>
      </c>
      <c r="AO17" s="121">
        <v>0</v>
      </c>
      <c r="AP17" s="121">
        <v>0</v>
      </c>
    </row>
    <row r="18" spans="1:42" x14ac:dyDescent="0.2">
      <c r="A18" s="17" t="s">
        <v>390</v>
      </c>
      <c r="B18" s="115"/>
      <c r="C18" s="115"/>
      <c r="D18" s="115"/>
      <c r="E18" s="115"/>
      <c r="F18" s="115"/>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row>
    <row r="19" spans="1:42" x14ac:dyDescent="0.2">
      <c r="A19" s="84" t="s">
        <v>382</v>
      </c>
      <c r="B19" s="115">
        <f t="array" ref="B19:AP21">Inputs!C171:AQ173</f>
        <v>0</v>
      </c>
      <c r="C19" s="115">
        <v>0</v>
      </c>
      <c r="D19" s="115">
        <v>0</v>
      </c>
      <c r="E19" s="115">
        <v>0</v>
      </c>
      <c r="F19" s="115">
        <v>0</v>
      </c>
      <c r="G19" s="115">
        <v>0</v>
      </c>
      <c r="H19" s="115">
        <v>0</v>
      </c>
      <c r="I19" s="115">
        <v>0</v>
      </c>
      <c r="J19" s="115">
        <v>0</v>
      </c>
      <c r="K19" s="115">
        <v>0</v>
      </c>
      <c r="L19" s="115">
        <v>0</v>
      </c>
      <c r="M19" s="115">
        <v>0</v>
      </c>
      <c r="N19" s="115">
        <v>0</v>
      </c>
      <c r="O19" s="115">
        <v>0</v>
      </c>
      <c r="P19" s="115">
        <v>0</v>
      </c>
      <c r="Q19" s="115">
        <v>0</v>
      </c>
      <c r="R19" s="115">
        <v>0</v>
      </c>
      <c r="S19" s="115">
        <v>0</v>
      </c>
      <c r="T19" s="115">
        <v>0</v>
      </c>
      <c r="U19" s="115">
        <v>0</v>
      </c>
      <c r="V19" s="115">
        <v>0</v>
      </c>
      <c r="W19" s="115">
        <v>0</v>
      </c>
      <c r="X19" s="115">
        <v>0</v>
      </c>
      <c r="Y19" s="115">
        <v>0</v>
      </c>
      <c r="Z19" s="115">
        <v>0</v>
      </c>
      <c r="AA19" s="115">
        <v>0</v>
      </c>
      <c r="AB19" s="115">
        <v>0</v>
      </c>
      <c r="AC19" s="115">
        <v>0</v>
      </c>
      <c r="AD19" s="115">
        <v>0</v>
      </c>
      <c r="AE19" s="115">
        <v>0</v>
      </c>
      <c r="AF19" s="115">
        <v>0</v>
      </c>
      <c r="AG19" s="115">
        <v>0</v>
      </c>
      <c r="AH19" s="115">
        <v>0</v>
      </c>
      <c r="AI19" s="115">
        <v>0</v>
      </c>
      <c r="AJ19" s="115">
        <v>0</v>
      </c>
      <c r="AK19" s="115">
        <v>0</v>
      </c>
      <c r="AL19" s="115">
        <v>0</v>
      </c>
      <c r="AM19" s="115">
        <v>0</v>
      </c>
      <c r="AN19" s="115">
        <v>0</v>
      </c>
      <c r="AO19" s="115">
        <v>0</v>
      </c>
      <c r="AP19" s="115">
        <v>0</v>
      </c>
    </row>
    <row r="20" spans="1:42" x14ac:dyDescent="0.2">
      <c r="A20" s="84" t="s">
        <v>381</v>
      </c>
      <c r="B20" s="115">
        <v>0</v>
      </c>
      <c r="C20" s="115">
        <v>0</v>
      </c>
      <c r="D20" s="115">
        <v>0</v>
      </c>
      <c r="E20" s="115">
        <v>0</v>
      </c>
      <c r="F20" s="115">
        <v>0</v>
      </c>
      <c r="G20" s="115">
        <v>0</v>
      </c>
      <c r="H20" s="115">
        <v>0</v>
      </c>
      <c r="I20" s="115">
        <v>0</v>
      </c>
      <c r="J20" s="115">
        <v>0</v>
      </c>
      <c r="K20" s="115">
        <v>0</v>
      </c>
      <c r="L20" s="115">
        <v>0</v>
      </c>
      <c r="M20" s="115">
        <v>0</v>
      </c>
      <c r="N20" s="115">
        <v>0</v>
      </c>
      <c r="O20" s="115">
        <v>0</v>
      </c>
      <c r="P20" s="115">
        <v>0</v>
      </c>
      <c r="Q20" s="115">
        <v>0</v>
      </c>
      <c r="R20" s="115">
        <v>0</v>
      </c>
      <c r="S20" s="115">
        <v>0</v>
      </c>
      <c r="T20" s="115">
        <v>0</v>
      </c>
      <c r="U20" s="115">
        <v>0</v>
      </c>
      <c r="V20" s="115">
        <v>0</v>
      </c>
      <c r="W20" s="115">
        <v>0</v>
      </c>
      <c r="X20" s="115">
        <v>0</v>
      </c>
      <c r="Y20" s="115">
        <v>0</v>
      </c>
      <c r="Z20" s="115">
        <v>0</v>
      </c>
      <c r="AA20" s="115">
        <v>0</v>
      </c>
      <c r="AB20" s="115">
        <v>0</v>
      </c>
      <c r="AC20" s="115">
        <v>0</v>
      </c>
      <c r="AD20" s="115">
        <v>0</v>
      </c>
      <c r="AE20" s="115">
        <v>0</v>
      </c>
      <c r="AF20" s="115">
        <v>0</v>
      </c>
      <c r="AG20" s="115">
        <v>0</v>
      </c>
      <c r="AH20" s="115">
        <v>0</v>
      </c>
      <c r="AI20" s="115">
        <v>0</v>
      </c>
      <c r="AJ20" s="115">
        <v>0</v>
      </c>
      <c r="AK20" s="115">
        <v>0</v>
      </c>
      <c r="AL20" s="115">
        <v>0</v>
      </c>
      <c r="AM20" s="115">
        <v>0</v>
      </c>
      <c r="AN20" s="115">
        <v>0</v>
      </c>
      <c r="AO20" s="115">
        <v>0</v>
      </c>
      <c r="AP20" s="115">
        <v>0</v>
      </c>
    </row>
    <row r="21" spans="1:42" x14ac:dyDescent="0.2">
      <c r="A21" s="325" t="s">
        <v>431</v>
      </c>
      <c r="B21" s="115">
        <v>0</v>
      </c>
      <c r="C21" s="115">
        <v>0</v>
      </c>
      <c r="D21" s="115">
        <v>0</v>
      </c>
      <c r="E21" s="115">
        <v>0</v>
      </c>
      <c r="F21" s="115">
        <v>0</v>
      </c>
      <c r="G21" s="115">
        <v>0</v>
      </c>
      <c r="H21" s="115">
        <v>0</v>
      </c>
      <c r="I21" s="115">
        <v>0</v>
      </c>
      <c r="J21" s="115">
        <v>0</v>
      </c>
      <c r="K21" s="115">
        <v>0</v>
      </c>
      <c r="L21" s="115">
        <v>0</v>
      </c>
      <c r="M21" s="115">
        <v>0</v>
      </c>
      <c r="N21" s="115">
        <v>0</v>
      </c>
      <c r="O21" s="115">
        <v>0</v>
      </c>
      <c r="P21" s="115">
        <v>0</v>
      </c>
      <c r="Q21" s="115">
        <v>0</v>
      </c>
      <c r="R21" s="115">
        <v>0</v>
      </c>
      <c r="S21" s="115">
        <v>0</v>
      </c>
      <c r="T21" s="115">
        <v>0</v>
      </c>
      <c r="U21" s="115">
        <v>0</v>
      </c>
      <c r="V21" s="115">
        <v>0</v>
      </c>
      <c r="W21" s="115">
        <v>0</v>
      </c>
      <c r="X21" s="115">
        <v>0</v>
      </c>
      <c r="Y21" s="115">
        <v>0</v>
      </c>
      <c r="Z21" s="115">
        <v>0</v>
      </c>
      <c r="AA21" s="115">
        <v>0</v>
      </c>
      <c r="AB21" s="115">
        <v>0</v>
      </c>
      <c r="AC21" s="115">
        <v>0</v>
      </c>
      <c r="AD21" s="115">
        <v>0</v>
      </c>
      <c r="AE21" s="115">
        <v>0</v>
      </c>
      <c r="AF21" s="115">
        <v>0</v>
      </c>
      <c r="AG21" s="115">
        <v>0</v>
      </c>
      <c r="AH21" s="115">
        <v>0</v>
      </c>
      <c r="AI21" s="115">
        <v>0</v>
      </c>
      <c r="AJ21" s="115">
        <v>0</v>
      </c>
      <c r="AK21" s="115">
        <v>0</v>
      </c>
      <c r="AL21" s="115">
        <v>0</v>
      </c>
      <c r="AM21" s="115">
        <v>0</v>
      </c>
      <c r="AN21" s="115">
        <v>0</v>
      </c>
      <c r="AO21" s="115">
        <v>0</v>
      </c>
      <c r="AP21" s="115">
        <v>0</v>
      </c>
    </row>
    <row r="22" spans="1:42" x14ac:dyDescent="0.2">
      <c r="A22" s="4" t="s">
        <v>22</v>
      </c>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row>
    <row r="23" spans="1:42" x14ac:dyDescent="0.2">
      <c r="A23" s="21" t="s">
        <v>4</v>
      </c>
      <c r="C23" s="115">
        <f t="shared" ref="C23:AP23" si="3">IF(pbi_fed_for_ds="Yes",C624,0)</f>
        <v>0</v>
      </c>
      <c r="D23" s="115">
        <f t="shared" si="3"/>
        <v>0</v>
      </c>
      <c r="E23" s="115">
        <f t="shared" si="3"/>
        <v>0</v>
      </c>
      <c r="F23" s="115">
        <f t="shared" si="3"/>
        <v>0</v>
      </c>
      <c r="G23" s="115">
        <f t="shared" si="3"/>
        <v>0</v>
      </c>
      <c r="H23" s="115">
        <f t="shared" si="3"/>
        <v>0</v>
      </c>
      <c r="I23" s="115">
        <f t="shared" si="3"/>
        <v>0</v>
      </c>
      <c r="J23" s="115">
        <f t="shared" si="3"/>
        <v>0</v>
      </c>
      <c r="K23" s="115">
        <f t="shared" si="3"/>
        <v>0</v>
      </c>
      <c r="L23" s="115">
        <f t="shared" si="3"/>
        <v>0</v>
      </c>
      <c r="M23" s="115">
        <f t="shared" si="3"/>
        <v>0</v>
      </c>
      <c r="N23" s="115">
        <f t="shared" si="3"/>
        <v>0</v>
      </c>
      <c r="O23" s="115">
        <f t="shared" si="3"/>
        <v>0</v>
      </c>
      <c r="P23" s="115">
        <f t="shared" si="3"/>
        <v>0</v>
      </c>
      <c r="Q23" s="115">
        <f t="shared" si="3"/>
        <v>0</v>
      </c>
      <c r="R23" s="115">
        <f t="shared" si="3"/>
        <v>0</v>
      </c>
      <c r="S23" s="115">
        <f t="shared" si="3"/>
        <v>0</v>
      </c>
      <c r="T23" s="115">
        <f t="shared" si="3"/>
        <v>0</v>
      </c>
      <c r="U23" s="115">
        <f t="shared" si="3"/>
        <v>0</v>
      </c>
      <c r="V23" s="115">
        <f t="shared" si="3"/>
        <v>0</v>
      </c>
      <c r="W23" s="115">
        <f t="shared" si="3"/>
        <v>0</v>
      </c>
      <c r="X23" s="115">
        <f t="shared" si="3"/>
        <v>0</v>
      </c>
      <c r="Y23" s="115">
        <f t="shared" si="3"/>
        <v>0</v>
      </c>
      <c r="Z23" s="115">
        <f t="shared" si="3"/>
        <v>0</v>
      </c>
      <c r="AA23" s="115">
        <f t="shared" si="3"/>
        <v>0</v>
      </c>
      <c r="AB23" s="115">
        <f t="shared" si="3"/>
        <v>0</v>
      </c>
      <c r="AC23" s="115">
        <f t="shared" si="3"/>
        <v>0</v>
      </c>
      <c r="AD23" s="115">
        <f t="shared" si="3"/>
        <v>0</v>
      </c>
      <c r="AE23" s="115">
        <f t="shared" si="3"/>
        <v>0</v>
      </c>
      <c r="AF23" s="115">
        <f t="shared" si="3"/>
        <v>0</v>
      </c>
      <c r="AG23" s="115">
        <f t="shared" si="3"/>
        <v>0</v>
      </c>
      <c r="AH23" s="115">
        <f t="shared" si="3"/>
        <v>0</v>
      </c>
      <c r="AI23" s="115">
        <f t="shared" si="3"/>
        <v>0</v>
      </c>
      <c r="AJ23" s="115">
        <f t="shared" si="3"/>
        <v>0</v>
      </c>
      <c r="AK23" s="115">
        <f t="shared" si="3"/>
        <v>0</v>
      </c>
      <c r="AL23" s="115">
        <f t="shared" si="3"/>
        <v>0</v>
      </c>
      <c r="AM23" s="115">
        <f t="shared" si="3"/>
        <v>0</v>
      </c>
      <c r="AN23" s="115">
        <f t="shared" si="3"/>
        <v>0</v>
      </c>
      <c r="AO23" s="115">
        <f t="shared" si="3"/>
        <v>0</v>
      </c>
      <c r="AP23" s="115">
        <f t="shared" si="3"/>
        <v>0</v>
      </c>
    </row>
    <row r="24" spans="1:42" x14ac:dyDescent="0.2">
      <c r="A24" s="21" t="s">
        <v>5</v>
      </c>
      <c r="C24" s="115">
        <f t="shared" ref="C24:AP24" si="4">IF(pbi_sta_for_ds="Yes",C628,0)</f>
        <v>0</v>
      </c>
      <c r="D24" s="115">
        <f t="shared" si="4"/>
        <v>0</v>
      </c>
      <c r="E24" s="115">
        <f t="shared" si="4"/>
        <v>0</v>
      </c>
      <c r="F24" s="115">
        <f t="shared" si="4"/>
        <v>0</v>
      </c>
      <c r="G24" s="115">
        <f t="shared" si="4"/>
        <v>0</v>
      </c>
      <c r="H24" s="115">
        <f t="shared" si="4"/>
        <v>0</v>
      </c>
      <c r="I24" s="115">
        <f t="shared" si="4"/>
        <v>0</v>
      </c>
      <c r="J24" s="115">
        <f t="shared" si="4"/>
        <v>0</v>
      </c>
      <c r="K24" s="115">
        <f t="shared" si="4"/>
        <v>0</v>
      </c>
      <c r="L24" s="115">
        <f t="shared" si="4"/>
        <v>0</v>
      </c>
      <c r="M24" s="115">
        <f t="shared" si="4"/>
        <v>0</v>
      </c>
      <c r="N24" s="115">
        <f t="shared" si="4"/>
        <v>0</v>
      </c>
      <c r="O24" s="115">
        <f t="shared" si="4"/>
        <v>0</v>
      </c>
      <c r="P24" s="115">
        <f t="shared" si="4"/>
        <v>0</v>
      </c>
      <c r="Q24" s="115">
        <f t="shared" si="4"/>
        <v>0</v>
      </c>
      <c r="R24" s="115">
        <f t="shared" si="4"/>
        <v>0</v>
      </c>
      <c r="S24" s="115">
        <f t="shared" si="4"/>
        <v>0</v>
      </c>
      <c r="T24" s="115">
        <f t="shared" si="4"/>
        <v>0</v>
      </c>
      <c r="U24" s="115">
        <f t="shared" si="4"/>
        <v>0</v>
      </c>
      <c r="V24" s="115">
        <f t="shared" si="4"/>
        <v>0</v>
      </c>
      <c r="W24" s="115">
        <f t="shared" si="4"/>
        <v>0</v>
      </c>
      <c r="X24" s="115">
        <f t="shared" si="4"/>
        <v>0</v>
      </c>
      <c r="Y24" s="115">
        <f t="shared" si="4"/>
        <v>0</v>
      </c>
      <c r="Z24" s="115">
        <f t="shared" si="4"/>
        <v>0</v>
      </c>
      <c r="AA24" s="115">
        <f t="shared" si="4"/>
        <v>0</v>
      </c>
      <c r="AB24" s="115">
        <f t="shared" si="4"/>
        <v>0</v>
      </c>
      <c r="AC24" s="115">
        <f t="shared" si="4"/>
        <v>0</v>
      </c>
      <c r="AD24" s="115">
        <f t="shared" si="4"/>
        <v>0</v>
      </c>
      <c r="AE24" s="115">
        <f t="shared" si="4"/>
        <v>0</v>
      </c>
      <c r="AF24" s="115">
        <f t="shared" si="4"/>
        <v>0</v>
      </c>
      <c r="AG24" s="115">
        <f t="shared" si="4"/>
        <v>0</v>
      </c>
      <c r="AH24" s="115">
        <f t="shared" si="4"/>
        <v>0</v>
      </c>
      <c r="AI24" s="115">
        <f t="shared" si="4"/>
        <v>0</v>
      </c>
      <c r="AJ24" s="115">
        <f t="shared" si="4"/>
        <v>0</v>
      </c>
      <c r="AK24" s="115">
        <f t="shared" si="4"/>
        <v>0</v>
      </c>
      <c r="AL24" s="115">
        <f t="shared" si="4"/>
        <v>0</v>
      </c>
      <c r="AM24" s="115">
        <f t="shared" si="4"/>
        <v>0</v>
      </c>
      <c r="AN24" s="115">
        <f t="shared" si="4"/>
        <v>0</v>
      </c>
      <c r="AO24" s="115">
        <f t="shared" si="4"/>
        <v>0</v>
      </c>
      <c r="AP24" s="115">
        <f t="shared" si="4"/>
        <v>0</v>
      </c>
    </row>
    <row r="25" spans="1:42" x14ac:dyDescent="0.2">
      <c r="A25" s="21" t="s">
        <v>165</v>
      </c>
      <c r="C25" s="115">
        <f t="shared" ref="C25:AP25" si="5">IF(pbi_uti_for_ds="Yes",C632,0)</f>
        <v>0</v>
      </c>
      <c r="D25" s="115">
        <f t="shared" si="5"/>
        <v>0</v>
      </c>
      <c r="E25" s="115">
        <f t="shared" si="5"/>
        <v>0</v>
      </c>
      <c r="F25" s="115">
        <f t="shared" si="5"/>
        <v>0</v>
      </c>
      <c r="G25" s="115">
        <f t="shared" si="5"/>
        <v>0</v>
      </c>
      <c r="H25" s="115">
        <f t="shared" si="5"/>
        <v>0</v>
      </c>
      <c r="I25" s="115">
        <f t="shared" si="5"/>
        <v>0</v>
      </c>
      <c r="J25" s="115">
        <f t="shared" si="5"/>
        <v>0</v>
      </c>
      <c r="K25" s="115">
        <f t="shared" si="5"/>
        <v>0</v>
      </c>
      <c r="L25" s="115">
        <f t="shared" si="5"/>
        <v>0</v>
      </c>
      <c r="M25" s="115">
        <f t="shared" si="5"/>
        <v>0</v>
      </c>
      <c r="N25" s="115">
        <f t="shared" si="5"/>
        <v>0</v>
      </c>
      <c r="O25" s="115">
        <f t="shared" si="5"/>
        <v>0</v>
      </c>
      <c r="P25" s="115">
        <f t="shared" si="5"/>
        <v>0</v>
      </c>
      <c r="Q25" s="115">
        <f t="shared" si="5"/>
        <v>0</v>
      </c>
      <c r="R25" s="115">
        <f t="shared" si="5"/>
        <v>0</v>
      </c>
      <c r="S25" s="115">
        <f t="shared" si="5"/>
        <v>0</v>
      </c>
      <c r="T25" s="115">
        <f t="shared" si="5"/>
        <v>0</v>
      </c>
      <c r="U25" s="115">
        <f t="shared" si="5"/>
        <v>0</v>
      </c>
      <c r="V25" s="115">
        <f t="shared" si="5"/>
        <v>0</v>
      </c>
      <c r="W25" s="115">
        <f t="shared" si="5"/>
        <v>0</v>
      </c>
      <c r="X25" s="115">
        <f t="shared" si="5"/>
        <v>0</v>
      </c>
      <c r="Y25" s="115">
        <f t="shared" si="5"/>
        <v>0</v>
      </c>
      <c r="Z25" s="115">
        <f t="shared" si="5"/>
        <v>0</v>
      </c>
      <c r="AA25" s="115">
        <f t="shared" si="5"/>
        <v>0</v>
      </c>
      <c r="AB25" s="115">
        <f t="shared" si="5"/>
        <v>0</v>
      </c>
      <c r="AC25" s="115">
        <f t="shared" si="5"/>
        <v>0</v>
      </c>
      <c r="AD25" s="115">
        <f t="shared" si="5"/>
        <v>0</v>
      </c>
      <c r="AE25" s="115">
        <f t="shared" si="5"/>
        <v>0</v>
      </c>
      <c r="AF25" s="115">
        <f t="shared" si="5"/>
        <v>0</v>
      </c>
      <c r="AG25" s="115">
        <f t="shared" si="5"/>
        <v>0</v>
      </c>
      <c r="AH25" s="115">
        <f t="shared" si="5"/>
        <v>0</v>
      </c>
      <c r="AI25" s="115">
        <f t="shared" si="5"/>
        <v>0</v>
      </c>
      <c r="AJ25" s="115">
        <f t="shared" si="5"/>
        <v>0</v>
      </c>
      <c r="AK25" s="115">
        <f t="shared" si="5"/>
        <v>0</v>
      </c>
      <c r="AL25" s="115">
        <f t="shared" si="5"/>
        <v>0</v>
      </c>
      <c r="AM25" s="115">
        <f t="shared" si="5"/>
        <v>0</v>
      </c>
      <c r="AN25" s="115">
        <f t="shared" si="5"/>
        <v>0</v>
      </c>
      <c r="AO25" s="115">
        <f t="shared" si="5"/>
        <v>0</v>
      </c>
      <c r="AP25" s="115">
        <f t="shared" si="5"/>
        <v>0</v>
      </c>
    </row>
    <row r="26" spans="1:42" x14ac:dyDescent="0.2">
      <c r="A26" s="21" t="s">
        <v>166</v>
      </c>
      <c r="C26" s="116">
        <f t="shared" ref="C26:AP26" si="6">IF(pbi_oth_for_ds="Yes",C636,0)</f>
        <v>0</v>
      </c>
      <c r="D26" s="116">
        <f t="shared" si="6"/>
        <v>0</v>
      </c>
      <c r="E26" s="116">
        <f t="shared" si="6"/>
        <v>0</v>
      </c>
      <c r="F26" s="116">
        <f t="shared" si="6"/>
        <v>0</v>
      </c>
      <c r="G26" s="116">
        <f t="shared" si="6"/>
        <v>0</v>
      </c>
      <c r="H26" s="116">
        <f t="shared" si="6"/>
        <v>0</v>
      </c>
      <c r="I26" s="116">
        <f t="shared" si="6"/>
        <v>0</v>
      </c>
      <c r="J26" s="116">
        <f t="shared" si="6"/>
        <v>0</v>
      </c>
      <c r="K26" s="116">
        <f t="shared" si="6"/>
        <v>0</v>
      </c>
      <c r="L26" s="116">
        <f t="shared" si="6"/>
        <v>0</v>
      </c>
      <c r="M26" s="116">
        <f t="shared" si="6"/>
        <v>0</v>
      </c>
      <c r="N26" s="116">
        <f t="shared" si="6"/>
        <v>0</v>
      </c>
      <c r="O26" s="116">
        <f t="shared" si="6"/>
        <v>0</v>
      </c>
      <c r="P26" s="116">
        <f t="shared" si="6"/>
        <v>0</v>
      </c>
      <c r="Q26" s="116">
        <f t="shared" si="6"/>
        <v>0</v>
      </c>
      <c r="R26" s="116">
        <f t="shared" si="6"/>
        <v>0</v>
      </c>
      <c r="S26" s="116">
        <f t="shared" si="6"/>
        <v>0</v>
      </c>
      <c r="T26" s="116">
        <f t="shared" si="6"/>
        <v>0</v>
      </c>
      <c r="U26" s="116">
        <f t="shared" si="6"/>
        <v>0</v>
      </c>
      <c r="V26" s="116">
        <f t="shared" si="6"/>
        <v>0</v>
      </c>
      <c r="W26" s="116">
        <f t="shared" si="6"/>
        <v>0</v>
      </c>
      <c r="X26" s="116">
        <f t="shared" si="6"/>
        <v>0</v>
      </c>
      <c r="Y26" s="116">
        <f t="shared" si="6"/>
        <v>0</v>
      </c>
      <c r="Z26" s="116">
        <f t="shared" si="6"/>
        <v>0</v>
      </c>
      <c r="AA26" s="116">
        <f t="shared" si="6"/>
        <v>0</v>
      </c>
      <c r="AB26" s="116">
        <f t="shared" si="6"/>
        <v>0</v>
      </c>
      <c r="AC26" s="116">
        <f t="shared" si="6"/>
        <v>0</v>
      </c>
      <c r="AD26" s="116">
        <f t="shared" si="6"/>
        <v>0</v>
      </c>
      <c r="AE26" s="116">
        <f t="shared" si="6"/>
        <v>0</v>
      </c>
      <c r="AF26" s="116">
        <f t="shared" si="6"/>
        <v>0</v>
      </c>
      <c r="AG26" s="116">
        <f t="shared" si="6"/>
        <v>0</v>
      </c>
      <c r="AH26" s="116">
        <f t="shared" si="6"/>
        <v>0</v>
      </c>
      <c r="AI26" s="116">
        <f t="shared" si="6"/>
        <v>0</v>
      </c>
      <c r="AJ26" s="116">
        <f t="shared" si="6"/>
        <v>0</v>
      </c>
      <c r="AK26" s="116">
        <f t="shared" si="6"/>
        <v>0</v>
      </c>
      <c r="AL26" s="116">
        <f t="shared" si="6"/>
        <v>0</v>
      </c>
      <c r="AM26" s="116">
        <f t="shared" si="6"/>
        <v>0</v>
      </c>
      <c r="AN26" s="116">
        <f t="shared" si="6"/>
        <v>0</v>
      </c>
      <c r="AO26" s="116">
        <f t="shared" si="6"/>
        <v>0</v>
      </c>
      <c r="AP26" s="116">
        <f t="shared" si="6"/>
        <v>0</v>
      </c>
    </row>
    <row r="27" spans="1:42" x14ac:dyDescent="0.2">
      <c r="A27" s="21" t="s">
        <v>23</v>
      </c>
      <c r="C27" s="115">
        <f>SUM(C23:C26)</f>
        <v>0</v>
      </c>
      <c r="D27" s="115">
        <f t="shared" ref="D27:AP27" si="7">SUM(D23:D26)</f>
        <v>0</v>
      </c>
      <c r="E27" s="115">
        <f t="shared" si="7"/>
        <v>0</v>
      </c>
      <c r="F27" s="115">
        <f t="shared" si="7"/>
        <v>0</v>
      </c>
      <c r="G27" s="115">
        <f t="shared" si="7"/>
        <v>0</v>
      </c>
      <c r="H27" s="115">
        <f t="shared" si="7"/>
        <v>0</v>
      </c>
      <c r="I27" s="115">
        <f t="shared" si="7"/>
        <v>0</v>
      </c>
      <c r="J27" s="115">
        <f t="shared" si="7"/>
        <v>0</v>
      </c>
      <c r="K27" s="115">
        <f t="shared" si="7"/>
        <v>0</v>
      </c>
      <c r="L27" s="115">
        <f t="shared" si="7"/>
        <v>0</v>
      </c>
      <c r="M27" s="115">
        <f t="shared" si="7"/>
        <v>0</v>
      </c>
      <c r="N27" s="115">
        <f t="shared" si="7"/>
        <v>0</v>
      </c>
      <c r="O27" s="115">
        <f t="shared" si="7"/>
        <v>0</v>
      </c>
      <c r="P27" s="115">
        <f t="shared" si="7"/>
        <v>0</v>
      </c>
      <c r="Q27" s="115">
        <f t="shared" si="7"/>
        <v>0</v>
      </c>
      <c r="R27" s="115">
        <f t="shared" si="7"/>
        <v>0</v>
      </c>
      <c r="S27" s="115">
        <f t="shared" si="7"/>
        <v>0</v>
      </c>
      <c r="T27" s="115">
        <f t="shared" si="7"/>
        <v>0</v>
      </c>
      <c r="U27" s="115">
        <f t="shared" si="7"/>
        <v>0</v>
      </c>
      <c r="V27" s="115">
        <f t="shared" si="7"/>
        <v>0</v>
      </c>
      <c r="W27" s="115">
        <f t="shared" si="7"/>
        <v>0</v>
      </c>
      <c r="X27" s="115">
        <f t="shared" si="7"/>
        <v>0</v>
      </c>
      <c r="Y27" s="115">
        <f t="shared" si="7"/>
        <v>0</v>
      </c>
      <c r="Z27" s="115">
        <f t="shared" si="7"/>
        <v>0</v>
      </c>
      <c r="AA27" s="115">
        <f t="shared" si="7"/>
        <v>0</v>
      </c>
      <c r="AB27" s="115">
        <f t="shared" si="7"/>
        <v>0</v>
      </c>
      <c r="AC27" s="115">
        <f t="shared" si="7"/>
        <v>0</v>
      </c>
      <c r="AD27" s="115">
        <f t="shared" si="7"/>
        <v>0</v>
      </c>
      <c r="AE27" s="115">
        <f t="shared" si="7"/>
        <v>0</v>
      </c>
      <c r="AF27" s="115">
        <f t="shared" si="7"/>
        <v>0</v>
      </c>
      <c r="AG27" s="115">
        <f t="shared" si="7"/>
        <v>0</v>
      </c>
      <c r="AH27" s="115">
        <f t="shared" si="7"/>
        <v>0</v>
      </c>
      <c r="AI27" s="115">
        <f t="shared" si="7"/>
        <v>0</v>
      </c>
      <c r="AJ27" s="115">
        <f t="shared" si="7"/>
        <v>0</v>
      </c>
      <c r="AK27" s="115">
        <f t="shared" si="7"/>
        <v>0</v>
      </c>
      <c r="AL27" s="115">
        <f t="shared" si="7"/>
        <v>0</v>
      </c>
      <c r="AM27" s="115">
        <f t="shared" si="7"/>
        <v>0</v>
      </c>
      <c r="AN27" s="115">
        <f t="shared" si="7"/>
        <v>0</v>
      </c>
      <c r="AO27" s="115">
        <f t="shared" si="7"/>
        <v>0</v>
      </c>
      <c r="AP27" s="115">
        <f t="shared" si="7"/>
        <v>0</v>
      </c>
    </row>
    <row r="28" spans="1:42" x14ac:dyDescent="0.2">
      <c r="A28" s="17" t="s">
        <v>51</v>
      </c>
      <c r="C28" s="115">
        <f t="shared" ref="C28:AP28" si="8">IF(C2=analysis_period,total_installed_cost*salvage_percentage/100,0)</f>
        <v>0</v>
      </c>
      <c r="D28" s="115">
        <f t="shared" si="8"/>
        <v>0</v>
      </c>
      <c r="E28" s="115">
        <f t="shared" si="8"/>
        <v>0</v>
      </c>
      <c r="F28" s="115">
        <f t="shared" si="8"/>
        <v>0</v>
      </c>
      <c r="G28" s="115">
        <f t="shared" si="8"/>
        <v>0</v>
      </c>
      <c r="H28" s="115">
        <f t="shared" si="8"/>
        <v>0</v>
      </c>
      <c r="I28" s="115">
        <f t="shared" si="8"/>
        <v>0</v>
      </c>
      <c r="J28" s="115">
        <f t="shared" si="8"/>
        <v>0</v>
      </c>
      <c r="K28" s="115">
        <f t="shared" si="8"/>
        <v>0</v>
      </c>
      <c r="L28" s="115">
        <f t="shared" si="8"/>
        <v>0</v>
      </c>
      <c r="M28" s="115">
        <f t="shared" si="8"/>
        <v>0</v>
      </c>
      <c r="N28" s="115">
        <f t="shared" si="8"/>
        <v>0</v>
      </c>
      <c r="O28" s="115">
        <f t="shared" si="8"/>
        <v>0</v>
      </c>
      <c r="P28" s="115">
        <f t="shared" si="8"/>
        <v>0</v>
      </c>
      <c r="Q28" s="115">
        <f t="shared" si="8"/>
        <v>0</v>
      </c>
      <c r="R28" s="115">
        <f t="shared" si="8"/>
        <v>0</v>
      </c>
      <c r="S28" s="115">
        <f t="shared" si="8"/>
        <v>0</v>
      </c>
      <c r="T28" s="115">
        <f t="shared" si="8"/>
        <v>0</v>
      </c>
      <c r="U28" s="115">
        <f t="shared" si="8"/>
        <v>0</v>
      </c>
      <c r="V28" s="115">
        <f t="shared" si="8"/>
        <v>0</v>
      </c>
      <c r="W28" s="115">
        <f t="shared" si="8"/>
        <v>0</v>
      </c>
      <c r="X28" s="115">
        <f t="shared" si="8"/>
        <v>0</v>
      </c>
      <c r="Y28" s="115">
        <f t="shared" si="8"/>
        <v>0</v>
      </c>
      <c r="Z28" s="115">
        <f t="shared" si="8"/>
        <v>0</v>
      </c>
      <c r="AA28" s="115">
        <f t="shared" si="8"/>
        <v>0</v>
      </c>
      <c r="AB28" s="115">
        <f t="shared" si="8"/>
        <v>0</v>
      </c>
      <c r="AC28" s="115">
        <f t="shared" si="8"/>
        <v>0</v>
      </c>
      <c r="AD28" s="115">
        <f t="shared" si="8"/>
        <v>0</v>
      </c>
      <c r="AE28" s="115">
        <f t="shared" si="8"/>
        <v>0</v>
      </c>
      <c r="AF28" s="115">
        <f t="shared" si="8"/>
        <v>0</v>
      </c>
      <c r="AG28" s="115">
        <f t="shared" si="8"/>
        <v>0</v>
      </c>
      <c r="AH28" s="115">
        <f t="shared" si="8"/>
        <v>0</v>
      </c>
      <c r="AI28" s="115">
        <f t="shared" si="8"/>
        <v>0</v>
      </c>
      <c r="AJ28" s="115">
        <f t="shared" si="8"/>
        <v>0</v>
      </c>
      <c r="AK28" s="115">
        <f t="shared" si="8"/>
        <v>0</v>
      </c>
      <c r="AL28" s="115">
        <f t="shared" si="8"/>
        <v>0</v>
      </c>
      <c r="AM28" s="115">
        <f t="shared" si="8"/>
        <v>0</v>
      </c>
      <c r="AN28" s="115">
        <f t="shared" si="8"/>
        <v>0</v>
      </c>
      <c r="AO28" s="115">
        <f t="shared" si="8"/>
        <v>0</v>
      </c>
      <c r="AP28" s="115">
        <f t="shared" si="8"/>
        <v>0</v>
      </c>
    </row>
    <row r="29" spans="1:42" x14ac:dyDescent="0.2">
      <c r="A29" s="200" t="s">
        <v>70</v>
      </c>
      <c r="B29" s="27"/>
      <c r="C29" s="133">
        <f t="shared" ref="C29:AP29" si="9">IF(C2&lt;=analysis_period,C$17+SUM(C19:C21)+C$27+C$28,0)</f>
        <v>0</v>
      </c>
      <c r="D29" s="133">
        <f t="shared" si="9"/>
        <v>0</v>
      </c>
      <c r="E29" s="133">
        <f t="shared" si="9"/>
        <v>0</v>
      </c>
      <c r="F29" s="133">
        <f t="shared" si="9"/>
        <v>0</v>
      </c>
      <c r="G29" s="133">
        <f t="shared" si="9"/>
        <v>0</v>
      </c>
      <c r="H29" s="133">
        <f t="shared" si="9"/>
        <v>0</v>
      </c>
      <c r="I29" s="133">
        <f t="shared" si="9"/>
        <v>0</v>
      </c>
      <c r="J29" s="133">
        <f t="shared" si="9"/>
        <v>0</v>
      </c>
      <c r="K29" s="133">
        <f t="shared" si="9"/>
        <v>0</v>
      </c>
      <c r="L29" s="133">
        <f t="shared" si="9"/>
        <v>0</v>
      </c>
      <c r="M29" s="133">
        <f t="shared" si="9"/>
        <v>0</v>
      </c>
      <c r="N29" s="133">
        <f t="shared" si="9"/>
        <v>0</v>
      </c>
      <c r="O29" s="133">
        <f t="shared" si="9"/>
        <v>0</v>
      </c>
      <c r="P29" s="133">
        <f t="shared" si="9"/>
        <v>0</v>
      </c>
      <c r="Q29" s="133">
        <f t="shared" si="9"/>
        <v>0</v>
      </c>
      <c r="R29" s="133">
        <f t="shared" si="9"/>
        <v>0</v>
      </c>
      <c r="S29" s="133">
        <f t="shared" si="9"/>
        <v>0</v>
      </c>
      <c r="T29" s="133">
        <f t="shared" si="9"/>
        <v>0</v>
      </c>
      <c r="U29" s="133">
        <f t="shared" si="9"/>
        <v>0</v>
      </c>
      <c r="V29" s="133">
        <f t="shared" si="9"/>
        <v>0</v>
      </c>
      <c r="W29" s="133">
        <f t="shared" si="9"/>
        <v>0</v>
      </c>
      <c r="X29" s="133">
        <f t="shared" si="9"/>
        <v>0</v>
      </c>
      <c r="Y29" s="133">
        <f t="shared" si="9"/>
        <v>0</v>
      </c>
      <c r="Z29" s="133">
        <f t="shared" si="9"/>
        <v>0</v>
      </c>
      <c r="AA29" s="133">
        <f t="shared" si="9"/>
        <v>0</v>
      </c>
      <c r="AB29" s="133">
        <f t="shared" si="9"/>
        <v>0</v>
      </c>
      <c r="AC29" s="133">
        <f t="shared" si="9"/>
        <v>0</v>
      </c>
      <c r="AD29" s="133">
        <f t="shared" si="9"/>
        <v>0</v>
      </c>
      <c r="AE29" s="133">
        <f t="shared" si="9"/>
        <v>0</v>
      </c>
      <c r="AF29" s="133">
        <f t="shared" si="9"/>
        <v>0</v>
      </c>
      <c r="AG29" s="133">
        <f t="shared" si="9"/>
        <v>0</v>
      </c>
      <c r="AH29" s="133">
        <f t="shared" si="9"/>
        <v>0</v>
      </c>
      <c r="AI29" s="133">
        <f t="shared" si="9"/>
        <v>0</v>
      </c>
      <c r="AJ29" s="133">
        <f t="shared" si="9"/>
        <v>0</v>
      </c>
      <c r="AK29" s="133">
        <f t="shared" si="9"/>
        <v>0</v>
      </c>
      <c r="AL29" s="133">
        <f t="shared" si="9"/>
        <v>0</v>
      </c>
      <c r="AM29" s="133">
        <f t="shared" si="9"/>
        <v>0</v>
      </c>
      <c r="AN29" s="133">
        <f t="shared" si="9"/>
        <v>0</v>
      </c>
      <c r="AO29" s="133">
        <f t="shared" si="9"/>
        <v>0</v>
      </c>
      <c r="AP29" s="133">
        <f t="shared" si="9"/>
        <v>0</v>
      </c>
    </row>
    <row r="30" spans="1:42" x14ac:dyDescent="0.2">
      <c r="A30" s="17"/>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row>
    <row r="31" spans="1:42" x14ac:dyDescent="0.2">
      <c r="A31" s="17" t="s">
        <v>98</v>
      </c>
      <c r="C31" s="115">
        <f>PropertyTaxAssessedValue</f>
        <v>0</v>
      </c>
      <c r="D31" s="115">
        <f t="shared" ref="D31:AP31" si="10">IF(D$2&lt;=analysis_period,PropertyTaxAssessedValue*(100-(D$2-1)*prop_tax_assessed_decline)/100,0)</f>
        <v>0</v>
      </c>
      <c r="E31" s="115">
        <f t="shared" si="10"/>
        <v>0</v>
      </c>
      <c r="F31" s="115">
        <f t="shared" si="10"/>
        <v>0</v>
      </c>
      <c r="G31" s="115">
        <f t="shared" si="10"/>
        <v>0</v>
      </c>
      <c r="H31" s="115">
        <f t="shared" si="10"/>
        <v>0</v>
      </c>
      <c r="I31" s="115">
        <f t="shared" si="10"/>
        <v>0</v>
      </c>
      <c r="J31" s="115">
        <f t="shared" si="10"/>
        <v>0</v>
      </c>
      <c r="K31" s="115">
        <f t="shared" si="10"/>
        <v>0</v>
      </c>
      <c r="L31" s="115">
        <f t="shared" si="10"/>
        <v>0</v>
      </c>
      <c r="M31" s="115">
        <f t="shared" si="10"/>
        <v>0</v>
      </c>
      <c r="N31" s="115">
        <f t="shared" si="10"/>
        <v>0</v>
      </c>
      <c r="O31" s="115">
        <f t="shared" si="10"/>
        <v>0</v>
      </c>
      <c r="P31" s="115">
        <f t="shared" si="10"/>
        <v>0</v>
      </c>
      <c r="Q31" s="115">
        <f t="shared" si="10"/>
        <v>0</v>
      </c>
      <c r="R31" s="115">
        <f t="shared" si="10"/>
        <v>0</v>
      </c>
      <c r="S31" s="115">
        <f t="shared" si="10"/>
        <v>0</v>
      </c>
      <c r="T31" s="115">
        <f t="shared" si="10"/>
        <v>0</v>
      </c>
      <c r="U31" s="115">
        <f t="shared" si="10"/>
        <v>0</v>
      </c>
      <c r="V31" s="115">
        <f t="shared" si="10"/>
        <v>0</v>
      </c>
      <c r="W31" s="115">
        <f t="shared" si="10"/>
        <v>0</v>
      </c>
      <c r="X31" s="115">
        <f t="shared" si="10"/>
        <v>0</v>
      </c>
      <c r="Y31" s="115">
        <f t="shared" si="10"/>
        <v>0</v>
      </c>
      <c r="Z31" s="115">
        <f t="shared" si="10"/>
        <v>0</v>
      </c>
      <c r="AA31" s="115">
        <f t="shared" si="10"/>
        <v>0</v>
      </c>
      <c r="AB31" s="115">
        <f t="shared" si="10"/>
        <v>0</v>
      </c>
      <c r="AC31" s="115">
        <f t="shared" si="10"/>
        <v>0</v>
      </c>
      <c r="AD31" s="115">
        <f t="shared" si="10"/>
        <v>0</v>
      </c>
      <c r="AE31" s="115">
        <f t="shared" si="10"/>
        <v>0</v>
      </c>
      <c r="AF31" s="115">
        <f t="shared" si="10"/>
        <v>0</v>
      </c>
      <c r="AG31" s="115">
        <f t="shared" si="10"/>
        <v>0</v>
      </c>
      <c r="AH31" s="115">
        <f t="shared" si="10"/>
        <v>0</v>
      </c>
      <c r="AI31" s="115">
        <f t="shared" si="10"/>
        <v>0</v>
      </c>
      <c r="AJ31" s="115">
        <f t="shared" si="10"/>
        <v>0</v>
      </c>
      <c r="AK31" s="115">
        <f t="shared" si="10"/>
        <v>0</v>
      </c>
      <c r="AL31" s="115">
        <f t="shared" si="10"/>
        <v>0</v>
      </c>
      <c r="AM31" s="115">
        <f t="shared" si="10"/>
        <v>0</v>
      </c>
      <c r="AN31" s="115">
        <f t="shared" si="10"/>
        <v>0</v>
      </c>
      <c r="AO31" s="115">
        <f t="shared" si="10"/>
        <v>0</v>
      </c>
      <c r="AP31" s="115">
        <f t="shared" si="10"/>
        <v>0</v>
      </c>
    </row>
    <row r="32" spans="1:42" x14ac:dyDescent="0.2">
      <c r="A32" s="21"/>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row>
    <row r="33" spans="1:42" x14ac:dyDescent="0.2">
      <c r="A33" s="19" t="s">
        <v>228</v>
      </c>
      <c r="C33" s="14"/>
      <c r="D33" s="14"/>
      <c r="E33" s="14"/>
      <c r="F33" s="14"/>
      <c r="G33" s="14"/>
      <c r="H33" s="14"/>
      <c r="I33" s="14"/>
      <c r="J33" s="14"/>
      <c r="K33" s="14"/>
      <c r="L33" s="14"/>
      <c r="M33" s="14"/>
      <c r="N33" s="14"/>
      <c r="O33" s="14"/>
      <c r="P33" s="14"/>
      <c r="Q33" s="14"/>
      <c r="R33" s="14"/>
      <c r="S33" s="14"/>
    </row>
    <row r="34" spans="1:42" x14ac:dyDescent="0.2">
      <c r="A34" s="4" t="s">
        <v>209</v>
      </c>
      <c r="C34" s="14"/>
      <c r="D34" s="14"/>
      <c r="E34" s="14"/>
      <c r="F34" s="14"/>
      <c r="G34" s="14"/>
      <c r="H34" s="14"/>
      <c r="I34" s="14"/>
      <c r="J34" s="14"/>
      <c r="K34" s="14"/>
      <c r="L34" s="14"/>
      <c r="M34" s="14"/>
      <c r="N34" s="14"/>
      <c r="O34" s="14"/>
      <c r="P34" s="14"/>
      <c r="Q34" s="14"/>
      <c r="R34" s="14"/>
      <c r="S34" s="14"/>
    </row>
    <row r="35" spans="1:42" x14ac:dyDescent="0.2">
      <c r="A35" s="84" t="s">
        <v>210</v>
      </c>
      <c r="C35" s="115">
        <f>IF(C$2&lt;=analysis_period,IF(om_fixed="n/a",Inputs!D175,om_fixed*(1+inflation_rate/100+om_fixed_escal/100)^B$2),0)</f>
        <v>0</v>
      </c>
      <c r="D35" s="115">
        <f>IF(D$2&lt;=analysis_period,IF(om_fixed="n/a",Inputs!E175,om_fixed*(1+inflation_rate/100+om_fixed_escal/100)^C$2),0)</f>
        <v>0</v>
      </c>
      <c r="E35" s="115">
        <f>IF(E$2&lt;=analysis_period,IF(om_fixed="n/a",Inputs!F175,om_fixed*(1+inflation_rate/100+om_fixed_escal/100)^D$2),0)</f>
        <v>0</v>
      </c>
      <c r="F35" s="115">
        <f>IF(F$2&lt;=analysis_period,IF(om_fixed="n/a",Inputs!G175,om_fixed*(1+inflation_rate/100+om_fixed_escal/100)^E$2),0)</f>
        <v>0</v>
      </c>
      <c r="G35" s="115">
        <f>IF(G$2&lt;=analysis_period,IF(om_fixed="n/a",Inputs!H175,om_fixed*(1+inflation_rate/100+om_fixed_escal/100)^F$2),0)</f>
        <v>0</v>
      </c>
      <c r="H35" s="115">
        <f>IF(H$2&lt;=analysis_period,IF(om_fixed="n/a",Inputs!I175,om_fixed*(1+inflation_rate/100+om_fixed_escal/100)^G$2),0)</f>
        <v>0</v>
      </c>
      <c r="I35" s="115">
        <f>IF(I$2&lt;=analysis_period,IF(om_fixed="n/a",Inputs!J175,om_fixed*(1+inflation_rate/100+om_fixed_escal/100)^H$2),0)</f>
        <v>0</v>
      </c>
      <c r="J35" s="115">
        <f>IF(J$2&lt;=analysis_period,IF(om_fixed="n/a",Inputs!K175,om_fixed*(1+inflation_rate/100+om_fixed_escal/100)^I$2),0)</f>
        <v>0</v>
      </c>
      <c r="K35" s="115">
        <f>IF(K$2&lt;=analysis_period,IF(om_fixed="n/a",Inputs!L175,om_fixed*(1+inflation_rate/100+om_fixed_escal/100)^J$2),0)</f>
        <v>0</v>
      </c>
      <c r="L35" s="115">
        <f>IF(L$2&lt;=analysis_period,IF(om_fixed="n/a",Inputs!M175,om_fixed*(1+inflation_rate/100+om_fixed_escal/100)^K$2),0)</f>
        <v>0</v>
      </c>
      <c r="M35" s="115">
        <f>IF(M$2&lt;=analysis_period,IF(om_fixed="n/a",Inputs!N175,om_fixed*(1+inflation_rate/100+om_fixed_escal/100)^L$2),0)</f>
        <v>0</v>
      </c>
      <c r="N35" s="115">
        <f>IF(N$2&lt;=analysis_period,IF(om_fixed="n/a",Inputs!O175,om_fixed*(1+inflation_rate/100+om_fixed_escal/100)^M$2),0)</f>
        <v>0</v>
      </c>
      <c r="O35" s="115">
        <f>IF(O$2&lt;=analysis_period,IF(om_fixed="n/a",Inputs!P175,om_fixed*(1+inflation_rate/100+om_fixed_escal/100)^N$2),0)</f>
        <v>0</v>
      </c>
      <c r="P35" s="115">
        <f>IF(P$2&lt;=analysis_period,IF(om_fixed="n/a",Inputs!Q175,om_fixed*(1+inflation_rate/100+om_fixed_escal/100)^O$2),0)</f>
        <v>0</v>
      </c>
      <c r="Q35" s="115">
        <f>IF(Q$2&lt;=analysis_period,IF(om_fixed="n/a",Inputs!R175,om_fixed*(1+inflation_rate/100+om_fixed_escal/100)^P$2),0)</f>
        <v>0</v>
      </c>
      <c r="R35" s="115">
        <f>IF(R$2&lt;=analysis_period,IF(om_fixed="n/a",Inputs!S175,om_fixed*(1+inflation_rate/100+om_fixed_escal/100)^Q$2),0)</f>
        <v>0</v>
      </c>
      <c r="S35" s="115">
        <f>IF(S$2&lt;=analysis_period,IF(om_fixed="n/a",Inputs!T175,om_fixed*(1+inflation_rate/100+om_fixed_escal/100)^R$2),0)</f>
        <v>0</v>
      </c>
      <c r="T35" s="115">
        <f>IF(T$2&lt;=analysis_period,IF(om_fixed="n/a",Inputs!U175,om_fixed*(1+inflation_rate/100+om_fixed_escal/100)^S$2),0)</f>
        <v>0</v>
      </c>
      <c r="U35" s="115">
        <f>IF(U$2&lt;=analysis_period,IF(om_fixed="n/a",Inputs!V175,om_fixed*(1+inflation_rate/100+om_fixed_escal/100)^T$2),0)</f>
        <v>0</v>
      </c>
      <c r="V35" s="115">
        <f>IF(V$2&lt;=analysis_period,IF(om_fixed="n/a",Inputs!W175,om_fixed*(1+inflation_rate/100+om_fixed_escal/100)^U$2),0)</f>
        <v>0</v>
      </c>
      <c r="W35" s="115">
        <f>IF(W$2&lt;=analysis_period,IF(om_fixed="n/a",Inputs!X175,om_fixed*(1+inflation_rate/100+om_fixed_escal/100)^V$2),0)</f>
        <v>0</v>
      </c>
      <c r="X35" s="115">
        <f>IF(X$2&lt;=analysis_period,IF(om_fixed="n/a",Inputs!Y175,om_fixed*(1+inflation_rate/100+om_fixed_escal/100)^W$2),0)</f>
        <v>0</v>
      </c>
      <c r="Y35" s="115">
        <f>IF(Y$2&lt;=analysis_period,IF(om_fixed="n/a",Inputs!Z175,om_fixed*(1+inflation_rate/100+om_fixed_escal/100)^X$2),0)</f>
        <v>0</v>
      </c>
      <c r="Z35" s="115">
        <f>IF(Z$2&lt;=analysis_period,IF(om_fixed="n/a",Inputs!AA175,om_fixed*(1+inflation_rate/100+om_fixed_escal/100)^Y$2),0)</f>
        <v>0</v>
      </c>
      <c r="AA35" s="115">
        <f>IF(AA$2&lt;=analysis_period,IF(om_fixed="n/a",Inputs!AB175,om_fixed*(1+inflation_rate/100+om_fixed_escal/100)^Z$2),0)</f>
        <v>0</v>
      </c>
      <c r="AB35" s="115">
        <f>IF(AB$2&lt;=analysis_period,IF(om_fixed="n/a",Inputs!AC175,om_fixed*(1+inflation_rate/100+om_fixed_escal/100)^AA$2),0)</f>
        <v>0</v>
      </c>
      <c r="AC35" s="115">
        <f>IF(AC$2&lt;=analysis_period,IF(om_fixed="n/a",Inputs!AD175,om_fixed*(1+inflation_rate/100+om_fixed_escal/100)^AB$2),0)</f>
        <v>0</v>
      </c>
      <c r="AD35" s="115">
        <f>IF(AD$2&lt;=analysis_period,IF(om_fixed="n/a",Inputs!AE175,om_fixed*(1+inflation_rate/100+om_fixed_escal/100)^AC$2),0)</f>
        <v>0</v>
      </c>
      <c r="AE35" s="115">
        <f>IF(AE$2&lt;=analysis_period,IF(om_fixed="n/a",Inputs!AF175,om_fixed*(1+inflation_rate/100+om_fixed_escal/100)^AD$2),0)</f>
        <v>0</v>
      </c>
      <c r="AF35" s="115">
        <f>IF(AF$2&lt;=analysis_period,IF(om_fixed="n/a",Inputs!AG175,om_fixed*(1+inflation_rate/100+om_fixed_escal/100)^AE$2),0)</f>
        <v>0</v>
      </c>
      <c r="AG35" s="115">
        <f>IF(AG$2&lt;=analysis_period,IF(om_fixed="n/a",Inputs!AH175,om_fixed*(1+inflation_rate/100+om_fixed_escal/100)^AF$2),0)</f>
        <v>0</v>
      </c>
      <c r="AH35" s="115">
        <f>IF(AH$2&lt;=analysis_period,IF(om_fixed="n/a",Inputs!AI175,om_fixed*(1+inflation_rate/100+om_fixed_escal/100)^AG$2),0)</f>
        <v>0</v>
      </c>
      <c r="AI35" s="115">
        <f>IF(AI$2&lt;=analysis_period,IF(om_fixed="n/a",Inputs!AJ175,om_fixed*(1+inflation_rate/100+om_fixed_escal/100)^AH$2),0)</f>
        <v>0</v>
      </c>
      <c r="AJ35" s="115">
        <f>IF(AJ$2&lt;=analysis_period,IF(om_fixed="n/a",Inputs!AK175,om_fixed*(1+inflation_rate/100+om_fixed_escal/100)^AI$2),0)</f>
        <v>0</v>
      </c>
      <c r="AK35" s="115">
        <f>IF(AK$2&lt;=analysis_period,IF(om_fixed="n/a",Inputs!AL175,om_fixed*(1+inflation_rate/100+om_fixed_escal/100)^AJ$2),0)</f>
        <v>0</v>
      </c>
      <c r="AL35" s="115">
        <f>IF(AL$2&lt;=analysis_period,IF(om_fixed="n/a",Inputs!AM175,om_fixed*(1+inflation_rate/100+om_fixed_escal/100)^AK$2),0)</f>
        <v>0</v>
      </c>
      <c r="AM35" s="115">
        <f>IF(AM$2&lt;=analysis_period,IF(om_fixed="n/a",Inputs!AN175,om_fixed*(1+inflation_rate/100+om_fixed_escal/100)^AL$2),0)</f>
        <v>0</v>
      </c>
      <c r="AN35" s="115">
        <f>IF(AN$2&lt;=analysis_period,IF(om_fixed="n/a",Inputs!AO175,om_fixed*(1+inflation_rate/100+om_fixed_escal/100)^AM$2),0)</f>
        <v>0</v>
      </c>
      <c r="AO35" s="115">
        <f>IF(AO$2&lt;=analysis_period,IF(om_fixed="n/a",Inputs!AP175,om_fixed*(1+inflation_rate/100+om_fixed_escal/100)^AN$2),0)</f>
        <v>0</v>
      </c>
      <c r="AP35" s="115">
        <f>IF(AP$2&lt;=analysis_period,IF(om_fixed="n/a",Inputs!AQ175,om_fixed*(1+inflation_rate/100+om_fixed_escal/100)^AO$2),0)</f>
        <v>0</v>
      </c>
    </row>
    <row r="36" spans="1:42" x14ac:dyDescent="0.2">
      <c r="A36" s="84" t="s">
        <v>211</v>
      </c>
    </row>
    <row r="37" spans="1:42" x14ac:dyDescent="0.2">
      <c r="A37" s="85" t="s">
        <v>11</v>
      </c>
      <c r="C37" s="147">
        <f t="shared" ref="C37:AP37" si="11">IF(C$2&lt;=analysis_period,system_capacity,0)</f>
        <v>0</v>
      </c>
      <c r="D37" s="147">
        <f t="shared" si="11"/>
        <v>0</v>
      </c>
      <c r="E37" s="147">
        <f t="shared" si="11"/>
        <v>0</v>
      </c>
      <c r="F37" s="147">
        <f t="shared" si="11"/>
        <v>0</v>
      </c>
      <c r="G37" s="147">
        <f t="shared" si="11"/>
        <v>0</v>
      </c>
      <c r="H37" s="147">
        <f t="shared" si="11"/>
        <v>0</v>
      </c>
      <c r="I37" s="147">
        <f t="shared" si="11"/>
        <v>0</v>
      </c>
      <c r="J37" s="147">
        <f t="shared" si="11"/>
        <v>0</v>
      </c>
      <c r="K37" s="147">
        <f t="shared" si="11"/>
        <v>0</v>
      </c>
      <c r="L37" s="147">
        <f t="shared" si="11"/>
        <v>0</v>
      </c>
      <c r="M37" s="147">
        <f t="shared" si="11"/>
        <v>0</v>
      </c>
      <c r="N37" s="147">
        <f t="shared" si="11"/>
        <v>0</v>
      </c>
      <c r="O37" s="147">
        <f t="shared" si="11"/>
        <v>0</v>
      </c>
      <c r="P37" s="147">
        <f t="shared" si="11"/>
        <v>0</v>
      </c>
      <c r="Q37" s="147">
        <f t="shared" si="11"/>
        <v>0</v>
      </c>
      <c r="R37" s="147">
        <f t="shared" si="11"/>
        <v>0</v>
      </c>
      <c r="S37" s="147">
        <f t="shared" si="11"/>
        <v>0</v>
      </c>
      <c r="T37" s="147">
        <f t="shared" si="11"/>
        <v>0</v>
      </c>
      <c r="U37" s="147">
        <f t="shared" si="11"/>
        <v>0</v>
      </c>
      <c r="V37" s="147">
        <f t="shared" si="11"/>
        <v>0</v>
      </c>
      <c r="W37" s="147">
        <f t="shared" si="11"/>
        <v>0</v>
      </c>
      <c r="X37" s="147">
        <f t="shared" si="11"/>
        <v>0</v>
      </c>
      <c r="Y37" s="147">
        <f t="shared" si="11"/>
        <v>0</v>
      </c>
      <c r="Z37" s="147">
        <f t="shared" si="11"/>
        <v>0</v>
      </c>
      <c r="AA37" s="147">
        <f t="shared" si="11"/>
        <v>0</v>
      </c>
      <c r="AB37" s="147">
        <f t="shared" si="11"/>
        <v>0</v>
      </c>
      <c r="AC37" s="147">
        <f t="shared" si="11"/>
        <v>0</v>
      </c>
      <c r="AD37" s="147">
        <f t="shared" si="11"/>
        <v>0</v>
      </c>
      <c r="AE37" s="147">
        <f t="shared" si="11"/>
        <v>0</v>
      </c>
      <c r="AF37" s="147">
        <f t="shared" si="11"/>
        <v>0</v>
      </c>
      <c r="AG37" s="147">
        <f t="shared" si="11"/>
        <v>0</v>
      </c>
      <c r="AH37" s="147">
        <f t="shared" si="11"/>
        <v>0</v>
      </c>
      <c r="AI37" s="147">
        <f t="shared" si="11"/>
        <v>0</v>
      </c>
      <c r="AJ37" s="147">
        <f t="shared" si="11"/>
        <v>0</v>
      </c>
      <c r="AK37" s="147">
        <f t="shared" si="11"/>
        <v>0</v>
      </c>
      <c r="AL37" s="147">
        <f t="shared" si="11"/>
        <v>0</v>
      </c>
      <c r="AM37" s="147">
        <f t="shared" si="11"/>
        <v>0</v>
      </c>
      <c r="AN37" s="147">
        <f t="shared" si="11"/>
        <v>0</v>
      </c>
      <c r="AO37" s="147">
        <f t="shared" si="11"/>
        <v>0</v>
      </c>
      <c r="AP37" s="147">
        <f t="shared" si="11"/>
        <v>0</v>
      </c>
    </row>
    <row r="38" spans="1:42" x14ac:dyDescent="0.2">
      <c r="A38" s="85" t="s">
        <v>12</v>
      </c>
      <c r="C38" s="145">
        <f>IF(C$2&lt;=analysis_period,IF(om_capacity="n/a",Inputs!D176,om_capacity*(1+inflation_rate/100+om_capacity_escal/100)^B$2),0)</f>
        <v>0</v>
      </c>
      <c r="D38" s="145">
        <f>IF(D$2&lt;=analysis_period,IF(om_capacity="n/a",Inputs!E176,om_capacity*(1+inflation_rate/100+om_capacity_escal/100)^C$2),0)</f>
        <v>0</v>
      </c>
      <c r="E38" s="145">
        <f>IF(E$2&lt;=analysis_period,IF(om_capacity="n/a",Inputs!F176,om_capacity*(1+inflation_rate/100+om_capacity_escal/100)^D$2),0)</f>
        <v>0</v>
      </c>
      <c r="F38" s="145">
        <f>IF(F$2&lt;=analysis_period,IF(om_capacity="n/a",Inputs!G176,om_capacity*(1+inflation_rate/100+om_capacity_escal/100)^E$2),0)</f>
        <v>0</v>
      </c>
      <c r="G38" s="145">
        <f>IF(G$2&lt;=analysis_period,IF(om_capacity="n/a",Inputs!H176,om_capacity*(1+inflation_rate/100+om_capacity_escal/100)^F$2),0)</f>
        <v>0</v>
      </c>
      <c r="H38" s="145">
        <f>IF(H$2&lt;=analysis_period,IF(om_capacity="n/a",Inputs!I176,om_capacity*(1+inflation_rate/100+om_capacity_escal/100)^G$2),0)</f>
        <v>0</v>
      </c>
      <c r="I38" s="145">
        <f>IF(I$2&lt;=analysis_period,IF(om_capacity="n/a",Inputs!J176,om_capacity*(1+inflation_rate/100+om_capacity_escal/100)^H$2),0)</f>
        <v>0</v>
      </c>
      <c r="J38" s="145">
        <f>IF(J$2&lt;=analysis_period,IF(om_capacity="n/a",Inputs!K176,om_capacity*(1+inflation_rate/100+om_capacity_escal/100)^I$2),0)</f>
        <v>0</v>
      </c>
      <c r="K38" s="145">
        <f>IF(K$2&lt;=analysis_period,IF(om_capacity="n/a",Inputs!L176,om_capacity*(1+inflation_rate/100+om_capacity_escal/100)^J$2),0)</f>
        <v>0</v>
      </c>
      <c r="L38" s="145">
        <f>IF(L$2&lt;=analysis_period,IF(om_capacity="n/a",Inputs!M176,om_capacity*(1+inflation_rate/100+om_capacity_escal/100)^K$2),0)</f>
        <v>0</v>
      </c>
      <c r="M38" s="145">
        <f>IF(M$2&lt;=analysis_period,IF(om_capacity="n/a",Inputs!N176,om_capacity*(1+inflation_rate/100+om_capacity_escal/100)^L$2),0)</f>
        <v>0</v>
      </c>
      <c r="N38" s="145">
        <f>IF(N$2&lt;=analysis_period,IF(om_capacity="n/a",Inputs!O176,om_capacity*(1+inflation_rate/100+om_capacity_escal/100)^M$2),0)</f>
        <v>0</v>
      </c>
      <c r="O38" s="145">
        <f>IF(O$2&lt;=analysis_period,IF(om_capacity="n/a",Inputs!P176,om_capacity*(1+inflation_rate/100+om_capacity_escal/100)^N$2),0)</f>
        <v>0</v>
      </c>
      <c r="P38" s="145">
        <f>IF(P$2&lt;=analysis_period,IF(om_capacity="n/a",Inputs!Q176,om_capacity*(1+inflation_rate/100+om_capacity_escal/100)^O$2),0)</f>
        <v>0</v>
      </c>
      <c r="Q38" s="145">
        <f>IF(Q$2&lt;=analysis_period,IF(om_capacity="n/a",Inputs!R176,om_capacity*(1+inflation_rate/100+om_capacity_escal/100)^P$2),0)</f>
        <v>0</v>
      </c>
      <c r="R38" s="145">
        <f>IF(R$2&lt;=analysis_period,IF(om_capacity="n/a",Inputs!S176,om_capacity*(1+inflation_rate/100+om_capacity_escal/100)^Q$2),0)</f>
        <v>0</v>
      </c>
      <c r="S38" s="145">
        <f>IF(S$2&lt;=analysis_period,IF(om_capacity="n/a",Inputs!T176,om_capacity*(1+inflation_rate/100+om_capacity_escal/100)^R$2),0)</f>
        <v>0</v>
      </c>
      <c r="T38" s="145">
        <f>IF(T$2&lt;=analysis_period,IF(om_capacity="n/a",Inputs!U176,om_capacity*(1+inflation_rate/100+om_capacity_escal/100)^S$2),0)</f>
        <v>0</v>
      </c>
      <c r="U38" s="145">
        <f>IF(U$2&lt;=analysis_period,IF(om_capacity="n/a",Inputs!V176,om_capacity*(1+inflation_rate/100+om_capacity_escal/100)^T$2),0)</f>
        <v>0</v>
      </c>
      <c r="V38" s="145">
        <f>IF(V$2&lt;=analysis_period,IF(om_capacity="n/a",Inputs!W176,om_capacity*(1+inflation_rate/100+om_capacity_escal/100)^U$2),0)</f>
        <v>0</v>
      </c>
      <c r="W38" s="145">
        <f>IF(W$2&lt;=analysis_period,IF(om_capacity="n/a",Inputs!X176,om_capacity*(1+inflation_rate/100+om_capacity_escal/100)^V$2),0)</f>
        <v>0</v>
      </c>
      <c r="X38" s="145">
        <f>IF(X$2&lt;=analysis_period,IF(om_capacity="n/a",Inputs!Y176,om_capacity*(1+inflation_rate/100+om_capacity_escal/100)^W$2),0)</f>
        <v>0</v>
      </c>
      <c r="Y38" s="145">
        <f>IF(Y$2&lt;=analysis_period,IF(om_capacity="n/a",Inputs!Z176,om_capacity*(1+inflation_rate/100+om_capacity_escal/100)^X$2),0)</f>
        <v>0</v>
      </c>
      <c r="Z38" s="145">
        <f>IF(Z$2&lt;=analysis_period,IF(om_capacity="n/a",Inputs!AA176,om_capacity*(1+inflation_rate/100+om_capacity_escal/100)^Y$2),0)</f>
        <v>0</v>
      </c>
      <c r="AA38" s="145">
        <f>IF(AA$2&lt;=analysis_period,IF(om_capacity="n/a",Inputs!AB176,om_capacity*(1+inflation_rate/100+om_capacity_escal/100)^Z$2),0)</f>
        <v>0</v>
      </c>
      <c r="AB38" s="145">
        <f>IF(AB$2&lt;=analysis_period,IF(om_capacity="n/a",Inputs!AC176,om_capacity*(1+inflation_rate/100+om_capacity_escal/100)^AA$2),0)</f>
        <v>0</v>
      </c>
      <c r="AC38" s="145">
        <f>IF(AC$2&lt;=analysis_period,IF(om_capacity="n/a",Inputs!AD176,om_capacity*(1+inflation_rate/100+om_capacity_escal/100)^AB$2),0)</f>
        <v>0</v>
      </c>
      <c r="AD38" s="145">
        <f>IF(AD$2&lt;=analysis_period,IF(om_capacity="n/a",Inputs!AE176,om_capacity*(1+inflation_rate/100+om_capacity_escal/100)^AC$2),0)</f>
        <v>0</v>
      </c>
      <c r="AE38" s="145">
        <f>IF(AE$2&lt;=analysis_period,IF(om_capacity="n/a",Inputs!AF176,om_capacity*(1+inflation_rate/100+om_capacity_escal/100)^AD$2),0)</f>
        <v>0</v>
      </c>
      <c r="AF38" s="145">
        <f>IF(AF$2&lt;=analysis_period,IF(om_capacity="n/a",Inputs!AG176,om_capacity*(1+inflation_rate/100+om_capacity_escal/100)^AE$2),0)</f>
        <v>0</v>
      </c>
      <c r="AG38" s="145">
        <f>IF(AG$2&lt;=analysis_period,IF(om_capacity="n/a",Inputs!AH176,om_capacity*(1+inflation_rate/100+om_capacity_escal/100)^AF$2),0)</f>
        <v>0</v>
      </c>
      <c r="AH38" s="145">
        <f>IF(AH$2&lt;=analysis_period,IF(om_capacity="n/a",Inputs!AI176,om_capacity*(1+inflation_rate/100+om_capacity_escal/100)^AG$2),0)</f>
        <v>0</v>
      </c>
      <c r="AI38" s="145">
        <f>IF(AI$2&lt;=analysis_period,IF(om_capacity="n/a",Inputs!AJ176,om_capacity*(1+inflation_rate/100+om_capacity_escal/100)^AH$2),0)</f>
        <v>0</v>
      </c>
      <c r="AJ38" s="145">
        <f>IF(AJ$2&lt;=analysis_period,IF(om_capacity="n/a",Inputs!AK176,om_capacity*(1+inflation_rate/100+om_capacity_escal/100)^AI$2),0)</f>
        <v>0</v>
      </c>
      <c r="AK38" s="145">
        <f>IF(AK$2&lt;=analysis_period,IF(om_capacity="n/a",Inputs!AL176,om_capacity*(1+inflation_rate/100+om_capacity_escal/100)^AJ$2),0)</f>
        <v>0</v>
      </c>
      <c r="AL38" s="145">
        <f>IF(AL$2&lt;=analysis_period,IF(om_capacity="n/a",Inputs!AM176,om_capacity*(1+inflation_rate/100+om_capacity_escal/100)^AK$2),0)</f>
        <v>0</v>
      </c>
      <c r="AM38" s="145">
        <f>IF(AM$2&lt;=analysis_period,IF(om_capacity="n/a",Inputs!AN176,om_capacity*(1+inflation_rate/100+om_capacity_escal/100)^AL$2),0)</f>
        <v>0</v>
      </c>
      <c r="AN38" s="145">
        <f>IF(AN$2&lt;=analysis_period,IF(om_capacity="n/a",Inputs!AO176,om_capacity*(1+inflation_rate/100+om_capacity_escal/100)^AM$2),0)</f>
        <v>0</v>
      </c>
      <c r="AO38" s="145">
        <f>IF(AO$2&lt;=analysis_period,IF(om_capacity="n/a",Inputs!AP176,om_capacity*(1+inflation_rate/100+om_capacity_escal/100)^AN$2),0)</f>
        <v>0</v>
      </c>
      <c r="AP38" s="145">
        <f>IF(AP$2&lt;=analysis_period,IF(om_capacity="n/a",Inputs!AQ176,om_capacity*(1+inflation_rate/100+om_capacity_escal/100)^AO$2),0)</f>
        <v>0</v>
      </c>
    </row>
    <row r="39" spans="1:42" x14ac:dyDescent="0.2">
      <c r="A39" s="85" t="s">
        <v>100</v>
      </c>
      <c r="C39" s="115">
        <f>C37*C38</f>
        <v>0</v>
      </c>
      <c r="D39" s="115">
        <f t="shared" ref="D39:AP39" si="12">D37*D38</f>
        <v>0</v>
      </c>
      <c r="E39" s="115">
        <f t="shared" si="12"/>
        <v>0</v>
      </c>
      <c r="F39" s="115">
        <f t="shared" si="12"/>
        <v>0</v>
      </c>
      <c r="G39" s="115">
        <f t="shared" si="12"/>
        <v>0</v>
      </c>
      <c r="H39" s="115">
        <f t="shared" si="12"/>
        <v>0</v>
      </c>
      <c r="I39" s="115">
        <f t="shared" si="12"/>
        <v>0</v>
      </c>
      <c r="J39" s="115">
        <f t="shared" si="12"/>
        <v>0</v>
      </c>
      <c r="K39" s="115">
        <f t="shared" si="12"/>
        <v>0</v>
      </c>
      <c r="L39" s="115">
        <f t="shared" si="12"/>
        <v>0</v>
      </c>
      <c r="M39" s="115">
        <f t="shared" si="12"/>
        <v>0</v>
      </c>
      <c r="N39" s="115">
        <f t="shared" si="12"/>
        <v>0</v>
      </c>
      <c r="O39" s="115">
        <f t="shared" si="12"/>
        <v>0</v>
      </c>
      <c r="P39" s="115">
        <f t="shared" si="12"/>
        <v>0</v>
      </c>
      <c r="Q39" s="115">
        <f t="shared" si="12"/>
        <v>0</v>
      </c>
      <c r="R39" s="115">
        <f t="shared" si="12"/>
        <v>0</v>
      </c>
      <c r="S39" s="115">
        <f t="shared" si="12"/>
        <v>0</v>
      </c>
      <c r="T39" s="115">
        <f t="shared" si="12"/>
        <v>0</v>
      </c>
      <c r="U39" s="115">
        <f t="shared" si="12"/>
        <v>0</v>
      </c>
      <c r="V39" s="115">
        <f t="shared" si="12"/>
        <v>0</v>
      </c>
      <c r="W39" s="115">
        <f t="shared" si="12"/>
        <v>0</v>
      </c>
      <c r="X39" s="115">
        <f t="shared" si="12"/>
        <v>0</v>
      </c>
      <c r="Y39" s="115">
        <f t="shared" si="12"/>
        <v>0</v>
      </c>
      <c r="Z39" s="115">
        <f t="shared" si="12"/>
        <v>0</v>
      </c>
      <c r="AA39" s="115">
        <f t="shared" si="12"/>
        <v>0</v>
      </c>
      <c r="AB39" s="115">
        <f t="shared" si="12"/>
        <v>0</v>
      </c>
      <c r="AC39" s="115">
        <f t="shared" si="12"/>
        <v>0</v>
      </c>
      <c r="AD39" s="115">
        <f t="shared" si="12"/>
        <v>0</v>
      </c>
      <c r="AE39" s="115">
        <f t="shared" si="12"/>
        <v>0</v>
      </c>
      <c r="AF39" s="115">
        <f t="shared" si="12"/>
        <v>0</v>
      </c>
      <c r="AG39" s="115">
        <f t="shared" si="12"/>
        <v>0</v>
      </c>
      <c r="AH39" s="115">
        <f t="shared" si="12"/>
        <v>0</v>
      </c>
      <c r="AI39" s="115">
        <f t="shared" si="12"/>
        <v>0</v>
      </c>
      <c r="AJ39" s="115">
        <f t="shared" si="12"/>
        <v>0</v>
      </c>
      <c r="AK39" s="115">
        <f t="shared" si="12"/>
        <v>0</v>
      </c>
      <c r="AL39" s="115">
        <f t="shared" si="12"/>
        <v>0</v>
      </c>
      <c r="AM39" s="115">
        <f t="shared" si="12"/>
        <v>0</v>
      </c>
      <c r="AN39" s="115">
        <f t="shared" si="12"/>
        <v>0</v>
      </c>
      <c r="AO39" s="115">
        <f t="shared" si="12"/>
        <v>0</v>
      </c>
      <c r="AP39" s="115">
        <f t="shared" si="12"/>
        <v>0</v>
      </c>
    </row>
    <row r="40" spans="1:42" x14ac:dyDescent="0.2">
      <c r="A40" s="84" t="s">
        <v>212</v>
      </c>
    </row>
    <row r="41" spans="1:42" x14ac:dyDescent="0.2">
      <c r="A41" s="85" t="s">
        <v>14</v>
      </c>
      <c r="C41" s="115">
        <f>IF(C$8&gt;0,C$8,C$5)/1000</f>
        <v>0</v>
      </c>
      <c r="D41" s="115">
        <f t="shared" ref="D41:AP41" si="13">IF(D$8&gt;0,D$8,D$5)/1000</f>
        <v>0</v>
      </c>
      <c r="E41" s="115">
        <f t="shared" si="13"/>
        <v>0</v>
      </c>
      <c r="F41" s="115">
        <f t="shared" si="13"/>
        <v>0</v>
      </c>
      <c r="G41" s="115">
        <f t="shared" si="13"/>
        <v>0</v>
      </c>
      <c r="H41" s="115">
        <f t="shared" si="13"/>
        <v>0</v>
      </c>
      <c r="I41" s="115">
        <f t="shared" si="13"/>
        <v>0</v>
      </c>
      <c r="J41" s="115">
        <f t="shared" si="13"/>
        <v>0</v>
      </c>
      <c r="K41" s="115">
        <f t="shared" si="13"/>
        <v>0</v>
      </c>
      <c r="L41" s="115">
        <f t="shared" si="13"/>
        <v>0</v>
      </c>
      <c r="M41" s="115">
        <f t="shared" si="13"/>
        <v>0</v>
      </c>
      <c r="N41" s="115">
        <f t="shared" si="13"/>
        <v>0</v>
      </c>
      <c r="O41" s="115">
        <f t="shared" si="13"/>
        <v>0</v>
      </c>
      <c r="P41" s="115">
        <f t="shared" si="13"/>
        <v>0</v>
      </c>
      <c r="Q41" s="115">
        <f t="shared" si="13"/>
        <v>0</v>
      </c>
      <c r="R41" s="115">
        <f t="shared" si="13"/>
        <v>0</v>
      </c>
      <c r="S41" s="115">
        <f t="shared" si="13"/>
        <v>0</v>
      </c>
      <c r="T41" s="115">
        <f t="shared" si="13"/>
        <v>0</v>
      </c>
      <c r="U41" s="115">
        <f t="shared" si="13"/>
        <v>0</v>
      </c>
      <c r="V41" s="115">
        <f t="shared" si="13"/>
        <v>0</v>
      </c>
      <c r="W41" s="115">
        <f t="shared" si="13"/>
        <v>0</v>
      </c>
      <c r="X41" s="115">
        <f t="shared" si="13"/>
        <v>0</v>
      </c>
      <c r="Y41" s="115">
        <f t="shared" si="13"/>
        <v>0</v>
      </c>
      <c r="Z41" s="115">
        <f t="shared" si="13"/>
        <v>0</v>
      </c>
      <c r="AA41" s="115">
        <f t="shared" si="13"/>
        <v>0</v>
      </c>
      <c r="AB41" s="115">
        <f t="shared" si="13"/>
        <v>0</v>
      </c>
      <c r="AC41" s="115">
        <f t="shared" si="13"/>
        <v>0</v>
      </c>
      <c r="AD41" s="115">
        <f t="shared" si="13"/>
        <v>0</v>
      </c>
      <c r="AE41" s="115">
        <f t="shared" si="13"/>
        <v>0</v>
      </c>
      <c r="AF41" s="115">
        <f t="shared" si="13"/>
        <v>0</v>
      </c>
      <c r="AG41" s="115">
        <f t="shared" si="13"/>
        <v>0</v>
      </c>
      <c r="AH41" s="115">
        <f t="shared" si="13"/>
        <v>0</v>
      </c>
      <c r="AI41" s="115">
        <f t="shared" si="13"/>
        <v>0</v>
      </c>
      <c r="AJ41" s="115">
        <f t="shared" si="13"/>
        <v>0</v>
      </c>
      <c r="AK41" s="115">
        <f t="shared" si="13"/>
        <v>0</v>
      </c>
      <c r="AL41" s="115">
        <f t="shared" si="13"/>
        <v>0</v>
      </c>
      <c r="AM41" s="115">
        <f t="shared" si="13"/>
        <v>0</v>
      </c>
      <c r="AN41" s="115">
        <f t="shared" si="13"/>
        <v>0</v>
      </c>
      <c r="AO41" s="115">
        <f t="shared" si="13"/>
        <v>0</v>
      </c>
      <c r="AP41" s="115">
        <f t="shared" si="13"/>
        <v>0</v>
      </c>
    </row>
    <row r="42" spans="1:42" x14ac:dyDescent="0.2">
      <c r="A42" s="85" t="s">
        <v>15</v>
      </c>
      <c r="C42" s="145">
        <f>IF(C$2&lt;=analysis_period,IF(om_production="n/a",Inputs!D177,om_production*(1+inflation_rate/100+om_production_escal/100)^B$2),0)</f>
        <v>0</v>
      </c>
      <c r="D42" s="145">
        <f>IF(D$2&lt;=analysis_period,IF(om_production="n/a",Inputs!E177,om_production*(1+inflation_rate/100+om_production_escal/100)^C$2),0)</f>
        <v>0</v>
      </c>
      <c r="E42" s="145">
        <f>IF(E$2&lt;=analysis_period,IF(om_production="n/a",Inputs!F177,om_production*(1+inflation_rate/100+om_production_escal/100)^D$2),0)</f>
        <v>0</v>
      </c>
      <c r="F42" s="145">
        <f>IF(F$2&lt;=analysis_period,IF(om_production="n/a",Inputs!G177,om_production*(1+inflation_rate/100+om_production_escal/100)^E$2),0)</f>
        <v>0</v>
      </c>
      <c r="G42" s="145">
        <f>IF(G$2&lt;=analysis_period,IF(om_production="n/a",Inputs!H177,om_production*(1+inflation_rate/100+om_production_escal/100)^F$2),0)</f>
        <v>0</v>
      </c>
      <c r="H42" s="145">
        <f>IF(H$2&lt;=analysis_period,IF(om_production="n/a",Inputs!I177,om_production*(1+inflation_rate/100+om_production_escal/100)^G$2),0)</f>
        <v>0</v>
      </c>
      <c r="I42" s="145">
        <f>IF(I$2&lt;=analysis_period,IF(om_production="n/a",Inputs!J177,om_production*(1+inflation_rate/100+om_production_escal/100)^H$2),0)</f>
        <v>0</v>
      </c>
      <c r="J42" s="145">
        <f>IF(J$2&lt;=analysis_period,IF(om_production="n/a",Inputs!K177,om_production*(1+inflation_rate/100+om_production_escal/100)^I$2),0)</f>
        <v>0</v>
      </c>
      <c r="K42" s="145">
        <f>IF(K$2&lt;=analysis_period,IF(om_production="n/a",Inputs!L177,om_production*(1+inflation_rate/100+om_production_escal/100)^J$2),0)</f>
        <v>0</v>
      </c>
      <c r="L42" s="145">
        <f>IF(L$2&lt;=analysis_period,IF(om_production="n/a",Inputs!M177,om_production*(1+inflation_rate/100+om_production_escal/100)^K$2),0)</f>
        <v>0</v>
      </c>
      <c r="M42" s="145">
        <f>IF(M$2&lt;=analysis_period,IF(om_production="n/a",Inputs!N177,om_production*(1+inflation_rate/100+om_production_escal/100)^L$2),0)</f>
        <v>0</v>
      </c>
      <c r="N42" s="145">
        <f>IF(N$2&lt;=analysis_period,IF(om_production="n/a",Inputs!O177,om_production*(1+inflation_rate/100+om_production_escal/100)^M$2),0)</f>
        <v>0</v>
      </c>
      <c r="O42" s="145">
        <f>IF(O$2&lt;=analysis_period,IF(om_production="n/a",Inputs!P177,om_production*(1+inflation_rate/100+om_production_escal/100)^N$2),0)</f>
        <v>0</v>
      </c>
      <c r="P42" s="145">
        <f>IF(P$2&lt;=analysis_period,IF(om_production="n/a",Inputs!Q177,om_production*(1+inflation_rate/100+om_production_escal/100)^O$2),0)</f>
        <v>0</v>
      </c>
      <c r="Q42" s="145">
        <f>IF(Q$2&lt;=analysis_period,IF(om_production="n/a",Inputs!R177,om_production*(1+inflation_rate/100+om_production_escal/100)^P$2),0)</f>
        <v>0</v>
      </c>
      <c r="R42" s="145">
        <f>IF(R$2&lt;=analysis_period,IF(om_production="n/a",Inputs!S177,om_production*(1+inflation_rate/100+om_production_escal/100)^Q$2),0)</f>
        <v>0</v>
      </c>
      <c r="S42" s="145">
        <f>IF(S$2&lt;=analysis_period,IF(om_production="n/a",Inputs!T177,om_production*(1+inflation_rate/100+om_production_escal/100)^R$2),0)</f>
        <v>0</v>
      </c>
      <c r="T42" s="145">
        <f>IF(T$2&lt;=analysis_period,IF(om_production="n/a",Inputs!U177,om_production*(1+inflation_rate/100+om_production_escal/100)^S$2),0)</f>
        <v>0</v>
      </c>
      <c r="U42" s="145">
        <f>IF(U$2&lt;=analysis_period,IF(om_production="n/a",Inputs!V177,om_production*(1+inflation_rate/100+om_production_escal/100)^T$2),0)</f>
        <v>0</v>
      </c>
      <c r="V42" s="145">
        <f>IF(V$2&lt;=analysis_period,IF(om_production="n/a",Inputs!W177,om_production*(1+inflation_rate/100+om_production_escal/100)^U$2),0)</f>
        <v>0</v>
      </c>
      <c r="W42" s="145">
        <f>IF(W$2&lt;=analysis_period,IF(om_production="n/a",Inputs!X177,om_production*(1+inflation_rate/100+om_production_escal/100)^V$2),0)</f>
        <v>0</v>
      </c>
      <c r="X42" s="145">
        <f>IF(X$2&lt;=analysis_period,IF(om_production="n/a",Inputs!Y177,om_production*(1+inflation_rate/100+om_production_escal/100)^W$2),0)</f>
        <v>0</v>
      </c>
      <c r="Y42" s="145">
        <f>IF(Y$2&lt;=analysis_period,IF(om_production="n/a",Inputs!Z177,om_production*(1+inflation_rate/100+om_production_escal/100)^X$2),0)</f>
        <v>0</v>
      </c>
      <c r="Z42" s="145">
        <f>IF(Z$2&lt;=analysis_period,IF(om_production="n/a",Inputs!AA177,om_production*(1+inflation_rate/100+om_production_escal/100)^Y$2),0)</f>
        <v>0</v>
      </c>
      <c r="AA42" s="145">
        <f>IF(AA$2&lt;=analysis_period,IF(om_production="n/a",Inputs!AB177,om_production*(1+inflation_rate/100+om_production_escal/100)^Z$2),0)</f>
        <v>0</v>
      </c>
      <c r="AB42" s="145">
        <f>IF(AB$2&lt;=analysis_period,IF(om_production="n/a",Inputs!AC177,om_production*(1+inflation_rate/100+om_production_escal/100)^AA$2),0)</f>
        <v>0</v>
      </c>
      <c r="AC42" s="145">
        <f>IF(AC$2&lt;=analysis_period,IF(om_production="n/a",Inputs!AD177,om_production*(1+inflation_rate/100+om_production_escal/100)^AB$2),0)</f>
        <v>0</v>
      </c>
      <c r="AD42" s="145">
        <f>IF(AD$2&lt;=analysis_period,IF(om_production="n/a",Inputs!AE177,om_production*(1+inflation_rate/100+om_production_escal/100)^AC$2),0)</f>
        <v>0</v>
      </c>
      <c r="AE42" s="145">
        <f>IF(AE$2&lt;=analysis_period,IF(om_production="n/a",Inputs!AF177,om_production*(1+inflation_rate/100+om_production_escal/100)^AD$2),0)</f>
        <v>0</v>
      </c>
      <c r="AF42" s="145">
        <f>IF(AF$2&lt;=analysis_period,IF(om_production="n/a",Inputs!AG177,om_production*(1+inflation_rate/100+om_production_escal/100)^AE$2),0)</f>
        <v>0</v>
      </c>
      <c r="AG42" s="145">
        <f>IF(AG$2&lt;=analysis_period,IF(om_production="n/a",Inputs!AH177,om_production*(1+inflation_rate/100+om_production_escal/100)^AF$2),0)</f>
        <v>0</v>
      </c>
      <c r="AH42" s="145">
        <f>IF(AH$2&lt;=analysis_period,IF(om_production="n/a",Inputs!AI177,om_production*(1+inflation_rate/100+om_production_escal/100)^AG$2),0)</f>
        <v>0</v>
      </c>
      <c r="AI42" s="145">
        <f>IF(AI$2&lt;=analysis_period,IF(om_production="n/a",Inputs!AJ177,om_production*(1+inflation_rate/100+om_production_escal/100)^AH$2),0)</f>
        <v>0</v>
      </c>
      <c r="AJ42" s="145">
        <f>IF(AJ$2&lt;=analysis_period,IF(om_production="n/a",Inputs!AK177,om_production*(1+inflation_rate/100+om_production_escal/100)^AI$2),0)</f>
        <v>0</v>
      </c>
      <c r="AK42" s="145">
        <f>IF(AK$2&lt;=analysis_period,IF(om_production="n/a",Inputs!AL177,om_production*(1+inflation_rate/100+om_production_escal/100)^AJ$2),0)</f>
        <v>0</v>
      </c>
      <c r="AL42" s="145">
        <f>IF(AL$2&lt;=analysis_period,IF(om_production="n/a",Inputs!AM177,om_production*(1+inflation_rate/100+om_production_escal/100)^AK$2),0)</f>
        <v>0</v>
      </c>
      <c r="AM42" s="145">
        <f>IF(AM$2&lt;=analysis_period,IF(om_production="n/a",Inputs!AN177,om_production*(1+inflation_rate/100+om_production_escal/100)^AL$2),0)</f>
        <v>0</v>
      </c>
      <c r="AN42" s="145">
        <f>IF(AN$2&lt;=analysis_period,IF(om_production="n/a",Inputs!AO177,om_production*(1+inflation_rate/100+om_production_escal/100)^AM$2),0)</f>
        <v>0</v>
      </c>
      <c r="AO42" s="145">
        <f>IF(AO$2&lt;=analysis_period,IF(om_production="n/a",Inputs!AP177,om_production*(1+inflation_rate/100+om_production_escal/100)^AN$2),0)</f>
        <v>0</v>
      </c>
      <c r="AP42" s="145">
        <f>IF(AP$2&lt;=analysis_period,IF(om_production="n/a",Inputs!AQ177,om_production*(1+inflation_rate/100+om_production_escal/100)^AO$2),0)</f>
        <v>0</v>
      </c>
    </row>
    <row r="43" spans="1:42" x14ac:dyDescent="0.2">
      <c r="A43" s="85" t="s">
        <v>99</v>
      </c>
      <c r="C43" s="148">
        <f>C41*C42</f>
        <v>0</v>
      </c>
      <c r="D43" s="148">
        <f t="shared" ref="D43:AP43" si="14">D41*D42</f>
        <v>0</v>
      </c>
      <c r="E43" s="148">
        <f t="shared" si="14"/>
        <v>0</v>
      </c>
      <c r="F43" s="148">
        <f t="shared" si="14"/>
        <v>0</v>
      </c>
      <c r="G43" s="148">
        <f t="shared" si="14"/>
        <v>0</v>
      </c>
      <c r="H43" s="148">
        <f t="shared" si="14"/>
        <v>0</v>
      </c>
      <c r="I43" s="148">
        <f t="shared" si="14"/>
        <v>0</v>
      </c>
      <c r="J43" s="148">
        <f t="shared" si="14"/>
        <v>0</v>
      </c>
      <c r="K43" s="148">
        <f t="shared" si="14"/>
        <v>0</v>
      </c>
      <c r="L43" s="148">
        <f t="shared" si="14"/>
        <v>0</v>
      </c>
      <c r="M43" s="148">
        <f t="shared" si="14"/>
        <v>0</v>
      </c>
      <c r="N43" s="148">
        <f t="shared" si="14"/>
        <v>0</v>
      </c>
      <c r="O43" s="148">
        <f t="shared" si="14"/>
        <v>0</v>
      </c>
      <c r="P43" s="148">
        <f t="shared" si="14"/>
        <v>0</v>
      </c>
      <c r="Q43" s="148">
        <f t="shared" si="14"/>
        <v>0</v>
      </c>
      <c r="R43" s="148">
        <f t="shared" si="14"/>
        <v>0</v>
      </c>
      <c r="S43" s="148">
        <f t="shared" si="14"/>
        <v>0</v>
      </c>
      <c r="T43" s="148">
        <f t="shared" si="14"/>
        <v>0</v>
      </c>
      <c r="U43" s="148">
        <f t="shared" si="14"/>
        <v>0</v>
      </c>
      <c r="V43" s="148">
        <f t="shared" si="14"/>
        <v>0</v>
      </c>
      <c r="W43" s="148">
        <f t="shared" si="14"/>
        <v>0</v>
      </c>
      <c r="X43" s="148">
        <f t="shared" si="14"/>
        <v>0</v>
      </c>
      <c r="Y43" s="148">
        <f t="shared" si="14"/>
        <v>0</v>
      </c>
      <c r="Z43" s="148">
        <f t="shared" si="14"/>
        <v>0</v>
      </c>
      <c r="AA43" s="148">
        <f t="shared" si="14"/>
        <v>0</v>
      </c>
      <c r="AB43" s="148">
        <f t="shared" si="14"/>
        <v>0</v>
      </c>
      <c r="AC43" s="148">
        <f t="shared" si="14"/>
        <v>0</v>
      </c>
      <c r="AD43" s="148">
        <f t="shared" si="14"/>
        <v>0</v>
      </c>
      <c r="AE43" s="148">
        <f t="shared" si="14"/>
        <v>0</v>
      </c>
      <c r="AF43" s="148">
        <f t="shared" si="14"/>
        <v>0</v>
      </c>
      <c r="AG43" s="148">
        <f t="shared" si="14"/>
        <v>0</v>
      </c>
      <c r="AH43" s="148">
        <f t="shared" si="14"/>
        <v>0</v>
      </c>
      <c r="AI43" s="148">
        <f t="shared" si="14"/>
        <v>0</v>
      </c>
      <c r="AJ43" s="148">
        <f t="shared" si="14"/>
        <v>0</v>
      </c>
      <c r="AK43" s="148">
        <f t="shared" si="14"/>
        <v>0</v>
      </c>
      <c r="AL43" s="148">
        <f t="shared" si="14"/>
        <v>0</v>
      </c>
      <c r="AM43" s="148">
        <f t="shared" si="14"/>
        <v>0</v>
      </c>
      <c r="AN43" s="148">
        <f t="shared" si="14"/>
        <v>0</v>
      </c>
      <c r="AO43" s="148">
        <f t="shared" si="14"/>
        <v>0</v>
      </c>
      <c r="AP43" s="148">
        <f t="shared" si="14"/>
        <v>0</v>
      </c>
    </row>
    <row r="44" spans="1:42" x14ac:dyDescent="0.2">
      <c r="A44" s="84" t="s">
        <v>298</v>
      </c>
      <c r="C44" s="115">
        <f t="array" ref="C44:AP44">Inputs!D197:AQ197</f>
        <v>0</v>
      </c>
      <c r="D44" s="115">
        <v>0</v>
      </c>
      <c r="E44" s="115">
        <v>0</v>
      </c>
      <c r="F44" s="115">
        <v>0</v>
      </c>
      <c r="G44" s="115">
        <v>0</v>
      </c>
      <c r="H44" s="115">
        <v>0</v>
      </c>
      <c r="I44" s="115">
        <v>0</v>
      </c>
      <c r="J44" s="115">
        <v>0</v>
      </c>
      <c r="K44" s="115">
        <v>0</v>
      </c>
      <c r="L44" s="115">
        <v>0</v>
      </c>
      <c r="M44" s="115">
        <v>0</v>
      </c>
      <c r="N44" s="115">
        <v>0</v>
      </c>
      <c r="O44" s="115">
        <v>0</v>
      </c>
      <c r="P44" s="115">
        <v>0</v>
      </c>
      <c r="Q44" s="115">
        <v>0</v>
      </c>
      <c r="R44" s="115">
        <v>0</v>
      </c>
      <c r="S44" s="115">
        <v>0</v>
      </c>
      <c r="T44" s="115">
        <v>0</v>
      </c>
      <c r="U44" s="115">
        <v>0</v>
      </c>
      <c r="V44" s="115">
        <v>0</v>
      </c>
      <c r="W44" s="115">
        <v>0</v>
      </c>
      <c r="X44" s="115">
        <v>0</v>
      </c>
      <c r="Y44" s="115">
        <v>0</v>
      </c>
      <c r="Z44" s="115">
        <v>0</v>
      </c>
      <c r="AA44" s="115">
        <v>0</v>
      </c>
      <c r="AB44" s="115">
        <v>0</v>
      </c>
      <c r="AC44" s="115">
        <v>0</v>
      </c>
      <c r="AD44" s="115">
        <v>0</v>
      </c>
      <c r="AE44" s="115">
        <v>0</v>
      </c>
      <c r="AF44" s="115">
        <v>0</v>
      </c>
      <c r="AG44" s="115">
        <v>0</v>
      </c>
      <c r="AH44" s="115">
        <v>0</v>
      </c>
      <c r="AI44" s="115">
        <v>0</v>
      </c>
      <c r="AJ44" s="115">
        <v>0</v>
      </c>
      <c r="AK44" s="115">
        <v>0</v>
      </c>
      <c r="AL44" s="115">
        <v>0</v>
      </c>
      <c r="AM44" s="115">
        <v>0</v>
      </c>
      <c r="AN44" s="115">
        <v>0</v>
      </c>
      <c r="AO44" s="115">
        <v>0</v>
      </c>
      <c r="AP44" s="115">
        <v>0</v>
      </c>
    </row>
    <row r="45" spans="1:42" x14ac:dyDescent="0.2">
      <c r="A45" s="84" t="s">
        <v>391</v>
      </c>
      <c r="C45" s="115"/>
      <c r="D45" s="115"/>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row>
    <row r="46" spans="1:42" x14ac:dyDescent="0.2">
      <c r="A46" s="21" t="s">
        <v>392</v>
      </c>
      <c r="B46" s="4">
        <f t="array" ref="B46:AP49">Inputs!C199:AQ202</f>
        <v>0</v>
      </c>
      <c r="C46" s="115">
        <v>0</v>
      </c>
      <c r="D46" s="115">
        <v>0</v>
      </c>
      <c r="E46" s="115">
        <v>0</v>
      </c>
      <c r="F46" s="115">
        <v>0</v>
      </c>
      <c r="G46" s="115">
        <v>0</v>
      </c>
      <c r="H46" s="115">
        <v>0</v>
      </c>
      <c r="I46" s="115">
        <v>0</v>
      </c>
      <c r="J46" s="115">
        <v>0</v>
      </c>
      <c r="K46" s="115">
        <v>0</v>
      </c>
      <c r="L46" s="115">
        <v>0</v>
      </c>
      <c r="M46" s="115">
        <v>0</v>
      </c>
      <c r="N46" s="115">
        <v>0</v>
      </c>
      <c r="O46" s="115">
        <v>0</v>
      </c>
      <c r="P46" s="115">
        <v>0</v>
      </c>
      <c r="Q46" s="115">
        <v>0</v>
      </c>
      <c r="R46" s="115">
        <v>0</v>
      </c>
      <c r="S46" s="115">
        <v>0</v>
      </c>
      <c r="T46" s="115">
        <v>0</v>
      </c>
      <c r="U46" s="115">
        <v>0</v>
      </c>
      <c r="V46" s="115">
        <v>0</v>
      </c>
      <c r="W46" s="115">
        <v>0</v>
      </c>
      <c r="X46" s="115">
        <v>0</v>
      </c>
      <c r="Y46" s="115">
        <v>0</v>
      </c>
      <c r="Z46" s="115">
        <v>0</v>
      </c>
      <c r="AA46" s="115">
        <v>0</v>
      </c>
      <c r="AB46" s="115">
        <v>0</v>
      </c>
      <c r="AC46" s="115">
        <v>0</v>
      </c>
      <c r="AD46" s="115">
        <v>0</v>
      </c>
      <c r="AE46" s="115">
        <v>0</v>
      </c>
      <c r="AF46" s="115">
        <v>0</v>
      </c>
      <c r="AG46" s="115">
        <v>0</v>
      </c>
      <c r="AH46" s="115">
        <v>0</v>
      </c>
      <c r="AI46" s="115">
        <v>0</v>
      </c>
      <c r="AJ46" s="115">
        <v>0</v>
      </c>
      <c r="AK46" s="115">
        <v>0</v>
      </c>
      <c r="AL46" s="115">
        <v>0</v>
      </c>
      <c r="AM46" s="115">
        <v>0</v>
      </c>
      <c r="AN46" s="115">
        <v>0</v>
      </c>
      <c r="AO46" s="115">
        <v>0</v>
      </c>
      <c r="AP46" s="115">
        <v>0</v>
      </c>
    </row>
    <row r="47" spans="1:42" x14ac:dyDescent="0.2">
      <c r="A47" s="21" t="s">
        <v>393</v>
      </c>
      <c r="B47" s="4">
        <v>0</v>
      </c>
      <c r="C47" s="115">
        <v>0</v>
      </c>
      <c r="D47" s="115">
        <v>0</v>
      </c>
      <c r="E47" s="115">
        <v>0</v>
      </c>
      <c r="F47" s="115">
        <v>0</v>
      </c>
      <c r="G47" s="115">
        <v>0</v>
      </c>
      <c r="H47" s="115">
        <v>0</v>
      </c>
      <c r="I47" s="115">
        <v>0</v>
      </c>
      <c r="J47" s="115">
        <v>0</v>
      </c>
      <c r="K47" s="115">
        <v>0</v>
      </c>
      <c r="L47" s="115">
        <v>0</v>
      </c>
      <c r="M47" s="115">
        <v>0</v>
      </c>
      <c r="N47" s="115">
        <v>0</v>
      </c>
      <c r="O47" s="115">
        <v>0</v>
      </c>
      <c r="P47" s="115">
        <v>0</v>
      </c>
      <c r="Q47" s="115">
        <v>0</v>
      </c>
      <c r="R47" s="115">
        <v>0</v>
      </c>
      <c r="S47" s="115">
        <v>0</v>
      </c>
      <c r="T47" s="115">
        <v>0</v>
      </c>
      <c r="U47" s="115">
        <v>0</v>
      </c>
      <c r="V47" s="115">
        <v>0</v>
      </c>
      <c r="W47" s="115">
        <v>0</v>
      </c>
      <c r="X47" s="115">
        <v>0</v>
      </c>
      <c r="Y47" s="115">
        <v>0</v>
      </c>
      <c r="Z47" s="115">
        <v>0</v>
      </c>
      <c r="AA47" s="115">
        <v>0</v>
      </c>
      <c r="AB47" s="115">
        <v>0</v>
      </c>
      <c r="AC47" s="115">
        <v>0</v>
      </c>
      <c r="AD47" s="115">
        <v>0</v>
      </c>
      <c r="AE47" s="115">
        <v>0</v>
      </c>
      <c r="AF47" s="115">
        <v>0</v>
      </c>
      <c r="AG47" s="115">
        <v>0</v>
      </c>
      <c r="AH47" s="115">
        <v>0</v>
      </c>
      <c r="AI47" s="115">
        <v>0</v>
      </c>
      <c r="AJ47" s="115">
        <v>0</v>
      </c>
      <c r="AK47" s="115">
        <v>0</v>
      </c>
      <c r="AL47" s="115">
        <v>0</v>
      </c>
      <c r="AM47" s="115">
        <v>0</v>
      </c>
      <c r="AN47" s="115">
        <v>0</v>
      </c>
      <c r="AO47" s="115">
        <v>0</v>
      </c>
      <c r="AP47" s="115">
        <v>0</v>
      </c>
    </row>
    <row r="48" spans="1:42" x14ac:dyDescent="0.2">
      <c r="A48" s="21" t="s">
        <v>394</v>
      </c>
      <c r="B48" s="4">
        <v>0</v>
      </c>
      <c r="C48" s="115">
        <v>0</v>
      </c>
      <c r="D48" s="115">
        <v>0</v>
      </c>
      <c r="E48" s="115">
        <v>0</v>
      </c>
      <c r="F48" s="115">
        <v>0</v>
      </c>
      <c r="G48" s="115">
        <v>0</v>
      </c>
      <c r="H48" s="115">
        <v>0</v>
      </c>
      <c r="I48" s="115">
        <v>0</v>
      </c>
      <c r="J48" s="115">
        <v>0</v>
      </c>
      <c r="K48" s="115">
        <v>0</v>
      </c>
      <c r="L48" s="115">
        <v>0</v>
      </c>
      <c r="M48" s="115">
        <v>0</v>
      </c>
      <c r="N48" s="115">
        <v>0</v>
      </c>
      <c r="O48" s="115">
        <v>0</v>
      </c>
      <c r="P48" s="115">
        <v>0</v>
      </c>
      <c r="Q48" s="115">
        <v>0</v>
      </c>
      <c r="R48" s="115">
        <v>0</v>
      </c>
      <c r="S48" s="115">
        <v>0</v>
      </c>
      <c r="T48" s="115">
        <v>0</v>
      </c>
      <c r="U48" s="115">
        <v>0</v>
      </c>
      <c r="V48" s="115">
        <v>0</v>
      </c>
      <c r="W48" s="115">
        <v>0</v>
      </c>
      <c r="X48" s="115">
        <v>0</v>
      </c>
      <c r="Y48" s="115">
        <v>0</v>
      </c>
      <c r="Z48" s="115">
        <v>0</v>
      </c>
      <c r="AA48" s="115">
        <v>0</v>
      </c>
      <c r="AB48" s="115">
        <v>0</v>
      </c>
      <c r="AC48" s="115">
        <v>0</v>
      </c>
      <c r="AD48" s="115">
        <v>0</v>
      </c>
      <c r="AE48" s="115">
        <v>0</v>
      </c>
      <c r="AF48" s="115">
        <v>0</v>
      </c>
      <c r="AG48" s="115">
        <v>0</v>
      </c>
      <c r="AH48" s="115">
        <v>0</v>
      </c>
      <c r="AI48" s="115">
        <v>0</v>
      </c>
      <c r="AJ48" s="115">
        <v>0</v>
      </c>
      <c r="AK48" s="115">
        <v>0</v>
      </c>
      <c r="AL48" s="115">
        <v>0</v>
      </c>
      <c r="AM48" s="115">
        <v>0</v>
      </c>
      <c r="AN48" s="115">
        <v>0</v>
      </c>
      <c r="AO48" s="115">
        <v>0</v>
      </c>
      <c r="AP48" s="115">
        <v>0</v>
      </c>
    </row>
    <row r="49" spans="1:42" x14ac:dyDescent="0.2">
      <c r="A49" s="21" t="s">
        <v>293</v>
      </c>
      <c r="B49" s="4">
        <v>0</v>
      </c>
      <c r="C49" s="4">
        <v>0</v>
      </c>
      <c r="D49" s="4">
        <v>0</v>
      </c>
      <c r="E49" s="4">
        <v>0</v>
      </c>
      <c r="F49" s="4">
        <v>0</v>
      </c>
      <c r="G49" s="4">
        <v>0</v>
      </c>
      <c r="H49" s="4">
        <v>0</v>
      </c>
      <c r="I49" s="4">
        <v>0</v>
      </c>
      <c r="J49" s="4">
        <v>0</v>
      </c>
      <c r="K49" s="4">
        <v>0</v>
      </c>
      <c r="L49" s="4">
        <v>0</v>
      </c>
      <c r="M49" s="4">
        <v>0</v>
      </c>
      <c r="N49" s="4">
        <v>0</v>
      </c>
      <c r="O49" s="4">
        <v>0</v>
      </c>
      <c r="P49" s="4">
        <v>0</v>
      </c>
      <c r="Q49" s="4">
        <v>0</v>
      </c>
      <c r="R49" s="4">
        <v>0</v>
      </c>
      <c r="S49" s="4">
        <v>0</v>
      </c>
      <c r="T49" s="4">
        <v>0</v>
      </c>
      <c r="U49" s="4">
        <v>0</v>
      </c>
      <c r="V49" s="4">
        <v>0</v>
      </c>
      <c r="W49" s="4">
        <v>0</v>
      </c>
      <c r="X49" s="4">
        <v>0</v>
      </c>
      <c r="Y49" s="4">
        <v>0</v>
      </c>
      <c r="Z49" s="4">
        <v>0</v>
      </c>
      <c r="AA49" s="4">
        <v>0</v>
      </c>
      <c r="AB49" s="4">
        <v>0</v>
      </c>
      <c r="AC49" s="4">
        <v>0</v>
      </c>
      <c r="AD49" s="4">
        <v>0</v>
      </c>
      <c r="AE49" s="4">
        <v>0</v>
      </c>
      <c r="AF49" s="4">
        <v>0</v>
      </c>
      <c r="AG49" s="4">
        <v>0</v>
      </c>
      <c r="AH49" s="4">
        <v>0</v>
      </c>
      <c r="AI49" s="4">
        <v>0</v>
      </c>
      <c r="AJ49" s="4">
        <v>0</v>
      </c>
      <c r="AK49" s="4">
        <v>0</v>
      </c>
      <c r="AL49" s="4">
        <v>0</v>
      </c>
      <c r="AM49" s="4">
        <v>0</v>
      </c>
      <c r="AN49" s="4">
        <v>0</v>
      </c>
      <c r="AO49" s="4">
        <v>0</v>
      </c>
      <c r="AP49" s="4">
        <v>0</v>
      </c>
    </row>
    <row r="50" spans="1:42" x14ac:dyDescent="0.2">
      <c r="A50" s="84" t="s">
        <v>411</v>
      </c>
    </row>
    <row r="51" spans="1:42" x14ac:dyDescent="0.2">
      <c r="A51" s="21" t="s">
        <v>397</v>
      </c>
      <c r="B51" s="4">
        <f t="array" ref="B51:AP55">Inputs!C204:AQ208</f>
        <v>0</v>
      </c>
      <c r="C51" s="4">
        <v>0</v>
      </c>
      <c r="D51" s="4">
        <v>0</v>
      </c>
      <c r="E51" s="4">
        <v>0</v>
      </c>
      <c r="F51" s="4">
        <v>0</v>
      </c>
      <c r="G51" s="4">
        <v>0</v>
      </c>
      <c r="H51" s="4">
        <v>0</v>
      </c>
      <c r="I51" s="4">
        <v>0</v>
      </c>
      <c r="J51" s="4">
        <v>0</v>
      </c>
      <c r="K51" s="4">
        <v>0</v>
      </c>
      <c r="L51" s="4">
        <v>0</v>
      </c>
      <c r="M51" s="4">
        <v>0</v>
      </c>
      <c r="N51" s="4">
        <v>0</v>
      </c>
      <c r="O51" s="4">
        <v>0</v>
      </c>
      <c r="P51" s="4">
        <v>0</v>
      </c>
      <c r="Q51" s="4">
        <v>0</v>
      </c>
      <c r="R51" s="4">
        <v>0</v>
      </c>
      <c r="S51" s="4">
        <v>0</v>
      </c>
      <c r="T51" s="4">
        <v>0</v>
      </c>
      <c r="U51" s="4">
        <v>0</v>
      </c>
      <c r="V51" s="4">
        <v>0</v>
      </c>
      <c r="W51" s="4">
        <v>0</v>
      </c>
      <c r="X51" s="4">
        <v>0</v>
      </c>
      <c r="Y51" s="4">
        <v>0</v>
      </c>
      <c r="Z51" s="4">
        <v>0</v>
      </c>
      <c r="AA51" s="4">
        <v>0</v>
      </c>
      <c r="AB51" s="4">
        <v>0</v>
      </c>
      <c r="AC51" s="4">
        <v>0</v>
      </c>
      <c r="AD51" s="4">
        <v>0</v>
      </c>
      <c r="AE51" s="4">
        <v>0</v>
      </c>
      <c r="AF51" s="4">
        <v>0</v>
      </c>
      <c r="AG51" s="4">
        <v>0</v>
      </c>
      <c r="AH51" s="4">
        <v>0</v>
      </c>
      <c r="AI51" s="4">
        <v>0</v>
      </c>
      <c r="AJ51" s="4">
        <v>0</v>
      </c>
      <c r="AK51" s="4">
        <v>0</v>
      </c>
      <c r="AL51" s="4">
        <v>0</v>
      </c>
      <c r="AM51" s="4">
        <v>0</v>
      </c>
      <c r="AN51" s="4">
        <v>0</v>
      </c>
      <c r="AO51" s="4">
        <v>0</v>
      </c>
      <c r="AP51" s="4">
        <v>0</v>
      </c>
    </row>
    <row r="52" spans="1:42" x14ac:dyDescent="0.2">
      <c r="A52" s="21" t="s">
        <v>398</v>
      </c>
      <c r="B52" s="4">
        <v>0</v>
      </c>
      <c r="C52" s="4">
        <v>0</v>
      </c>
      <c r="D52" s="4">
        <v>0</v>
      </c>
      <c r="E52" s="4">
        <v>0</v>
      </c>
      <c r="F52" s="4">
        <v>0</v>
      </c>
      <c r="G52" s="4">
        <v>0</v>
      </c>
      <c r="H52" s="4">
        <v>0</v>
      </c>
      <c r="I52" s="4">
        <v>0</v>
      </c>
      <c r="J52" s="4">
        <v>0</v>
      </c>
      <c r="K52" s="4">
        <v>0</v>
      </c>
      <c r="L52" s="4">
        <v>0</v>
      </c>
      <c r="M52" s="4">
        <v>0</v>
      </c>
      <c r="N52" s="4">
        <v>0</v>
      </c>
      <c r="O52" s="4">
        <v>0</v>
      </c>
      <c r="P52" s="4">
        <v>0</v>
      </c>
      <c r="Q52" s="4">
        <v>0</v>
      </c>
      <c r="R52" s="4">
        <v>0</v>
      </c>
      <c r="S52" s="4">
        <v>0</v>
      </c>
      <c r="T52" s="4">
        <v>0</v>
      </c>
      <c r="U52" s="4">
        <v>0</v>
      </c>
      <c r="V52" s="4">
        <v>0</v>
      </c>
      <c r="W52" s="4">
        <v>0</v>
      </c>
      <c r="X52" s="4">
        <v>0</v>
      </c>
      <c r="Y52" s="4">
        <v>0</v>
      </c>
      <c r="Z52" s="4">
        <v>0</v>
      </c>
      <c r="AA52" s="4">
        <v>0</v>
      </c>
      <c r="AB52" s="4">
        <v>0</v>
      </c>
      <c r="AC52" s="4">
        <v>0</v>
      </c>
      <c r="AD52" s="4">
        <v>0</v>
      </c>
      <c r="AE52" s="4">
        <v>0</v>
      </c>
      <c r="AF52" s="4">
        <v>0</v>
      </c>
      <c r="AG52" s="4">
        <v>0</v>
      </c>
      <c r="AH52" s="4">
        <v>0</v>
      </c>
      <c r="AI52" s="4">
        <v>0</v>
      </c>
      <c r="AJ52" s="4">
        <v>0</v>
      </c>
      <c r="AK52" s="4">
        <v>0</v>
      </c>
      <c r="AL52" s="4">
        <v>0</v>
      </c>
      <c r="AM52" s="4">
        <v>0</v>
      </c>
      <c r="AN52" s="4">
        <v>0</v>
      </c>
      <c r="AO52" s="4">
        <v>0</v>
      </c>
      <c r="AP52" s="4">
        <v>0</v>
      </c>
    </row>
    <row r="53" spans="1:42" x14ac:dyDescent="0.2">
      <c r="A53" s="21" t="s">
        <v>399</v>
      </c>
      <c r="B53" s="4">
        <v>0</v>
      </c>
      <c r="C53" s="4">
        <v>0</v>
      </c>
      <c r="D53" s="4">
        <v>0</v>
      </c>
      <c r="E53" s="4">
        <v>0</v>
      </c>
      <c r="F53" s="4">
        <v>0</v>
      </c>
      <c r="G53" s="4">
        <v>0</v>
      </c>
      <c r="H53" s="4">
        <v>0</v>
      </c>
      <c r="I53" s="4">
        <v>0</v>
      </c>
      <c r="J53" s="4">
        <v>0</v>
      </c>
      <c r="K53" s="4">
        <v>0</v>
      </c>
      <c r="L53" s="4">
        <v>0</v>
      </c>
      <c r="M53" s="4">
        <v>0</v>
      </c>
      <c r="N53" s="4">
        <v>0</v>
      </c>
      <c r="O53" s="4">
        <v>0</v>
      </c>
      <c r="P53" s="4">
        <v>0</v>
      </c>
      <c r="Q53" s="4">
        <v>0</v>
      </c>
      <c r="R53" s="4">
        <v>0</v>
      </c>
      <c r="S53" s="4">
        <v>0</v>
      </c>
      <c r="T53" s="4">
        <v>0</v>
      </c>
      <c r="U53" s="4">
        <v>0</v>
      </c>
      <c r="V53" s="4">
        <v>0</v>
      </c>
      <c r="W53" s="4">
        <v>0</v>
      </c>
      <c r="X53" s="4">
        <v>0</v>
      </c>
      <c r="Y53" s="4">
        <v>0</v>
      </c>
      <c r="Z53" s="4">
        <v>0</v>
      </c>
      <c r="AA53" s="4">
        <v>0</v>
      </c>
      <c r="AB53" s="4">
        <v>0</v>
      </c>
      <c r="AC53" s="4">
        <v>0</v>
      </c>
      <c r="AD53" s="4">
        <v>0</v>
      </c>
      <c r="AE53" s="4">
        <v>0</v>
      </c>
      <c r="AF53" s="4">
        <v>0</v>
      </c>
      <c r="AG53" s="4">
        <v>0</v>
      </c>
      <c r="AH53" s="4">
        <v>0</v>
      </c>
      <c r="AI53" s="4">
        <v>0</v>
      </c>
      <c r="AJ53" s="4">
        <v>0</v>
      </c>
      <c r="AK53" s="4">
        <v>0</v>
      </c>
      <c r="AL53" s="4">
        <v>0</v>
      </c>
      <c r="AM53" s="4">
        <v>0</v>
      </c>
      <c r="AN53" s="4">
        <v>0</v>
      </c>
      <c r="AO53" s="4">
        <v>0</v>
      </c>
      <c r="AP53" s="4">
        <v>0</v>
      </c>
    </row>
    <row r="54" spans="1:42" x14ac:dyDescent="0.2">
      <c r="A54" s="21" t="s">
        <v>400</v>
      </c>
      <c r="B54" s="4">
        <v>0</v>
      </c>
      <c r="C54" s="4">
        <v>0</v>
      </c>
      <c r="D54" s="4">
        <v>0</v>
      </c>
      <c r="E54" s="4">
        <v>0</v>
      </c>
      <c r="F54" s="4">
        <v>0</v>
      </c>
      <c r="G54" s="4">
        <v>0</v>
      </c>
      <c r="H54" s="4">
        <v>0</v>
      </c>
      <c r="I54" s="4">
        <v>0</v>
      </c>
      <c r="J54" s="4">
        <v>0</v>
      </c>
      <c r="K54" s="4">
        <v>0</v>
      </c>
      <c r="L54" s="4">
        <v>0</v>
      </c>
      <c r="M54" s="4">
        <v>0</v>
      </c>
      <c r="N54" s="4">
        <v>0</v>
      </c>
      <c r="O54" s="4">
        <v>0</v>
      </c>
      <c r="P54" s="4">
        <v>0</v>
      </c>
      <c r="Q54" s="4">
        <v>0</v>
      </c>
      <c r="R54" s="4">
        <v>0</v>
      </c>
      <c r="S54" s="4">
        <v>0</v>
      </c>
      <c r="T54" s="4">
        <v>0</v>
      </c>
      <c r="U54" s="4">
        <v>0</v>
      </c>
      <c r="V54" s="4">
        <v>0</v>
      </c>
      <c r="W54" s="4">
        <v>0</v>
      </c>
      <c r="X54" s="4">
        <v>0</v>
      </c>
      <c r="Y54" s="4">
        <v>0</v>
      </c>
      <c r="Z54" s="4">
        <v>0</v>
      </c>
      <c r="AA54" s="4">
        <v>0</v>
      </c>
      <c r="AB54" s="4">
        <v>0</v>
      </c>
      <c r="AC54" s="4">
        <v>0</v>
      </c>
      <c r="AD54" s="4">
        <v>0</v>
      </c>
      <c r="AE54" s="4">
        <v>0</v>
      </c>
      <c r="AF54" s="4">
        <v>0</v>
      </c>
      <c r="AG54" s="4">
        <v>0</v>
      </c>
      <c r="AH54" s="4">
        <v>0</v>
      </c>
      <c r="AI54" s="4">
        <v>0</v>
      </c>
      <c r="AJ54" s="4">
        <v>0</v>
      </c>
      <c r="AK54" s="4">
        <v>0</v>
      </c>
      <c r="AL54" s="4">
        <v>0</v>
      </c>
      <c r="AM54" s="4">
        <v>0</v>
      </c>
      <c r="AN54" s="4">
        <v>0</v>
      </c>
      <c r="AO54" s="4">
        <v>0</v>
      </c>
      <c r="AP54" s="4">
        <v>0</v>
      </c>
    </row>
    <row r="55" spans="1:42" x14ac:dyDescent="0.2">
      <c r="A55" s="21" t="s">
        <v>401</v>
      </c>
      <c r="B55" s="4">
        <v>0</v>
      </c>
      <c r="C55" s="4">
        <v>0</v>
      </c>
      <c r="D55" s="4">
        <v>0</v>
      </c>
      <c r="E55" s="4">
        <v>0</v>
      </c>
      <c r="F55" s="4">
        <v>0</v>
      </c>
      <c r="G55" s="4">
        <v>0</v>
      </c>
      <c r="H55" s="4">
        <v>0</v>
      </c>
      <c r="I55" s="4">
        <v>0</v>
      </c>
      <c r="J55" s="4">
        <v>0</v>
      </c>
      <c r="K55" s="4">
        <v>0</v>
      </c>
      <c r="L55" s="4">
        <v>0</v>
      </c>
      <c r="M55" s="4">
        <v>0</v>
      </c>
      <c r="N55" s="4">
        <v>0</v>
      </c>
      <c r="O55" s="4">
        <v>0</v>
      </c>
      <c r="P55" s="4">
        <v>0</v>
      </c>
      <c r="Q55" s="4">
        <v>0</v>
      </c>
      <c r="R55" s="4">
        <v>0</v>
      </c>
      <c r="S55" s="4">
        <v>0</v>
      </c>
      <c r="T55" s="4">
        <v>0</v>
      </c>
      <c r="U55" s="4">
        <v>0</v>
      </c>
      <c r="V55" s="4">
        <v>0</v>
      </c>
      <c r="W55" s="4">
        <v>0</v>
      </c>
      <c r="X55" s="4">
        <v>0</v>
      </c>
      <c r="Y55" s="4">
        <v>0</v>
      </c>
      <c r="Z55" s="4">
        <v>0</v>
      </c>
      <c r="AA55" s="4">
        <v>0</v>
      </c>
      <c r="AB55" s="4">
        <v>0</v>
      </c>
      <c r="AC55" s="4">
        <v>0</v>
      </c>
      <c r="AD55" s="4">
        <v>0</v>
      </c>
      <c r="AE55" s="4">
        <v>0</v>
      </c>
      <c r="AF55" s="4">
        <v>0</v>
      </c>
      <c r="AG55" s="4">
        <v>0</v>
      </c>
      <c r="AH55" s="4">
        <v>0</v>
      </c>
      <c r="AI55" s="4">
        <v>0</v>
      </c>
      <c r="AJ55" s="4">
        <v>0</v>
      </c>
      <c r="AK55" s="4">
        <v>0</v>
      </c>
      <c r="AL55" s="4">
        <v>0</v>
      </c>
      <c r="AM55" s="4">
        <v>0</v>
      </c>
      <c r="AN55" s="4">
        <v>0</v>
      </c>
      <c r="AO55" s="4">
        <v>0</v>
      </c>
      <c r="AP55" s="4">
        <v>0</v>
      </c>
    </row>
    <row r="56" spans="1:42" x14ac:dyDescent="0.2">
      <c r="A56" s="84" t="s">
        <v>213</v>
      </c>
      <c r="B56" s="4">
        <f t="array" ref="B56:AP58">Inputs!C210:AQ212</f>
        <v>0</v>
      </c>
      <c r="C56" s="115">
        <v>0</v>
      </c>
      <c r="D56" s="115">
        <v>0</v>
      </c>
      <c r="E56" s="115">
        <v>0</v>
      </c>
      <c r="F56" s="115">
        <v>0</v>
      </c>
      <c r="G56" s="115">
        <v>0</v>
      </c>
      <c r="H56" s="115">
        <v>0</v>
      </c>
      <c r="I56" s="115">
        <v>0</v>
      </c>
      <c r="J56" s="115">
        <v>0</v>
      </c>
      <c r="K56" s="115">
        <v>0</v>
      </c>
      <c r="L56" s="115">
        <v>0</v>
      </c>
      <c r="M56" s="115">
        <v>0</v>
      </c>
      <c r="N56" s="115">
        <v>0</v>
      </c>
      <c r="O56" s="115">
        <v>0</v>
      </c>
      <c r="P56" s="115">
        <v>0</v>
      </c>
      <c r="Q56" s="115">
        <v>0</v>
      </c>
      <c r="R56" s="115">
        <v>0</v>
      </c>
      <c r="S56" s="115">
        <v>0</v>
      </c>
      <c r="T56" s="115">
        <v>0</v>
      </c>
      <c r="U56" s="115">
        <v>0</v>
      </c>
      <c r="V56" s="115">
        <v>0</v>
      </c>
      <c r="W56" s="115">
        <v>0</v>
      </c>
      <c r="X56" s="115">
        <v>0</v>
      </c>
      <c r="Y56" s="115">
        <v>0</v>
      </c>
      <c r="Z56" s="115">
        <v>0</v>
      </c>
      <c r="AA56" s="115">
        <v>0</v>
      </c>
      <c r="AB56" s="115">
        <v>0</v>
      </c>
      <c r="AC56" s="115">
        <v>0</v>
      </c>
      <c r="AD56" s="115">
        <v>0</v>
      </c>
      <c r="AE56" s="115">
        <v>0</v>
      </c>
      <c r="AF56" s="115">
        <v>0</v>
      </c>
      <c r="AG56" s="115">
        <v>0</v>
      </c>
      <c r="AH56" s="115">
        <v>0</v>
      </c>
      <c r="AI56" s="115">
        <v>0</v>
      </c>
      <c r="AJ56" s="115">
        <v>0</v>
      </c>
      <c r="AK56" s="115">
        <v>0</v>
      </c>
      <c r="AL56" s="115">
        <v>0</v>
      </c>
      <c r="AM56" s="115">
        <v>0</v>
      </c>
      <c r="AN56" s="115">
        <v>0</v>
      </c>
      <c r="AO56" s="115">
        <v>0</v>
      </c>
      <c r="AP56" s="115">
        <v>0</v>
      </c>
    </row>
    <row r="57" spans="1:42" x14ac:dyDescent="0.2">
      <c r="A57" s="84" t="s">
        <v>214</v>
      </c>
      <c r="B57" s="4">
        <v>0</v>
      </c>
      <c r="C57" s="115">
        <v>0</v>
      </c>
      <c r="D57" s="115">
        <v>0</v>
      </c>
      <c r="E57" s="115">
        <v>0</v>
      </c>
      <c r="F57" s="115">
        <v>0</v>
      </c>
      <c r="G57" s="115">
        <v>0</v>
      </c>
      <c r="H57" s="115">
        <v>0</v>
      </c>
      <c r="I57" s="115">
        <v>0</v>
      </c>
      <c r="J57" s="115">
        <v>0</v>
      </c>
      <c r="K57" s="115">
        <v>0</v>
      </c>
      <c r="L57" s="115">
        <v>0</v>
      </c>
      <c r="M57" s="115">
        <v>0</v>
      </c>
      <c r="N57" s="115">
        <v>0</v>
      </c>
      <c r="O57" s="115">
        <v>0</v>
      </c>
      <c r="P57" s="115">
        <v>0</v>
      </c>
      <c r="Q57" s="115">
        <v>0</v>
      </c>
      <c r="R57" s="115">
        <v>0</v>
      </c>
      <c r="S57" s="115">
        <v>0</v>
      </c>
      <c r="T57" s="115">
        <v>0</v>
      </c>
      <c r="U57" s="115">
        <v>0</v>
      </c>
      <c r="V57" s="115">
        <v>0</v>
      </c>
      <c r="W57" s="115">
        <v>0</v>
      </c>
      <c r="X57" s="115">
        <v>0</v>
      </c>
      <c r="Y57" s="115">
        <v>0</v>
      </c>
      <c r="Z57" s="115">
        <v>0</v>
      </c>
      <c r="AA57" s="115">
        <v>0</v>
      </c>
      <c r="AB57" s="115">
        <v>0</v>
      </c>
      <c r="AC57" s="115">
        <v>0</v>
      </c>
      <c r="AD57" s="115">
        <v>0</v>
      </c>
      <c r="AE57" s="115">
        <v>0</v>
      </c>
      <c r="AF57" s="115">
        <v>0</v>
      </c>
      <c r="AG57" s="115">
        <v>0</v>
      </c>
      <c r="AH57" s="115">
        <v>0</v>
      </c>
      <c r="AI57" s="115">
        <v>0</v>
      </c>
      <c r="AJ57" s="115">
        <v>0</v>
      </c>
      <c r="AK57" s="115">
        <v>0</v>
      </c>
      <c r="AL57" s="115">
        <v>0</v>
      </c>
      <c r="AM57" s="115">
        <v>0</v>
      </c>
      <c r="AN57" s="115">
        <v>0</v>
      </c>
      <c r="AO57" s="115">
        <v>0</v>
      </c>
      <c r="AP57" s="115">
        <v>0</v>
      </c>
    </row>
    <row r="58" spans="1:42" x14ac:dyDescent="0.2">
      <c r="A58" s="84" t="s">
        <v>215</v>
      </c>
      <c r="B58" s="4">
        <v>0</v>
      </c>
      <c r="C58" s="115">
        <v>0</v>
      </c>
      <c r="D58" s="115">
        <v>0</v>
      </c>
      <c r="E58" s="115">
        <v>0</v>
      </c>
      <c r="F58" s="115">
        <v>0</v>
      </c>
      <c r="G58" s="115">
        <v>0</v>
      </c>
      <c r="H58" s="115">
        <v>0</v>
      </c>
      <c r="I58" s="115">
        <v>0</v>
      </c>
      <c r="J58" s="115">
        <v>0</v>
      </c>
      <c r="K58" s="115">
        <v>0</v>
      </c>
      <c r="L58" s="115">
        <v>0</v>
      </c>
      <c r="M58" s="115">
        <v>0</v>
      </c>
      <c r="N58" s="115">
        <v>0</v>
      </c>
      <c r="O58" s="115">
        <v>0</v>
      </c>
      <c r="P58" s="115">
        <v>0</v>
      </c>
      <c r="Q58" s="115">
        <v>0</v>
      </c>
      <c r="R58" s="115">
        <v>0</v>
      </c>
      <c r="S58" s="115">
        <v>0</v>
      </c>
      <c r="T58" s="115">
        <v>0</v>
      </c>
      <c r="U58" s="115">
        <v>0</v>
      </c>
      <c r="V58" s="115">
        <v>0</v>
      </c>
      <c r="W58" s="115">
        <v>0</v>
      </c>
      <c r="X58" s="115">
        <v>0</v>
      </c>
      <c r="Y58" s="115">
        <v>0</v>
      </c>
      <c r="Z58" s="115">
        <v>0</v>
      </c>
      <c r="AA58" s="115">
        <v>0</v>
      </c>
      <c r="AB58" s="115">
        <v>0</v>
      </c>
      <c r="AC58" s="115">
        <v>0</v>
      </c>
      <c r="AD58" s="115">
        <v>0</v>
      </c>
      <c r="AE58" s="115">
        <v>0</v>
      </c>
      <c r="AF58" s="115">
        <v>0</v>
      </c>
      <c r="AG58" s="115">
        <v>0</v>
      </c>
      <c r="AH58" s="115">
        <v>0</v>
      </c>
      <c r="AI58" s="115">
        <v>0</v>
      </c>
      <c r="AJ58" s="115">
        <v>0</v>
      </c>
      <c r="AK58" s="115">
        <v>0</v>
      </c>
      <c r="AL58" s="115">
        <v>0</v>
      </c>
      <c r="AM58" s="115">
        <v>0</v>
      </c>
      <c r="AN58" s="115">
        <v>0</v>
      </c>
      <c r="AO58" s="115">
        <v>0</v>
      </c>
      <c r="AP58" s="115">
        <v>0</v>
      </c>
    </row>
    <row r="59" spans="1:42" x14ac:dyDescent="0.2">
      <c r="A59" s="84" t="s">
        <v>416</v>
      </c>
      <c r="B59" s="4">
        <f t="array" ref="B59:AP59">Inputs!C214:AQ214</f>
        <v>0</v>
      </c>
      <c r="C59" s="115">
        <v>0</v>
      </c>
      <c r="D59" s="115">
        <v>0</v>
      </c>
      <c r="E59" s="115">
        <v>0</v>
      </c>
      <c r="F59" s="115">
        <v>0</v>
      </c>
      <c r="G59" s="115">
        <v>0</v>
      </c>
      <c r="H59" s="115">
        <v>0</v>
      </c>
      <c r="I59" s="115">
        <v>0</v>
      </c>
      <c r="J59" s="115">
        <v>0</v>
      </c>
      <c r="K59" s="115">
        <v>0</v>
      </c>
      <c r="L59" s="115">
        <v>0</v>
      </c>
      <c r="M59" s="115">
        <v>0</v>
      </c>
      <c r="N59" s="115">
        <v>0</v>
      </c>
      <c r="O59" s="115">
        <v>0</v>
      </c>
      <c r="P59" s="115">
        <v>0</v>
      </c>
      <c r="Q59" s="115">
        <v>0</v>
      </c>
      <c r="R59" s="115">
        <v>0</v>
      </c>
      <c r="S59" s="115">
        <v>0</v>
      </c>
      <c r="T59" s="115">
        <v>0</v>
      </c>
      <c r="U59" s="115">
        <v>0</v>
      </c>
      <c r="V59" s="115">
        <v>0</v>
      </c>
      <c r="W59" s="115">
        <v>0</v>
      </c>
      <c r="X59" s="115">
        <v>0</v>
      </c>
      <c r="Y59" s="115">
        <v>0</v>
      </c>
      <c r="Z59" s="115">
        <v>0</v>
      </c>
      <c r="AA59" s="115">
        <v>0</v>
      </c>
      <c r="AB59" s="115">
        <v>0</v>
      </c>
      <c r="AC59" s="115">
        <v>0</v>
      </c>
      <c r="AD59" s="115">
        <v>0</v>
      </c>
      <c r="AE59" s="115">
        <v>0</v>
      </c>
      <c r="AF59" s="115">
        <v>0</v>
      </c>
      <c r="AG59" s="115">
        <v>0</v>
      </c>
      <c r="AH59" s="115">
        <v>0</v>
      </c>
      <c r="AI59" s="115">
        <v>0</v>
      </c>
      <c r="AJ59" s="115">
        <v>0</v>
      </c>
      <c r="AK59" s="115">
        <v>0</v>
      </c>
      <c r="AL59" s="115">
        <v>0</v>
      </c>
      <c r="AM59" s="115">
        <v>0</v>
      </c>
      <c r="AN59" s="115">
        <v>0</v>
      </c>
      <c r="AO59" s="115">
        <v>0</v>
      </c>
      <c r="AP59" s="115">
        <v>0</v>
      </c>
    </row>
    <row r="60" spans="1:42" x14ac:dyDescent="0.2">
      <c r="A60" s="17" t="s">
        <v>429</v>
      </c>
      <c r="C60" s="115">
        <f>IF(C$2&lt;=analysis_period,IF(om_land_lease="n/a",total_land_area*Inputs!D$225,total_land_area*om_land_lease*(1+inflation_rate/100+om_land_lease_escal/100)^B$2),0)</f>
        <v>0</v>
      </c>
      <c r="D60" s="115">
        <f>IF(D$2&lt;=analysis_period,IF(om_land_lease="n/a",total_land_area*Inputs!E$225,total_land_area*om_land_lease*(1+inflation_rate/100+om_land_lease_escal/100)^C$2),0)</f>
        <v>0</v>
      </c>
      <c r="E60" s="115">
        <f>IF(E$2&lt;=analysis_period,IF(om_land_lease="n/a",total_land_area*Inputs!F$225,total_land_area*om_land_lease*(1+inflation_rate/100+om_land_lease_escal/100)^D$2),0)</f>
        <v>0</v>
      </c>
      <c r="F60" s="115">
        <f>IF(F$2&lt;=analysis_period,IF(om_land_lease="n/a",total_land_area*Inputs!G$225,total_land_area*om_land_lease*(1+inflation_rate/100+om_land_lease_escal/100)^E$2),0)</f>
        <v>0</v>
      </c>
      <c r="G60" s="115">
        <f>IF(G$2&lt;=analysis_period,IF(om_land_lease="n/a",total_land_area*Inputs!H$225,total_land_area*om_land_lease*(1+inflation_rate/100+om_land_lease_escal/100)^F$2),0)</f>
        <v>0</v>
      </c>
      <c r="H60" s="115">
        <f>IF(H$2&lt;=analysis_period,IF(om_land_lease="n/a",total_land_area*Inputs!I$225,total_land_area*om_land_lease*(1+inflation_rate/100+om_land_lease_escal/100)^G$2),0)</f>
        <v>0</v>
      </c>
      <c r="I60" s="115">
        <f>IF(I$2&lt;=analysis_period,IF(om_land_lease="n/a",total_land_area*Inputs!J$225,total_land_area*om_land_lease*(1+inflation_rate/100+om_land_lease_escal/100)^H$2),0)</f>
        <v>0</v>
      </c>
      <c r="J60" s="115">
        <f>IF(J$2&lt;=analysis_period,IF(om_land_lease="n/a",total_land_area*Inputs!K$225,total_land_area*om_land_lease*(1+inflation_rate/100+om_land_lease_escal/100)^I$2),0)</f>
        <v>0</v>
      </c>
      <c r="K60" s="115">
        <f>IF(K$2&lt;=analysis_period,IF(om_land_lease="n/a",total_land_area*Inputs!L$225,total_land_area*om_land_lease*(1+inflation_rate/100+om_land_lease_escal/100)^J$2),0)</f>
        <v>0</v>
      </c>
      <c r="L60" s="115">
        <f>IF(L$2&lt;=analysis_period,IF(om_land_lease="n/a",total_land_area*Inputs!M$225,total_land_area*om_land_lease*(1+inflation_rate/100+om_land_lease_escal/100)^K$2),0)</f>
        <v>0</v>
      </c>
      <c r="M60" s="115">
        <f>IF(M$2&lt;=analysis_period,IF(om_land_lease="n/a",total_land_area*Inputs!N$225,total_land_area*om_land_lease*(1+inflation_rate/100+om_land_lease_escal/100)^L$2),0)</f>
        <v>0</v>
      </c>
      <c r="N60" s="115">
        <f>IF(N$2&lt;=analysis_period,IF(om_land_lease="n/a",total_land_area*Inputs!O$225,total_land_area*om_land_lease*(1+inflation_rate/100+om_land_lease_escal/100)^M$2),0)</f>
        <v>0</v>
      </c>
      <c r="O60" s="115">
        <f>IF(O$2&lt;=analysis_period,IF(om_land_lease="n/a",total_land_area*Inputs!P$225,total_land_area*om_land_lease*(1+inflation_rate/100+om_land_lease_escal/100)^N$2),0)</f>
        <v>0</v>
      </c>
      <c r="P60" s="115">
        <f>IF(P$2&lt;=analysis_period,IF(om_land_lease="n/a",total_land_area*Inputs!Q$225,total_land_area*om_land_lease*(1+inflation_rate/100+om_land_lease_escal/100)^O$2),0)</f>
        <v>0</v>
      </c>
      <c r="Q60" s="115">
        <f>IF(Q$2&lt;=analysis_period,IF(om_land_lease="n/a",total_land_area*Inputs!R$225,total_land_area*om_land_lease*(1+inflation_rate/100+om_land_lease_escal/100)^P$2),0)</f>
        <v>0</v>
      </c>
      <c r="R60" s="115">
        <f>IF(R$2&lt;=analysis_period,IF(om_land_lease="n/a",total_land_area*Inputs!S$225,total_land_area*om_land_lease*(1+inflation_rate/100+om_land_lease_escal/100)^Q$2),0)</f>
        <v>0</v>
      </c>
      <c r="S60" s="115">
        <f>IF(S$2&lt;=analysis_period,IF(om_land_lease="n/a",total_land_area*Inputs!T$225,total_land_area*om_land_lease*(1+inflation_rate/100+om_land_lease_escal/100)^R$2),0)</f>
        <v>0</v>
      </c>
      <c r="T60" s="115">
        <f>IF(T$2&lt;=analysis_period,IF(om_land_lease="n/a",total_land_area*Inputs!U$225,total_land_area*om_land_lease*(1+inflation_rate/100+om_land_lease_escal/100)^S$2),0)</f>
        <v>0</v>
      </c>
      <c r="U60" s="115">
        <f>IF(U$2&lt;=analysis_period,IF(om_land_lease="n/a",total_land_area*Inputs!V$225,total_land_area*om_land_lease*(1+inflation_rate/100+om_land_lease_escal/100)^T$2),0)</f>
        <v>0</v>
      </c>
      <c r="V60" s="115">
        <f>IF(V$2&lt;=analysis_period,IF(om_land_lease="n/a",total_land_area*Inputs!W$225,total_land_area*om_land_lease*(1+inflation_rate/100+om_land_lease_escal/100)^U$2),0)</f>
        <v>0</v>
      </c>
      <c r="W60" s="115">
        <f>IF(W$2&lt;=analysis_period,IF(om_land_lease="n/a",total_land_area*Inputs!X$225,total_land_area*om_land_lease*(1+inflation_rate/100+om_land_lease_escal/100)^V$2),0)</f>
        <v>0</v>
      </c>
      <c r="X60" s="115">
        <f>IF(X$2&lt;=analysis_period,IF(om_land_lease="n/a",total_land_area*Inputs!Y$225,total_land_area*om_land_lease*(1+inflation_rate/100+om_land_lease_escal/100)^W$2),0)</f>
        <v>0</v>
      </c>
      <c r="Y60" s="115">
        <f>IF(Y$2&lt;=analysis_period,IF(om_land_lease="n/a",total_land_area*Inputs!Z$225,total_land_area*om_land_lease*(1+inflation_rate/100+om_land_lease_escal/100)^X$2),0)</f>
        <v>0</v>
      </c>
      <c r="Z60" s="115">
        <f>IF(Z$2&lt;=analysis_period,IF(om_land_lease="n/a",total_land_area*Inputs!AA$225,total_land_area*om_land_lease*(1+inflation_rate/100+om_land_lease_escal/100)^Y$2),0)</f>
        <v>0</v>
      </c>
      <c r="AA60" s="115">
        <f>IF(AA$2&lt;=analysis_period,IF(om_land_lease="n/a",total_land_area*Inputs!AB$225,total_land_area*om_land_lease*(1+inflation_rate/100+om_land_lease_escal/100)^Z$2),0)</f>
        <v>0</v>
      </c>
      <c r="AB60" s="115">
        <f>IF(AB$2&lt;=analysis_period,IF(om_land_lease="n/a",total_land_area*Inputs!AC$225,total_land_area*om_land_lease*(1+inflation_rate/100+om_land_lease_escal/100)^AA$2),0)</f>
        <v>0</v>
      </c>
      <c r="AC60" s="115">
        <f>IF(AC$2&lt;=analysis_period,IF(om_land_lease="n/a",total_land_area*Inputs!AD$225,total_land_area*om_land_lease*(1+inflation_rate/100+om_land_lease_escal/100)^AB$2),0)</f>
        <v>0</v>
      </c>
      <c r="AD60" s="115">
        <f>IF(AD$2&lt;=analysis_period,IF(om_land_lease="n/a",total_land_area*Inputs!AE$225,total_land_area*om_land_lease*(1+inflation_rate/100+om_land_lease_escal/100)^AC$2),0)</f>
        <v>0</v>
      </c>
      <c r="AE60" s="115">
        <f>IF(AE$2&lt;=analysis_period,IF(om_land_lease="n/a",total_land_area*Inputs!AF$225,total_land_area*om_land_lease*(1+inflation_rate/100+om_land_lease_escal/100)^AD$2),0)</f>
        <v>0</v>
      </c>
      <c r="AF60" s="115">
        <f>IF(AF$2&lt;=analysis_period,IF(om_land_lease="n/a",total_land_area*Inputs!AG$225,total_land_area*om_land_lease*(1+inflation_rate/100+om_land_lease_escal/100)^AE$2),0)</f>
        <v>0</v>
      </c>
      <c r="AG60" s="115">
        <f>IF(AG$2&lt;=analysis_period,IF(om_land_lease="n/a",total_land_area*Inputs!AH$225,total_land_area*om_land_lease*(1+inflation_rate/100+om_land_lease_escal/100)^AF$2),0)</f>
        <v>0</v>
      </c>
      <c r="AH60" s="115">
        <f>IF(AH$2&lt;=analysis_period,IF(om_land_lease="n/a",total_land_area*Inputs!AI$225,total_land_area*om_land_lease*(1+inflation_rate/100+om_land_lease_escal/100)^AG$2),0)</f>
        <v>0</v>
      </c>
      <c r="AI60" s="115">
        <f>IF(AI$2&lt;=analysis_period,IF(om_land_lease="n/a",total_land_area*Inputs!AJ$225,total_land_area*om_land_lease*(1+inflation_rate/100+om_land_lease_escal/100)^AH$2),0)</f>
        <v>0</v>
      </c>
      <c r="AJ60" s="115">
        <f>IF(AJ$2&lt;=analysis_period,IF(om_land_lease="n/a",total_land_area*Inputs!AK$225,total_land_area*om_land_lease*(1+inflation_rate/100+om_land_lease_escal/100)^AI$2),0)</f>
        <v>0</v>
      </c>
      <c r="AK60" s="115">
        <f>IF(AK$2&lt;=analysis_period,IF(om_land_lease="n/a",total_land_area*Inputs!AL$225,total_land_area*om_land_lease*(1+inflation_rate/100+om_land_lease_escal/100)^AJ$2),0)</f>
        <v>0</v>
      </c>
      <c r="AL60" s="115">
        <f>IF(AL$2&lt;=analysis_period,IF(om_land_lease="n/a",total_land_area*Inputs!AM$225,total_land_area*om_land_lease*(1+inflation_rate/100+om_land_lease_escal/100)^AK$2),0)</f>
        <v>0</v>
      </c>
      <c r="AM60" s="115">
        <f>IF(AM$2&lt;=analysis_period,IF(om_land_lease="n/a",total_land_area*Inputs!AN$225,total_land_area*om_land_lease*(1+inflation_rate/100+om_land_lease_escal/100)^AL$2),0)</f>
        <v>0</v>
      </c>
      <c r="AN60" s="115">
        <f>IF(AN$2&lt;=analysis_period,IF(om_land_lease="n/a",total_land_area*Inputs!AO$225,total_land_area*om_land_lease*(1+inflation_rate/100+om_land_lease_escal/100)^AM$2),0)</f>
        <v>0</v>
      </c>
      <c r="AO60" s="115">
        <f>IF(AO$2&lt;=analysis_period,IF(om_land_lease="n/a",total_land_area*Inputs!AP$225,total_land_area*om_land_lease*(1+inflation_rate/100+om_land_lease_escal/100)^AN$2),0)</f>
        <v>0</v>
      </c>
      <c r="AP60" s="115">
        <f>IF(AP$2&lt;=analysis_period,IF(om_land_lease="n/a",total_land_area*Inputs!AQ$225,total_land_area*om_land_lease*(1+inflation_rate/100+om_land_lease_escal/100)^AO$2),0)</f>
        <v>0</v>
      </c>
    </row>
    <row r="61" spans="1:42" x14ac:dyDescent="0.2">
      <c r="A61" s="17" t="s">
        <v>0</v>
      </c>
      <c r="C61" s="115">
        <f t="shared" ref="C61:AP61" si="15">C31*property_tax_rate/100</f>
        <v>0</v>
      </c>
      <c r="D61" s="115">
        <f t="shared" si="15"/>
        <v>0</v>
      </c>
      <c r="E61" s="115">
        <f t="shared" si="15"/>
        <v>0</v>
      </c>
      <c r="F61" s="115">
        <f t="shared" si="15"/>
        <v>0</v>
      </c>
      <c r="G61" s="115">
        <f t="shared" si="15"/>
        <v>0</v>
      </c>
      <c r="H61" s="115">
        <f t="shared" si="15"/>
        <v>0</v>
      </c>
      <c r="I61" s="115">
        <f t="shared" si="15"/>
        <v>0</v>
      </c>
      <c r="J61" s="115">
        <f t="shared" si="15"/>
        <v>0</v>
      </c>
      <c r="K61" s="115">
        <f t="shared" si="15"/>
        <v>0</v>
      </c>
      <c r="L61" s="115">
        <f t="shared" si="15"/>
        <v>0</v>
      </c>
      <c r="M61" s="115">
        <f t="shared" si="15"/>
        <v>0</v>
      </c>
      <c r="N61" s="115">
        <f t="shared" si="15"/>
        <v>0</v>
      </c>
      <c r="O61" s="115">
        <f t="shared" si="15"/>
        <v>0</v>
      </c>
      <c r="P61" s="115">
        <f t="shared" si="15"/>
        <v>0</v>
      </c>
      <c r="Q61" s="115">
        <f t="shared" si="15"/>
        <v>0</v>
      </c>
      <c r="R61" s="115">
        <f t="shared" si="15"/>
        <v>0</v>
      </c>
      <c r="S61" s="115">
        <f t="shared" si="15"/>
        <v>0</v>
      </c>
      <c r="T61" s="115">
        <f t="shared" si="15"/>
        <v>0</v>
      </c>
      <c r="U61" s="115">
        <f t="shared" si="15"/>
        <v>0</v>
      </c>
      <c r="V61" s="115">
        <f t="shared" si="15"/>
        <v>0</v>
      </c>
      <c r="W61" s="115">
        <f t="shared" si="15"/>
        <v>0</v>
      </c>
      <c r="X61" s="115">
        <f t="shared" si="15"/>
        <v>0</v>
      </c>
      <c r="Y61" s="115">
        <f t="shared" si="15"/>
        <v>0</v>
      </c>
      <c r="Z61" s="115">
        <f t="shared" si="15"/>
        <v>0</v>
      </c>
      <c r="AA61" s="115">
        <f t="shared" si="15"/>
        <v>0</v>
      </c>
      <c r="AB61" s="115">
        <f t="shared" si="15"/>
        <v>0</v>
      </c>
      <c r="AC61" s="115">
        <f t="shared" si="15"/>
        <v>0</v>
      </c>
      <c r="AD61" s="115">
        <f t="shared" si="15"/>
        <v>0</v>
      </c>
      <c r="AE61" s="115">
        <f t="shared" si="15"/>
        <v>0</v>
      </c>
      <c r="AF61" s="115">
        <f t="shared" si="15"/>
        <v>0</v>
      </c>
      <c r="AG61" s="115">
        <f t="shared" si="15"/>
        <v>0</v>
      </c>
      <c r="AH61" s="115">
        <f t="shared" si="15"/>
        <v>0</v>
      </c>
      <c r="AI61" s="115">
        <f t="shared" si="15"/>
        <v>0</v>
      </c>
      <c r="AJ61" s="115">
        <f t="shared" si="15"/>
        <v>0</v>
      </c>
      <c r="AK61" s="115">
        <f t="shared" si="15"/>
        <v>0</v>
      </c>
      <c r="AL61" s="115">
        <f t="shared" si="15"/>
        <v>0</v>
      </c>
      <c r="AM61" s="115">
        <f t="shared" si="15"/>
        <v>0</v>
      </c>
      <c r="AN61" s="115">
        <f t="shared" si="15"/>
        <v>0</v>
      </c>
      <c r="AO61" s="115">
        <f t="shared" si="15"/>
        <v>0</v>
      </c>
      <c r="AP61" s="115">
        <f t="shared" si="15"/>
        <v>0</v>
      </c>
    </row>
    <row r="62" spans="1:42" x14ac:dyDescent="0.2">
      <c r="A62" s="17" t="s">
        <v>44</v>
      </c>
      <c r="C62" s="115">
        <f t="shared" ref="C62:AP62" si="16">IF(C$2&lt;=analysis_period,total_installed_cost*insurance_rate/100*(1+inflation_rate/100)^B$2,0)</f>
        <v>0</v>
      </c>
      <c r="D62" s="115">
        <f t="shared" si="16"/>
        <v>0</v>
      </c>
      <c r="E62" s="115">
        <f t="shared" si="16"/>
        <v>0</v>
      </c>
      <c r="F62" s="115">
        <f t="shared" si="16"/>
        <v>0</v>
      </c>
      <c r="G62" s="115">
        <f t="shared" si="16"/>
        <v>0</v>
      </c>
      <c r="H62" s="115">
        <f t="shared" si="16"/>
        <v>0</v>
      </c>
      <c r="I62" s="115">
        <f t="shared" si="16"/>
        <v>0</v>
      </c>
      <c r="J62" s="115">
        <f t="shared" si="16"/>
        <v>0</v>
      </c>
      <c r="K62" s="115">
        <f t="shared" si="16"/>
        <v>0</v>
      </c>
      <c r="L62" s="115">
        <f t="shared" si="16"/>
        <v>0</v>
      </c>
      <c r="M62" s="115">
        <f t="shared" si="16"/>
        <v>0</v>
      </c>
      <c r="N62" s="115">
        <f t="shared" si="16"/>
        <v>0</v>
      </c>
      <c r="O62" s="115">
        <f t="shared" si="16"/>
        <v>0</v>
      </c>
      <c r="P62" s="115">
        <f t="shared" si="16"/>
        <v>0</v>
      </c>
      <c r="Q62" s="115">
        <f t="shared" si="16"/>
        <v>0</v>
      </c>
      <c r="R62" s="115">
        <f t="shared" si="16"/>
        <v>0</v>
      </c>
      <c r="S62" s="115">
        <f t="shared" si="16"/>
        <v>0</v>
      </c>
      <c r="T62" s="115">
        <f t="shared" si="16"/>
        <v>0</v>
      </c>
      <c r="U62" s="115">
        <f t="shared" si="16"/>
        <v>0</v>
      </c>
      <c r="V62" s="115">
        <f t="shared" si="16"/>
        <v>0</v>
      </c>
      <c r="W62" s="115">
        <f t="shared" si="16"/>
        <v>0</v>
      </c>
      <c r="X62" s="115">
        <f t="shared" si="16"/>
        <v>0</v>
      </c>
      <c r="Y62" s="115">
        <f t="shared" si="16"/>
        <v>0</v>
      </c>
      <c r="Z62" s="115">
        <f t="shared" si="16"/>
        <v>0</v>
      </c>
      <c r="AA62" s="115">
        <f t="shared" si="16"/>
        <v>0</v>
      </c>
      <c r="AB62" s="115">
        <f t="shared" si="16"/>
        <v>0</v>
      </c>
      <c r="AC62" s="115">
        <f t="shared" si="16"/>
        <v>0</v>
      </c>
      <c r="AD62" s="115">
        <f t="shared" si="16"/>
        <v>0</v>
      </c>
      <c r="AE62" s="115">
        <f t="shared" si="16"/>
        <v>0</v>
      </c>
      <c r="AF62" s="115">
        <f t="shared" si="16"/>
        <v>0</v>
      </c>
      <c r="AG62" s="115">
        <f t="shared" si="16"/>
        <v>0</v>
      </c>
      <c r="AH62" s="115">
        <f t="shared" si="16"/>
        <v>0</v>
      </c>
      <c r="AI62" s="115">
        <f t="shared" si="16"/>
        <v>0</v>
      </c>
      <c r="AJ62" s="115">
        <f t="shared" si="16"/>
        <v>0</v>
      </c>
      <c r="AK62" s="115">
        <f t="shared" si="16"/>
        <v>0</v>
      </c>
      <c r="AL62" s="115">
        <f t="shared" si="16"/>
        <v>0</v>
      </c>
      <c r="AM62" s="115">
        <f t="shared" si="16"/>
        <v>0</v>
      </c>
      <c r="AN62" s="115">
        <f t="shared" si="16"/>
        <v>0</v>
      </c>
      <c r="AO62" s="115">
        <f t="shared" si="16"/>
        <v>0</v>
      </c>
      <c r="AP62" s="115">
        <f t="shared" si="16"/>
        <v>0</v>
      </c>
    </row>
    <row r="63" spans="1:42" x14ac:dyDescent="0.2">
      <c r="A63" s="27" t="s">
        <v>19</v>
      </c>
      <c r="B63" s="27"/>
      <c r="C63" s="133">
        <f>C$35+C$39+C$43+C$44++SUM(C$46:C$49)+SUM(C$51:C$62)</f>
        <v>0</v>
      </c>
      <c r="D63" s="133">
        <f>D$35+D$39+D$43+D$44++SUM(D46:D49)+SUM(D51:D62)</f>
        <v>0</v>
      </c>
      <c r="E63" s="133">
        <f t="shared" ref="E63:AP63" si="17">E$35+E$39+E$43+E$44++SUM(E46:E49)+SUM(E51:E62)</f>
        <v>0</v>
      </c>
      <c r="F63" s="133">
        <f t="shared" si="17"/>
        <v>0</v>
      </c>
      <c r="G63" s="133">
        <f t="shared" si="17"/>
        <v>0</v>
      </c>
      <c r="H63" s="133">
        <f t="shared" si="17"/>
        <v>0</v>
      </c>
      <c r="I63" s="133">
        <f t="shared" si="17"/>
        <v>0</v>
      </c>
      <c r="J63" s="133">
        <f t="shared" si="17"/>
        <v>0</v>
      </c>
      <c r="K63" s="133">
        <f t="shared" si="17"/>
        <v>0</v>
      </c>
      <c r="L63" s="133">
        <f t="shared" si="17"/>
        <v>0</v>
      </c>
      <c r="M63" s="133">
        <f t="shared" si="17"/>
        <v>0</v>
      </c>
      <c r="N63" s="133">
        <f t="shared" si="17"/>
        <v>0</v>
      </c>
      <c r="O63" s="133">
        <f t="shared" si="17"/>
        <v>0</v>
      </c>
      <c r="P63" s="133">
        <f t="shared" si="17"/>
        <v>0</v>
      </c>
      <c r="Q63" s="133">
        <f t="shared" si="17"/>
        <v>0</v>
      </c>
      <c r="R63" s="133">
        <f t="shared" si="17"/>
        <v>0</v>
      </c>
      <c r="S63" s="133">
        <f t="shared" si="17"/>
        <v>0</v>
      </c>
      <c r="T63" s="133">
        <f t="shared" si="17"/>
        <v>0</v>
      </c>
      <c r="U63" s="133">
        <f t="shared" si="17"/>
        <v>0</v>
      </c>
      <c r="V63" s="133">
        <f t="shared" si="17"/>
        <v>0</v>
      </c>
      <c r="W63" s="133">
        <f t="shared" si="17"/>
        <v>0</v>
      </c>
      <c r="X63" s="133">
        <f t="shared" si="17"/>
        <v>0</v>
      </c>
      <c r="Y63" s="133">
        <f t="shared" si="17"/>
        <v>0</v>
      </c>
      <c r="Z63" s="133">
        <f t="shared" si="17"/>
        <v>0</v>
      </c>
      <c r="AA63" s="133">
        <f t="shared" si="17"/>
        <v>0</v>
      </c>
      <c r="AB63" s="133">
        <f t="shared" si="17"/>
        <v>0</v>
      </c>
      <c r="AC63" s="133">
        <f t="shared" si="17"/>
        <v>0</v>
      </c>
      <c r="AD63" s="133">
        <f t="shared" si="17"/>
        <v>0</v>
      </c>
      <c r="AE63" s="133">
        <f t="shared" si="17"/>
        <v>0</v>
      </c>
      <c r="AF63" s="133">
        <f t="shared" si="17"/>
        <v>0</v>
      </c>
      <c r="AG63" s="133">
        <f t="shared" si="17"/>
        <v>0</v>
      </c>
      <c r="AH63" s="133">
        <f t="shared" si="17"/>
        <v>0</v>
      </c>
      <c r="AI63" s="133">
        <f t="shared" si="17"/>
        <v>0</v>
      </c>
      <c r="AJ63" s="133">
        <f t="shared" si="17"/>
        <v>0</v>
      </c>
      <c r="AK63" s="133">
        <f t="shared" si="17"/>
        <v>0</v>
      </c>
      <c r="AL63" s="133">
        <f t="shared" si="17"/>
        <v>0</v>
      </c>
      <c r="AM63" s="133">
        <f t="shared" si="17"/>
        <v>0</v>
      </c>
      <c r="AN63" s="133">
        <f t="shared" si="17"/>
        <v>0</v>
      </c>
      <c r="AO63" s="133">
        <f t="shared" si="17"/>
        <v>0</v>
      </c>
      <c r="AP63" s="133">
        <f t="shared" si="17"/>
        <v>0</v>
      </c>
    </row>
    <row r="65" spans="1:42" x14ac:dyDescent="0.2">
      <c r="A65" s="202" t="s">
        <v>31</v>
      </c>
      <c r="B65" s="27"/>
      <c r="C65" s="133">
        <f>C$29-C$63</f>
        <v>0</v>
      </c>
      <c r="D65" s="133">
        <f t="shared" ref="D65:AP65" si="18">D$29-D$63</f>
        <v>0</v>
      </c>
      <c r="E65" s="133">
        <f t="shared" si="18"/>
        <v>0</v>
      </c>
      <c r="F65" s="133">
        <f t="shared" si="18"/>
        <v>0</v>
      </c>
      <c r="G65" s="133">
        <f t="shared" si="18"/>
        <v>0</v>
      </c>
      <c r="H65" s="133">
        <f t="shared" si="18"/>
        <v>0</v>
      </c>
      <c r="I65" s="133">
        <f t="shared" si="18"/>
        <v>0</v>
      </c>
      <c r="J65" s="133">
        <f t="shared" si="18"/>
        <v>0</v>
      </c>
      <c r="K65" s="133">
        <f t="shared" si="18"/>
        <v>0</v>
      </c>
      <c r="L65" s="133">
        <f t="shared" si="18"/>
        <v>0</v>
      </c>
      <c r="M65" s="133">
        <f t="shared" si="18"/>
        <v>0</v>
      </c>
      <c r="N65" s="133">
        <f t="shared" si="18"/>
        <v>0</v>
      </c>
      <c r="O65" s="133">
        <f t="shared" si="18"/>
        <v>0</v>
      </c>
      <c r="P65" s="133">
        <f t="shared" si="18"/>
        <v>0</v>
      </c>
      <c r="Q65" s="133">
        <f t="shared" si="18"/>
        <v>0</v>
      </c>
      <c r="R65" s="133">
        <f t="shared" si="18"/>
        <v>0</v>
      </c>
      <c r="S65" s="133">
        <f t="shared" si="18"/>
        <v>0</v>
      </c>
      <c r="T65" s="133">
        <f t="shared" si="18"/>
        <v>0</v>
      </c>
      <c r="U65" s="133">
        <f t="shared" si="18"/>
        <v>0</v>
      </c>
      <c r="V65" s="133">
        <f t="shared" si="18"/>
        <v>0</v>
      </c>
      <c r="W65" s="133">
        <f t="shared" si="18"/>
        <v>0</v>
      </c>
      <c r="X65" s="133">
        <f t="shared" si="18"/>
        <v>0</v>
      </c>
      <c r="Y65" s="133">
        <f t="shared" si="18"/>
        <v>0</v>
      </c>
      <c r="Z65" s="133">
        <f t="shared" si="18"/>
        <v>0</v>
      </c>
      <c r="AA65" s="133">
        <f t="shared" si="18"/>
        <v>0</v>
      </c>
      <c r="AB65" s="133">
        <f t="shared" si="18"/>
        <v>0</v>
      </c>
      <c r="AC65" s="133">
        <f t="shared" si="18"/>
        <v>0</v>
      </c>
      <c r="AD65" s="133">
        <f t="shared" si="18"/>
        <v>0</v>
      </c>
      <c r="AE65" s="133">
        <f t="shared" si="18"/>
        <v>0</v>
      </c>
      <c r="AF65" s="133">
        <f t="shared" si="18"/>
        <v>0</v>
      </c>
      <c r="AG65" s="133">
        <f t="shared" si="18"/>
        <v>0</v>
      </c>
      <c r="AH65" s="133">
        <f t="shared" si="18"/>
        <v>0</v>
      </c>
      <c r="AI65" s="133">
        <f t="shared" si="18"/>
        <v>0</v>
      </c>
      <c r="AJ65" s="133">
        <f t="shared" si="18"/>
        <v>0</v>
      </c>
      <c r="AK65" s="133">
        <f t="shared" si="18"/>
        <v>0</v>
      </c>
      <c r="AL65" s="133">
        <f t="shared" si="18"/>
        <v>0</v>
      </c>
      <c r="AM65" s="133">
        <f t="shared" si="18"/>
        <v>0</v>
      </c>
      <c r="AN65" s="133">
        <f t="shared" si="18"/>
        <v>0</v>
      </c>
      <c r="AO65" s="133">
        <f t="shared" si="18"/>
        <v>0</v>
      </c>
      <c r="AP65" s="133">
        <f t="shared" si="18"/>
        <v>0</v>
      </c>
    </row>
    <row r="66" spans="1:42" x14ac:dyDescent="0.2">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row>
    <row r="67" spans="1:42" x14ac:dyDescent="0.2">
      <c r="A67" s="80" t="s">
        <v>72</v>
      </c>
      <c r="B67" s="7"/>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c r="AE67" s="210"/>
      <c r="AF67" s="210"/>
      <c r="AG67" s="210"/>
      <c r="AH67" s="210"/>
      <c r="AI67" s="210"/>
      <c r="AJ67" s="210"/>
      <c r="AK67" s="210"/>
      <c r="AL67" s="210"/>
      <c r="AM67" s="210"/>
      <c r="AN67" s="210"/>
      <c r="AO67" s="210"/>
      <c r="AP67" s="210"/>
    </row>
    <row r="68" spans="1:42" x14ac:dyDescent="0.2">
      <c r="A68" s="19" t="s">
        <v>229</v>
      </c>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row>
    <row r="69" spans="1:42" x14ac:dyDescent="0.2">
      <c r="A69" s="17" t="s">
        <v>31</v>
      </c>
      <c r="B69" s="115"/>
      <c r="C69" s="115">
        <f>C65</f>
        <v>0</v>
      </c>
      <c r="D69" s="115">
        <f t="shared" ref="D69:AP69" si="19">D65</f>
        <v>0</v>
      </c>
      <c r="E69" s="115">
        <f t="shared" si="19"/>
        <v>0</v>
      </c>
      <c r="F69" s="115">
        <f t="shared" si="19"/>
        <v>0</v>
      </c>
      <c r="G69" s="115">
        <f t="shared" si="19"/>
        <v>0</v>
      </c>
      <c r="H69" s="115">
        <f t="shared" si="19"/>
        <v>0</v>
      </c>
      <c r="I69" s="115">
        <f t="shared" si="19"/>
        <v>0</v>
      </c>
      <c r="J69" s="115">
        <f t="shared" si="19"/>
        <v>0</v>
      </c>
      <c r="K69" s="115">
        <f t="shared" si="19"/>
        <v>0</v>
      </c>
      <c r="L69" s="115">
        <f t="shared" si="19"/>
        <v>0</v>
      </c>
      <c r="M69" s="115">
        <f t="shared" si="19"/>
        <v>0</v>
      </c>
      <c r="N69" s="115">
        <f t="shared" si="19"/>
        <v>0</v>
      </c>
      <c r="O69" s="115">
        <f t="shared" si="19"/>
        <v>0</v>
      </c>
      <c r="P69" s="115">
        <f t="shared" si="19"/>
        <v>0</v>
      </c>
      <c r="Q69" s="115">
        <f t="shared" si="19"/>
        <v>0</v>
      </c>
      <c r="R69" s="115">
        <f t="shared" si="19"/>
        <v>0</v>
      </c>
      <c r="S69" s="115">
        <f t="shared" si="19"/>
        <v>0</v>
      </c>
      <c r="T69" s="115">
        <f t="shared" si="19"/>
        <v>0</v>
      </c>
      <c r="U69" s="115">
        <f t="shared" si="19"/>
        <v>0</v>
      </c>
      <c r="V69" s="115">
        <f t="shared" si="19"/>
        <v>0</v>
      </c>
      <c r="W69" s="115">
        <f t="shared" si="19"/>
        <v>0</v>
      </c>
      <c r="X69" s="115">
        <f t="shared" si="19"/>
        <v>0</v>
      </c>
      <c r="Y69" s="115">
        <f t="shared" si="19"/>
        <v>0</v>
      </c>
      <c r="Z69" s="115">
        <f t="shared" si="19"/>
        <v>0</v>
      </c>
      <c r="AA69" s="115">
        <f t="shared" si="19"/>
        <v>0</v>
      </c>
      <c r="AB69" s="115">
        <f t="shared" si="19"/>
        <v>0</v>
      </c>
      <c r="AC69" s="115">
        <f t="shared" si="19"/>
        <v>0</v>
      </c>
      <c r="AD69" s="115">
        <f t="shared" si="19"/>
        <v>0</v>
      </c>
      <c r="AE69" s="115">
        <f t="shared" si="19"/>
        <v>0</v>
      </c>
      <c r="AF69" s="115">
        <f t="shared" si="19"/>
        <v>0</v>
      </c>
      <c r="AG69" s="115">
        <f t="shared" si="19"/>
        <v>0</v>
      </c>
      <c r="AH69" s="115">
        <f t="shared" si="19"/>
        <v>0</v>
      </c>
      <c r="AI69" s="115">
        <f t="shared" si="19"/>
        <v>0</v>
      </c>
      <c r="AJ69" s="115">
        <f t="shared" si="19"/>
        <v>0</v>
      </c>
      <c r="AK69" s="115">
        <f t="shared" si="19"/>
        <v>0</v>
      </c>
      <c r="AL69" s="115">
        <f t="shared" si="19"/>
        <v>0</v>
      </c>
      <c r="AM69" s="115">
        <f t="shared" si="19"/>
        <v>0</v>
      </c>
      <c r="AN69" s="115">
        <f t="shared" si="19"/>
        <v>0</v>
      </c>
      <c r="AO69" s="115">
        <f t="shared" si="19"/>
        <v>0</v>
      </c>
      <c r="AP69" s="115">
        <f t="shared" si="19"/>
        <v>0</v>
      </c>
    </row>
    <row r="70" spans="1:42" x14ac:dyDescent="0.2">
      <c r="A70" s="17" t="s">
        <v>171</v>
      </c>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row>
    <row r="71" spans="1:42" x14ac:dyDescent="0.2">
      <c r="A71" s="21" t="str">
        <f>A23</f>
        <v>Federal</v>
      </c>
      <c r="B71" s="95"/>
      <c r="C71" s="115">
        <f t="shared" ref="C71:AP71" si="20">IF(pbi_fed_for_ds="Yes",0,C624)</f>
        <v>0</v>
      </c>
      <c r="D71" s="115">
        <f t="shared" si="20"/>
        <v>0</v>
      </c>
      <c r="E71" s="115">
        <f t="shared" si="20"/>
        <v>0</v>
      </c>
      <c r="F71" s="115">
        <f t="shared" si="20"/>
        <v>0</v>
      </c>
      <c r="G71" s="115">
        <f t="shared" si="20"/>
        <v>0</v>
      </c>
      <c r="H71" s="115">
        <f t="shared" si="20"/>
        <v>0</v>
      </c>
      <c r="I71" s="115">
        <f t="shared" si="20"/>
        <v>0</v>
      </c>
      <c r="J71" s="115">
        <f t="shared" si="20"/>
        <v>0</v>
      </c>
      <c r="K71" s="115">
        <f t="shared" si="20"/>
        <v>0</v>
      </c>
      <c r="L71" s="115">
        <f t="shared" si="20"/>
        <v>0</v>
      </c>
      <c r="M71" s="115">
        <f t="shared" si="20"/>
        <v>0</v>
      </c>
      <c r="N71" s="115">
        <f t="shared" si="20"/>
        <v>0</v>
      </c>
      <c r="O71" s="115">
        <f t="shared" si="20"/>
        <v>0</v>
      </c>
      <c r="P71" s="115">
        <f t="shared" si="20"/>
        <v>0</v>
      </c>
      <c r="Q71" s="115">
        <f t="shared" si="20"/>
        <v>0</v>
      </c>
      <c r="R71" s="115">
        <f t="shared" si="20"/>
        <v>0</v>
      </c>
      <c r="S71" s="115">
        <f t="shared" si="20"/>
        <v>0</v>
      </c>
      <c r="T71" s="115">
        <f t="shared" si="20"/>
        <v>0</v>
      </c>
      <c r="U71" s="115">
        <f t="shared" si="20"/>
        <v>0</v>
      </c>
      <c r="V71" s="115">
        <f t="shared" si="20"/>
        <v>0</v>
      </c>
      <c r="W71" s="115">
        <f t="shared" si="20"/>
        <v>0</v>
      </c>
      <c r="X71" s="115">
        <f t="shared" si="20"/>
        <v>0</v>
      </c>
      <c r="Y71" s="115">
        <f t="shared" si="20"/>
        <v>0</v>
      </c>
      <c r="Z71" s="115">
        <f t="shared" si="20"/>
        <v>0</v>
      </c>
      <c r="AA71" s="115">
        <f t="shared" si="20"/>
        <v>0</v>
      </c>
      <c r="AB71" s="115">
        <f t="shared" si="20"/>
        <v>0</v>
      </c>
      <c r="AC71" s="115">
        <f t="shared" si="20"/>
        <v>0</v>
      </c>
      <c r="AD71" s="115">
        <f t="shared" si="20"/>
        <v>0</v>
      </c>
      <c r="AE71" s="115">
        <f t="shared" si="20"/>
        <v>0</v>
      </c>
      <c r="AF71" s="115">
        <f t="shared" si="20"/>
        <v>0</v>
      </c>
      <c r="AG71" s="115">
        <f t="shared" si="20"/>
        <v>0</v>
      </c>
      <c r="AH71" s="115">
        <f t="shared" si="20"/>
        <v>0</v>
      </c>
      <c r="AI71" s="115">
        <f t="shared" si="20"/>
        <v>0</v>
      </c>
      <c r="AJ71" s="115">
        <f t="shared" si="20"/>
        <v>0</v>
      </c>
      <c r="AK71" s="115">
        <f t="shared" si="20"/>
        <v>0</v>
      </c>
      <c r="AL71" s="115">
        <f t="shared" si="20"/>
        <v>0</v>
      </c>
      <c r="AM71" s="115">
        <f t="shared" si="20"/>
        <v>0</v>
      </c>
      <c r="AN71" s="115">
        <f t="shared" si="20"/>
        <v>0</v>
      </c>
      <c r="AO71" s="115">
        <f t="shared" si="20"/>
        <v>0</v>
      </c>
      <c r="AP71" s="115">
        <f t="shared" si="20"/>
        <v>0</v>
      </c>
    </row>
    <row r="72" spans="1:42" x14ac:dyDescent="0.2">
      <c r="A72" s="21" t="str">
        <f>A24</f>
        <v>State</v>
      </c>
      <c r="B72" s="95"/>
      <c r="C72" s="115">
        <f t="shared" ref="C72:AP72" si="21">IF(pbi_sta_for_ds="Yes",0,C628)</f>
        <v>0</v>
      </c>
      <c r="D72" s="115">
        <f t="shared" si="21"/>
        <v>0</v>
      </c>
      <c r="E72" s="115">
        <f t="shared" si="21"/>
        <v>0</v>
      </c>
      <c r="F72" s="115">
        <f t="shared" si="21"/>
        <v>0</v>
      </c>
      <c r="G72" s="115">
        <f t="shared" si="21"/>
        <v>0</v>
      </c>
      <c r="H72" s="115">
        <f t="shared" si="21"/>
        <v>0</v>
      </c>
      <c r="I72" s="115">
        <f t="shared" si="21"/>
        <v>0</v>
      </c>
      <c r="J72" s="115">
        <f t="shared" si="21"/>
        <v>0</v>
      </c>
      <c r="K72" s="115">
        <f t="shared" si="21"/>
        <v>0</v>
      </c>
      <c r="L72" s="115">
        <f t="shared" si="21"/>
        <v>0</v>
      </c>
      <c r="M72" s="115">
        <f t="shared" si="21"/>
        <v>0</v>
      </c>
      <c r="N72" s="115">
        <f t="shared" si="21"/>
        <v>0</v>
      </c>
      <c r="O72" s="115">
        <f t="shared" si="21"/>
        <v>0</v>
      </c>
      <c r="P72" s="115">
        <f t="shared" si="21"/>
        <v>0</v>
      </c>
      <c r="Q72" s="115">
        <f t="shared" si="21"/>
        <v>0</v>
      </c>
      <c r="R72" s="115">
        <f t="shared" si="21"/>
        <v>0</v>
      </c>
      <c r="S72" s="115">
        <f t="shared" si="21"/>
        <v>0</v>
      </c>
      <c r="T72" s="115">
        <f t="shared" si="21"/>
        <v>0</v>
      </c>
      <c r="U72" s="115">
        <f t="shared" si="21"/>
        <v>0</v>
      </c>
      <c r="V72" s="115">
        <f t="shared" si="21"/>
        <v>0</v>
      </c>
      <c r="W72" s="115">
        <f t="shared" si="21"/>
        <v>0</v>
      </c>
      <c r="X72" s="115">
        <f t="shared" si="21"/>
        <v>0</v>
      </c>
      <c r="Y72" s="115">
        <f t="shared" si="21"/>
        <v>0</v>
      </c>
      <c r="Z72" s="115">
        <f t="shared" si="21"/>
        <v>0</v>
      </c>
      <c r="AA72" s="115">
        <f t="shared" si="21"/>
        <v>0</v>
      </c>
      <c r="AB72" s="115">
        <f t="shared" si="21"/>
        <v>0</v>
      </c>
      <c r="AC72" s="115">
        <f t="shared" si="21"/>
        <v>0</v>
      </c>
      <c r="AD72" s="115">
        <f t="shared" si="21"/>
        <v>0</v>
      </c>
      <c r="AE72" s="115">
        <f t="shared" si="21"/>
        <v>0</v>
      </c>
      <c r="AF72" s="115">
        <f t="shared" si="21"/>
        <v>0</v>
      </c>
      <c r="AG72" s="115">
        <f t="shared" si="21"/>
        <v>0</v>
      </c>
      <c r="AH72" s="115">
        <f t="shared" si="21"/>
        <v>0</v>
      </c>
      <c r="AI72" s="115">
        <f t="shared" si="21"/>
        <v>0</v>
      </c>
      <c r="AJ72" s="115">
        <f t="shared" si="21"/>
        <v>0</v>
      </c>
      <c r="AK72" s="115">
        <f t="shared" si="21"/>
        <v>0</v>
      </c>
      <c r="AL72" s="115">
        <f t="shared" si="21"/>
        <v>0</v>
      </c>
      <c r="AM72" s="115">
        <f t="shared" si="21"/>
        <v>0</v>
      </c>
      <c r="AN72" s="115">
        <f t="shared" si="21"/>
        <v>0</v>
      </c>
      <c r="AO72" s="115">
        <f t="shared" si="21"/>
        <v>0</v>
      </c>
      <c r="AP72" s="115">
        <f t="shared" si="21"/>
        <v>0</v>
      </c>
    </row>
    <row r="73" spans="1:42" x14ac:dyDescent="0.2">
      <c r="A73" s="21" t="str">
        <f>A25</f>
        <v>Utility</v>
      </c>
      <c r="B73" s="95"/>
      <c r="C73" s="115">
        <f t="shared" ref="C73:AP73" si="22">IF(pbi_uti_for_ds="Yes",0,C632)</f>
        <v>0</v>
      </c>
      <c r="D73" s="115">
        <f t="shared" si="22"/>
        <v>0</v>
      </c>
      <c r="E73" s="115">
        <f t="shared" si="22"/>
        <v>0</v>
      </c>
      <c r="F73" s="115">
        <f t="shared" si="22"/>
        <v>0</v>
      </c>
      <c r="G73" s="115">
        <f t="shared" si="22"/>
        <v>0</v>
      </c>
      <c r="H73" s="115">
        <f t="shared" si="22"/>
        <v>0</v>
      </c>
      <c r="I73" s="115">
        <f t="shared" si="22"/>
        <v>0</v>
      </c>
      <c r="J73" s="115">
        <f t="shared" si="22"/>
        <v>0</v>
      </c>
      <c r="K73" s="115">
        <f t="shared" si="22"/>
        <v>0</v>
      </c>
      <c r="L73" s="115">
        <f t="shared" si="22"/>
        <v>0</v>
      </c>
      <c r="M73" s="115">
        <f t="shared" si="22"/>
        <v>0</v>
      </c>
      <c r="N73" s="115">
        <f t="shared" si="22"/>
        <v>0</v>
      </c>
      <c r="O73" s="115">
        <f t="shared" si="22"/>
        <v>0</v>
      </c>
      <c r="P73" s="115">
        <f t="shared" si="22"/>
        <v>0</v>
      </c>
      <c r="Q73" s="115">
        <f t="shared" si="22"/>
        <v>0</v>
      </c>
      <c r="R73" s="115">
        <f t="shared" si="22"/>
        <v>0</v>
      </c>
      <c r="S73" s="115">
        <f t="shared" si="22"/>
        <v>0</v>
      </c>
      <c r="T73" s="115">
        <f t="shared" si="22"/>
        <v>0</v>
      </c>
      <c r="U73" s="115">
        <f t="shared" si="22"/>
        <v>0</v>
      </c>
      <c r="V73" s="115">
        <f t="shared" si="22"/>
        <v>0</v>
      </c>
      <c r="W73" s="115">
        <f t="shared" si="22"/>
        <v>0</v>
      </c>
      <c r="X73" s="115">
        <f t="shared" si="22"/>
        <v>0</v>
      </c>
      <c r="Y73" s="115">
        <f t="shared" si="22"/>
        <v>0</v>
      </c>
      <c r="Z73" s="115">
        <f t="shared" si="22"/>
        <v>0</v>
      </c>
      <c r="AA73" s="115">
        <f t="shared" si="22"/>
        <v>0</v>
      </c>
      <c r="AB73" s="115">
        <f t="shared" si="22"/>
        <v>0</v>
      </c>
      <c r="AC73" s="115">
        <f t="shared" si="22"/>
        <v>0</v>
      </c>
      <c r="AD73" s="115">
        <f t="shared" si="22"/>
        <v>0</v>
      </c>
      <c r="AE73" s="115">
        <f t="shared" si="22"/>
        <v>0</v>
      </c>
      <c r="AF73" s="115">
        <f t="shared" si="22"/>
        <v>0</v>
      </c>
      <c r="AG73" s="115">
        <f t="shared" si="22"/>
        <v>0</v>
      </c>
      <c r="AH73" s="115">
        <f t="shared" si="22"/>
        <v>0</v>
      </c>
      <c r="AI73" s="115">
        <f t="shared" si="22"/>
        <v>0</v>
      </c>
      <c r="AJ73" s="115">
        <f t="shared" si="22"/>
        <v>0</v>
      </c>
      <c r="AK73" s="115">
        <f t="shared" si="22"/>
        <v>0</v>
      </c>
      <c r="AL73" s="115">
        <f t="shared" si="22"/>
        <v>0</v>
      </c>
      <c r="AM73" s="115">
        <f t="shared" si="22"/>
        <v>0</v>
      </c>
      <c r="AN73" s="115">
        <f t="shared" si="22"/>
        <v>0</v>
      </c>
      <c r="AO73" s="115">
        <f t="shared" si="22"/>
        <v>0</v>
      </c>
      <c r="AP73" s="115">
        <f t="shared" si="22"/>
        <v>0</v>
      </c>
    </row>
    <row r="74" spans="1:42" x14ac:dyDescent="0.2">
      <c r="A74" s="21" t="str">
        <f>A26</f>
        <v>Other</v>
      </c>
      <c r="B74" s="95"/>
      <c r="C74" s="116">
        <f t="shared" ref="C74:AP74" si="23">IF(pbi_oth_for_ds="Yes",0,C636)</f>
        <v>0</v>
      </c>
      <c r="D74" s="116">
        <f t="shared" si="23"/>
        <v>0</v>
      </c>
      <c r="E74" s="116">
        <f t="shared" si="23"/>
        <v>0</v>
      </c>
      <c r="F74" s="116">
        <f t="shared" si="23"/>
        <v>0</v>
      </c>
      <c r="G74" s="116">
        <f t="shared" si="23"/>
        <v>0</v>
      </c>
      <c r="H74" s="116">
        <f t="shared" si="23"/>
        <v>0</v>
      </c>
      <c r="I74" s="116">
        <f t="shared" si="23"/>
        <v>0</v>
      </c>
      <c r="J74" s="116">
        <f t="shared" si="23"/>
        <v>0</v>
      </c>
      <c r="K74" s="116">
        <f t="shared" si="23"/>
        <v>0</v>
      </c>
      <c r="L74" s="116">
        <f t="shared" si="23"/>
        <v>0</v>
      </c>
      <c r="M74" s="116">
        <f t="shared" si="23"/>
        <v>0</v>
      </c>
      <c r="N74" s="116">
        <f t="shared" si="23"/>
        <v>0</v>
      </c>
      <c r="O74" s="116">
        <f t="shared" si="23"/>
        <v>0</v>
      </c>
      <c r="P74" s="116">
        <f t="shared" si="23"/>
        <v>0</v>
      </c>
      <c r="Q74" s="116">
        <f t="shared" si="23"/>
        <v>0</v>
      </c>
      <c r="R74" s="116">
        <f t="shared" si="23"/>
        <v>0</v>
      </c>
      <c r="S74" s="116">
        <f t="shared" si="23"/>
        <v>0</v>
      </c>
      <c r="T74" s="116">
        <f t="shared" si="23"/>
        <v>0</v>
      </c>
      <c r="U74" s="116">
        <f t="shared" si="23"/>
        <v>0</v>
      </c>
      <c r="V74" s="116">
        <f t="shared" si="23"/>
        <v>0</v>
      </c>
      <c r="W74" s="116">
        <f t="shared" si="23"/>
        <v>0</v>
      </c>
      <c r="X74" s="116">
        <f t="shared" si="23"/>
        <v>0</v>
      </c>
      <c r="Y74" s="116">
        <f t="shared" si="23"/>
        <v>0</v>
      </c>
      <c r="Z74" s="116">
        <f t="shared" si="23"/>
        <v>0</v>
      </c>
      <c r="AA74" s="116">
        <f t="shared" si="23"/>
        <v>0</v>
      </c>
      <c r="AB74" s="116">
        <f t="shared" si="23"/>
        <v>0</v>
      </c>
      <c r="AC74" s="116">
        <f t="shared" si="23"/>
        <v>0</v>
      </c>
      <c r="AD74" s="116">
        <f t="shared" si="23"/>
        <v>0</v>
      </c>
      <c r="AE74" s="116">
        <f t="shared" si="23"/>
        <v>0</v>
      </c>
      <c r="AF74" s="116">
        <f t="shared" si="23"/>
        <v>0</v>
      </c>
      <c r="AG74" s="116">
        <f t="shared" si="23"/>
        <v>0</v>
      </c>
      <c r="AH74" s="116">
        <f t="shared" si="23"/>
        <v>0</v>
      </c>
      <c r="AI74" s="116">
        <f t="shared" si="23"/>
        <v>0</v>
      </c>
      <c r="AJ74" s="116">
        <f t="shared" si="23"/>
        <v>0</v>
      </c>
      <c r="AK74" s="116">
        <f t="shared" si="23"/>
        <v>0</v>
      </c>
      <c r="AL74" s="116">
        <f t="shared" si="23"/>
        <v>0</v>
      </c>
      <c r="AM74" s="116">
        <f t="shared" si="23"/>
        <v>0</v>
      </c>
      <c r="AN74" s="116">
        <f t="shared" si="23"/>
        <v>0</v>
      </c>
      <c r="AO74" s="116">
        <f t="shared" si="23"/>
        <v>0</v>
      </c>
      <c r="AP74" s="116">
        <f t="shared" si="23"/>
        <v>0</v>
      </c>
    </row>
    <row r="75" spans="1:42" x14ac:dyDescent="0.2">
      <c r="A75" s="21" t="s">
        <v>13</v>
      </c>
      <c r="B75" s="95"/>
      <c r="C75" s="115">
        <f>SUM(C71:C74)</f>
        <v>0</v>
      </c>
      <c r="D75" s="115">
        <f t="shared" ref="D75:AP75" si="24">SUM(D71:D74)</f>
        <v>0</v>
      </c>
      <c r="E75" s="115">
        <f t="shared" si="24"/>
        <v>0</v>
      </c>
      <c r="F75" s="115">
        <f t="shared" si="24"/>
        <v>0</v>
      </c>
      <c r="G75" s="115">
        <f t="shared" si="24"/>
        <v>0</v>
      </c>
      <c r="H75" s="115">
        <f t="shared" si="24"/>
        <v>0</v>
      </c>
      <c r="I75" s="115">
        <f t="shared" si="24"/>
        <v>0</v>
      </c>
      <c r="J75" s="115">
        <f t="shared" si="24"/>
        <v>0</v>
      </c>
      <c r="K75" s="115">
        <f t="shared" si="24"/>
        <v>0</v>
      </c>
      <c r="L75" s="115">
        <f t="shared" si="24"/>
        <v>0</v>
      </c>
      <c r="M75" s="115">
        <f t="shared" si="24"/>
        <v>0</v>
      </c>
      <c r="N75" s="115">
        <f t="shared" si="24"/>
        <v>0</v>
      </c>
      <c r="O75" s="115">
        <f t="shared" si="24"/>
        <v>0</v>
      </c>
      <c r="P75" s="115">
        <f t="shared" si="24"/>
        <v>0</v>
      </c>
      <c r="Q75" s="115">
        <f t="shared" si="24"/>
        <v>0</v>
      </c>
      <c r="R75" s="115">
        <f t="shared" si="24"/>
        <v>0</v>
      </c>
      <c r="S75" s="115">
        <f t="shared" si="24"/>
        <v>0</v>
      </c>
      <c r="T75" s="115">
        <f t="shared" si="24"/>
        <v>0</v>
      </c>
      <c r="U75" s="115">
        <f t="shared" si="24"/>
        <v>0</v>
      </c>
      <c r="V75" s="115">
        <f t="shared" si="24"/>
        <v>0</v>
      </c>
      <c r="W75" s="115">
        <f t="shared" si="24"/>
        <v>0</v>
      </c>
      <c r="X75" s="115">
        <f t="shared" si="24"/>
        <v>0</v>
      </c>
      <c r="Y75" s="115">
        <f t="shared" si="24"/>
        <v>0</v>
      </c>
      <c r="Z75" s="115">
        <f t="shared" si="24"/>
        <v>0</v>
      </c>
      <c r="AA75" s="115">
        <f t="shared" si="24"/>
        <v>0</v>
      </c>
      <c r="AB75" s="115">
        <f t="shared" si="24"/>
        <v>0</v>
      </c>
      <c r="AC75" s="115">
        <f t="shared" si="24"/>
        <v>0</v>
      </c>
      <c r="AD75" s="115">
        <f t="shared" si="24"/>
        <v>0</v>
      </c>
      <c r="AE75" s="115">
        <f t="shared" si="24"/>
        <v>0</v>
      </c>
      <c r="AF75" s="115">
        <f t="shared" si="24"/>
        <v>0</v>
      </c>
      <c r="AG75" s="115">
        <f t="shared" si="24"/>
        <v>0</v>
      </c>
      <c r="AH75" s="115">
        <f t="shared" si="24"/>
        <v>0</v>
      </c>
      <c r="AI75" s="115">
        <f t="shared" si="24"/>
        <v>0</v>
      </c>
      <c r="AJ75" s="115">
        <f t="shared" si="24"/>
        <v>0</v>
      </c>
      <c r="AK75" s="115">
        <f t="shared" si="24"/>
        <v>0</v>
      </c>
      <c r="AL75" s="115">
        <f t="shared" si="24"/>
        <v>0</v>
      </c>
      <c r="AM75" s="115">
        <f t="shared" si="24"/>
        <v>0</v>
      </c>
      <c r="AN75" s="115">
        <f t="shared" si="24"/>
        <v>0</v>
      </c>
      <c r="AO75" s="115">
        <f t="shared" si="24"/>
        <v>0</v>
      </c>
      <c r="AP75" s="115">
        <f t="shared" si="24"/>
        <v>0</v>
      </c>
    </row>
    <row r="76" spans="1:42" x14ac:dyDescent="0.2">
      <c r="A76" s="17" t="s">
        <v>248</v>
      </c>
      <c r="B76" s="115">
        <v>0</v>
      </c>
      <c r="C76" s="115">
        <f t="shared" ref="C76:AP76" si="25">C784</f>
        <v>0</v>
      </c>
      <c r="D76" s="115">
        <f t="shared" si="25"/>
        <v>0</v>
      </c>
      <c r="E76" s="115">
        <f t="shared" si="25"/>
        <v>0</v>
      </c>
      <c r="F76" s="115">
        <f t="shared" si="25"/>
        <v>0</v>
      </c>
      <c r="G76" s="115">
        <f t="shared" si="25"/>
        <v>0</v>
      </c>
      <c r="H76" s="115">
        <f t="shared" si="25"/>
        <v>0</v>
      </c>
      <c r="I76" s="115">
        <f t="shared" si="25"/>
        <v>0</v>
      </c>
      <c r="J76" s="115">
        <f t="shared" si="25"/>
        <v>0</v>
      </c>
      <c r="K76" s="115">
        <f t="shared" si="25"/>
        <v>0</v>
      </c>
      <c r="L76" s="115">
        <f t="shared" si="25"/>
        <v>0</v>
      </c>
      <c r="M76" s="115">
        <f t="shared" si="25"/>
        <v>0</v>
      </c>
      <c r="N76" s="115">
        <f t="shared" si="25"/>
        <v>0</v>
      </c>
      <c r="O76" s="115">
        <f t="shared" si="25"/>
        <v>0</v>
      </c>
      <c r="P76" s="115">
        <f t="shared" si="25"/>
        <v>0</v>
      </c>
      <c r="Q76" s="115">
        <f t="shared" si="25"/>
        <v>0</v>
      </c>
      <c r="R76" s="115">
        <f t="shared" si="25"/>
        <v>0</v>
      </c>
      <c r="S76" s="115">
        <f t="shared" si="25"/>
        <v>0</v>
      </c>
      <c r="T76" s="115">
        <f t="shared" si="25"/>
        <v>0</v>
      </c>
      <c r="U76" s="115">
        <f t="shared" si="25"/>
        <v>0</v>
      </c>
      <c r="V76" s="115">
        <f t="shared" si="25"/>
        <v>0</v>
      </c>
      <c r="W76" s="115">
        <f t="shared" si="25"/>
        <v>0</v>
      </c>
      <c r="X76" s="115">
        <f t="shared" si="25"/>
        <v>0</v>
      </c>
      <c r="Y76" s="115">
        <f t="shared" si="25"/>
        <v>0</v>
      </c>
      <c r="Z76" s="115">
        <f t="shared" si="25"/>
        <v>0</v>
      </c>
      <c r="AA76" s="115">
        <f t="shared" si="25"/>
        <v>0</v>
      </c>
      <c r="AB76" s="115">
        <f t="shared" si="25"/>
        <v>0</v>
      </c>
      <c r="AC76" s="115">
        <f t="shared" si="25"/>
        <v>0</v>
      </c>
      <c r="AD76" s="115">
        <f t="shared" si="25"/>
        <v>0</v>
      </c>
      <c r="AE76" s="115">
        <f t="shared" si="25"/>
        <v>0</v>
      </c>
      <c r="AF76" s="115">
        <f t="shared" si="25"/>
        <v>0</v>
      </c>
      <c r="AG76" s="115">
        <f t="shared" si="25"/>
        <v>0</v>
      </c>
      <c r="AH76" s="115">
        <f t="shared" si="25"/>
        <v>0</v>
      </c>
      <c r="AI76" s="115">
        <f t="shared" si="25"/>
        <v>0</v>
      </c>
      <c r="AJ76" s="115">
        <f t="shared" si="25"/>
        <v>0</v>
      </c>
      <c r="AK76" s="115">
        <f t="shared" si="25"/>
        <v>0</v>
      </c>
      <c r="AL76" s="115">
        <f t="shared" si="25"/>
        <v>0</v>
      </c>
      <c r="AM76" s="115">
        <f t="shared" si="25"/>
        <v>0</v>
      </c>
      <c r="AN76" s="115">
        <f t="shared" si="25"/>
        <v>0</v>
      </c>
      <c r="AO76" s="115">
        <f t="shared" si="25"/>
        <v>0</v>
      </c>
      <c r="AP76" s="115">
        <f t="shared" si="25"/>
        <v>0</v>
      </c>
    </row>
    <row r="77" spans="1:42" x14ac:dyDescent="0.2">
      <c r="A77" s="17" t="s">
        <v>249</v>
      </c>
      <c r="B77" s="116">
        <v>0</v>
      </c>
      <c r="C77" s="116">
        <f t="shared" ref="C77:AP77" si="26">-C643</f>
        <v>0</v>
      </c>
      <c r="D77" s="116">
        <f t="shared" si="26"/>
        <v>0</v>
      </c>
      <c r="E77" s="116">
        <f t="shared" si="26"/>
        <v>0</v>
      </c>
      <c r="F77" s="116">
        <f t="shared" si="26"/>
        <v>0</v>
      </c>
      <c r="G77" s="116">
        <f t="shared" si="26"/>
        <v>0</v>
      </c>
      <c r="H77" s="116">
        <f t="shared" si="26"/>
        <v>0</v>
      </c>
      <c r="I77" s="116">
        <f t="shared" si="26"/>
        <v>0</v>
      </c>
      <c r="J77" s="116">
        <f t="shared" si="26"/>
        <v>0</v>
      </c>
      <c r="K77" s="116">
        <f t="shared" si="26"/>
        <v>0</v>
      </c>
      <c r="L77" s="116">
        <f t="shared" si="26"/>
        <v>0</v>
      </c>
      <c r="M77" s="116">
        <f t="shared" si="26"/>
        <v>0</v>
      </c>
      <c r="N77" s="116">
        <f t="shared" si="26"/>
        <v>0</v>
      </c>
      <c r="O77" s="116">
        <f t="shared" si="26"/>
        <v>0</v>
      </c>
      <c r="P77" s="116">
        <f t="shared" si="26"/>
        <v>0</v>
      </c>
      <c r="Q77" s="116">
        <f t="shared" si="26"/>
        <v>0</v>
      </c>
      <c r="R77" s="116">
        <f t="shared" si="26"/>
        <v>0</v>
      </c>
      <c r="S77" s="116">
        <f t="shared" si="26"/>
        <v>0</v>
      </c>
      <c r="T77" s="116">
        <f t="shared" si="26"/>
        <v>0</v>
      </c>
      <c r="U77" s="116">
        <f t="shared" si="26"/>
        <v>0</v>
      </c>
      <c r="V77" s="116">
        <f t="shared" si="26"/>
        <v>0</v>
      </c>
      <c r="W77" s="116">
        <f t="shared" si="26"/>
        <v>0</v>
      </c>
      <c r="X77" s="116">
        <f t="shared" si="26"/>
        <v>0</v>
      </c>
      <c r="Y77" s="116">
        <f t="shared" si="26"/>
        <v>0</v>
      </c>
      <c r="Z77" s="116">
        <f t="shared" si="26"/>
        <v>0</v>
      </c>
      <c r="AA77" s="116">
        <f t="shared" si="26"/>
        <v>0</v>
      </c>
      <c r="AB77" s="116">
        <f t="shared" si="26"/>
        <v>0</v>
      </c>
      <c r="AC77" s="116">
        <f t="shared" si="26"/>
        <v>0</v>
      </c>
      <c r="AD77" s="116">
        <f t="shared" si="26"/>
        <v>0</v>
      </c>
      <c r="AE77" s="116">
        <f t="shared" si="26"/>
        <v>0</v>
      </c>
      <c r="AF77" s="116">
        <f t="shared" si="26"/>
        <v>0</v>
      </c>
      <c r="AG77" s="116">
        <f t="shared" si="26"/>
        <v>0</v>
      </c>
      <c r="AH77" s="116">
        <f t="shared" si="26"/>
        <v>0</v>
      </c>
      <c r="AI77" s="116">
        <f t="shared" si="26"/>
        <v>0</v>
      </c>
      <c r="AJ77" s="116">
        <f t="shared" si="26"/>
        <v>0</v>
      </c>
      <c r="AK77" s="116">
        <f t="shared" si="26"/>
        <v>0</v>
      </c>
      <c r="AL77" s="116">
        <f t="shared" si="26"/>
        <v>0</v>
      </c>
      <c r="AM77" s="116">
        <f t="shared" si="26"/>
        <v>0</v>
      </c>
      <c r="AN77" s="116">
        <f t="shared" si="26"/>
        <v>0</v>
      </c>
      <c r="AO77" s="116">
        <f t="shared" si="26"/>
        <v>0</v>
      </c>
      <c r="AP77" s="116">
        <f t="shared" si="26"/>
        <v>0</v>
      </c>
    </row>
    <row r="78" spans="1:42" x14ac:dyDescent="0.2">
      <c r="A78" s="200" t="s">
        <v>13</v>
      </c>
      <c r="B78" s="133">
        <f>B69+B75+B76+B77</f>
        <v>0</v>
      </c>
      <c r="C78" s="133">
        <f>C69+C75+C76+C77</f>
        <v>0</v>
      </c>
      <c r="D78" s="133">
        <f t="shared" ref="D78:AP78" si="27">D69+D75+D76+D77</f>
        <v>0</v>
      </c>
      <c r="E78" s="133">
        <f t="shared" si="27"/>
        <v>0</v>
      </c>
      <c r="F78" s="133">
        <f t="shared" si="27"/>
        <v>0</v>
      </c>
      <c r="G78" s="133">
        <f t="shared" si="27"/>
        <v>0</v>
      </c>
      <c r="H78" s="133">
        <f t="shared" si="27"/>
        <v>0</v>
      </c>
      <c r="I78" s="133">
        <f t="shared" si="27"/>
        <v>0</v>
      </c>
      <c r="J78" s="133">
        <f t="shared" si="27"/>
        <v>0</v>
      </c>
      <c r="K78" s="133">
        <f t="shared" si="27"/>
        <v>0</v>
      </c>
      <c r="L78" s="133">
        <f t="shared" si="27"/>
        <v>0</v>
      </c>
      <c r="M78" s="133">
        <f t="shared" si="27"/>
        <v>0</v>
      </c>
      <c r="N78" s="133">
        <f t="shared" si="27"/>
        <v>0</v>
      </c>
      <c r="O78" s="133">
        <f t="shared" si="27"/>
        <v>0</v>
      </c>
      <c r="P78" s="133">
        <f t="shared" si="27"/>
        <v>0</v>
      </c>
      <c r="Q78" s="133">
        <f t="shared" si="27"/>
        <v>0</v>
      </c>
      <c r="R78" s="133">
        <f t="shared" si="27"/>
        <v>0</v>
      </c>
      <c r="S78" s="133">
        <f t="shared" si="27"/>
        <v>0</v>
      </c>
      <c r="T78" s="133">
        <f t="shared" si="27"/>
        <v>0</v>
      </c>
      <c r="U78" s="133">
        <f t="shared" si="27"/>
        <v>0</v>
      </c>
      <c r="V78" s="133">
        <f t="shared" si="27"/>
        <v>0</v>
      </c>
      <c r="W78" s="133">
        <f t="shared" si="27"/>
        <v>0</v>
      </c>
      <c r="X78" s="133">
        <f t="shared" si="27"/>
        <v>0</v>
      </c>
      <c r="Y78" s="133">
        <f t="shared" si="27"/>
        <v>0</v>
      </c>
      <c r="Z78" s="133">
        <f t="shared" si="27"/>
        <v>0</v>
      </c>
      <c r="AA78" s="133">
        <f t="shared" si="27"/>
        <v>0</v>
      </c>
      <c r="AB78" s="133">
        <f t="shared" si="27"/>
        <v>0</v>
      </c>
      <c r="AC78" s="133">
        <f t="shared" si="27"/>
        <v>0</v>
      </c>
      <c r="AD78" s="133">
        <f t="shared" si="27"/>
        <v>0</v>
      </c>
      <c r="AE78" s="133">
        <f t="shared" si="27"/>
        <v>0</v>
      </c>
      <c r="AF78" s="133">
        <f t="shared" si="27"/>
        <v>0</v>
      </c>
      <c r="AG78" s="133">
        <f t="shared" si="27"/>
        <v>0</v>
      </c>
      <c r="AH78" s="133">
        <f t="shared" si="27"/>
        <v>0</v>
      </c>
      <c r="AI78" s="133">
        <f t="shared" si="27"/>
        <v>0</v>
      </c>
      <c r="AJ78" s="133">
        <f t="shared" si="27"/>
        <v>0</v>
      </c>
      <c r="AK78" s="133">
        <f t="shared" si="27"/>
        <v>0</v>
      </c>
      <c r="AL78" s="133">
        <f t="shared" si="27"/>
        <v>0</v>
      </c>
      <c r="AM78" s="133">
        <f t="shared" si="27"/>
        <v>0</v>
      </c>
      <c r="AN78" s="133">
        <f t="shared" si="27"/>
        <v>0</v>
      </c>
      <c r="AO78" s="133">
        <f t="shared" si="27"/>
        <v>0</v>
      </c>
      <c r="AP78" s="133">
        <f t="shared" si="27"/>
        <v>0</v>
      </c>
    </row>
    <row r="79" spans="1:42" x14ac:dyDescent="0.2">
      <c r="A79" s="17"/>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row>
    <row r="80" spans="1:42" x14ac:dyDescent="0.2">
      <c r="A80" s="19" t="s">
        <v>58</v>
      </c>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row>
    <row r="81" spans="1:42" x14ac:dyDescent="0.2">
      <c r="A81" s="4" t="s">
        <v>177</v>
      </c>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row>
    <row r="82" spans="1:42" x14ac:dyDescent="0.2">
      <c r="A82" s="21" t="s">
        <v>178</v>
      </c>
      <c r="B82" s="115">
        <f>-total_installed_cost</f>
        <v>0</v>
      </c>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row>
    <row r="83" spans="1:42" x14ac:dyDescent="0.2">
      <c r="A83" s="21" t="s">
        <v>352</v>
      </c>
      <c r="B83" s="115">
        <f>-cost_equity_closing</f>
        <v>0</v>
      </c>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row>
    <row r="84" spans="1:42" x14ac:dyDescent="0.2">
      <c r="A84" s="21" t="s">
        <v>341</v>
      </c>
      <c r="B84" s="115">
        <f>-Inputs!C85</f>
        <v>0</v>
      </c>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row>
    <row r="85" spans="1:42" x14ac:dyDescent="0.2">
      <c r="A85" s="21" t="s">
        <v>239</v>
      </c>
      <c r="B85" s="115">
        <f>IF(cost_debt_closing="N/A",0,-cost_debt_closing)</f>
        <v>0</v>
      </c>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row>
    <row r="86" spans="1:42" x14ac:dyDescent="0.2">
      <c r="A86" s="21" t="s">
        <v>240</v>
      </c>
      <c r="B86" s="115">
        <f>IF(cost_debt_fee="N/A",0,-CostDebtUpfront)</f>
        <v>0</v>
      </c>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row>
    <row r="87" spans="1:42" x14ac:dyDescent="0.2">
      <c r="A87" s="21" t="s">
        <v>241</v>
      </c>
      <c r="B87" s="115">
        <f>-cost_other_financing</f>
        <v>0</v>
      </c>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row>
    <row r="88" spans="1:42" x14ac:dyDescent="0.2">
      <c r="A88" s="21" t="s">
        <v>179</v>
      </c>
      <c r="B88" s="115">
        <f>-Inputs!I98</f>
        <v>0</v>
      </c>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row>
    <row r="89" spans="1:42" x14ac:dyDescent="0.2">
      <c r="A89" s="21" t="s">
        <v>246</v>
      </c>
      <c r="B89" s="115">
        <f>C605+C611</f>
        <v>0</v>
      </c>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row>
    <row r="90" spans="1:42" x14ac:dyDescent="0.2">
      <c r="A90" s="21" t="s">
        <v>247</v>
      </c>
      <c r="B90" s="116">
        <f>C618</f>
        <v>0</v>
      </c>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row>
    <row r="91" spans="1:42" x14ac:dyDescent="0.2">
      <c r="A91" s="21" t="s">
        <v>188</v>
      </c>
      <c r="B91" s="115">
        <f>SUM(B82:B90)</f>
        <v>0</v>
      </c>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row>
    <row r="92" spans="1:42" x14ac:dyDescent="0.2">
      <c r="A92" s="17" t="s">
        <v>180</v>
      </c>
      <c r="B92" s="115"/>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row>
    <row r="93" spans="1:42" x14ac:dyDescent="0.2">
      <c r="A93" s="21" t="s">
        <v>275</v>
      </c>
      <c r="B93" s="115">
        <f>-B670-B671</f>
        <v>0</v>
      </c>
      <c r="C93" s="115">
        <f t="shared" ref="C93:AP93" si="28">-C670-C671</f>
        <v>0</v>
      </c>
      <c r="D93" s="115">
        <f t="shared" si="28"/>
        <v>0</v>
      </c>
      <c r="E93" s="115">
        <f t="shared" si="28"/>
        <v>0</v>
      </c>
      <c r="F93" s="115">
        <f t="shared" si="28"/>
        <v>0</v>
      </c>
      <c r="G93" s="115">
        <f t="shared" si="28"/>
        <v>0</v>
      </c>
      <c r="H93" s="115">
        <f t="shared" si="28"/>
        <v>0</v>
      </c>
      <c r="I93" s="115">
        <f t="shared" si="28"/>
        <v>0</v>
      </c>
      <c r="J93" s="115">
        <f t="shared" si="28"/>
        <v>0</v>
      </c>
      <c r="K93" s="115">
        <f t="shared" si="28"/>
        <v>0</v>
      </c>
      <c r="L93" s="115">
        <f t="shared" si="28"/>
        <v>0</v>
      </c>
      <c r="M93" s="115">
        <f t="shared" si="28"/>
        <v>0</v>
      </c>
      <c r="N93" s="115">
        <f t="shared" si="28"/>
        <v>0</v>
      </c>
      <c r="O93" s="115">
        <f t="shared" si="28"/>
        <v>0</v>
      </c>
      <c r="P93" s="115">
        <f t="shared" si="28"/>
        <v>0</v>
      </c>
      <c r="Q93" s="115">
        <f t="shared" si="28"/>
        <v>0</v>
      </c>
      <c r="R93" s="115">
        <f t="shared" si="28"/>
        <v>0</v>
      </c>
      <c r="S93" s="115">
        <f t="shared" si="28"/>
        <v>0</v>
      </c>
      <c r="T93" s="115">
        <f t="shared" si="28"/>
        <v>0</v>
      </c>
      <c r="U93" s="115">
        <f t="shared" si="28"/>
        <v>0</v>
      </c>
      <c r="V93" s="115">
        <f t="shared" si="28"/>
        <v>0</v>
      </c>
      <c r="W93" s="115">
        <f t="shared" si="28"/>
        <v>0</v>
      </c>
      <c r="X93" s="115">
        <f t="shared" si="28"/>
        <v>0</v>
      </c>
      <c r="Y93" s="115">
        <f t="shared" si="28"/>
        <v>0</v>
      </c>
      <c r="Z93" s="115">
        <f t="shared" si="28"/>
        <v>0</v>
      </c>
      <c r="AA93" s="115">
        <f t="shared" si="28"/>
        <v>0</v>
      </c>
      <c r="AB93" s="115">
        <f t="shared" si="28"/>
        <v>0</v>
      </c>
      <c r="AC93" s="115">
        <f t="shared" si="28"/>
        <v>0</v>
      </c>
      <c r="AD93" s="115">
        <f t="shared" si="28"/>
        <v>0</v>
      </c>
      <c r="AE93" s="115">
        <f t="shared" si="28"/>
        <v>0</v>
      </c>
      <c r="AF93" s="115">
        <f t="shared" si="28"/>
        <v>0</v>
      </c>
      <c r="AG93" s="115">
        <f t="shared" si="28"/>
        <v>0</v>
      </c>
      <c r="AH93" s="115">
        <f t="shared" si="28"/>
        <v>0</v>
      </c>
      <c r="AI93" s="115">
        <f t="shared" si="28"/>
        <v>0</v>
      </c>
      <c r="AJ93" s="115">
        <f t="shared" si="28"/>
        <v>0</v>
      </c>
      <c r="AK93" s="115">
        <f t="shared" si="28"/>
        <v>0</v>
      </c>
      <c r="AL93" s="115">
        <f t="shared" si="28"/>
        <v>0</v>
      </c>
      <c r="AM93" s="115">
        <f t="shared" si="28"/>
        <v>0</v>
      </c>
      <c r="AN93" s="115">
        <f t="shared" si="28"/>
        <v>0</v>
      </c>
      <c r="AO93" s="115">
        <f t="shared" si="28"/>
        <v>0</v>
      </c>
      <c r="AP93" s="115">
        <f t="shared" si="28"/>
        <v>0</v>
      </c>
    </row>
    <row r="94" spans="1:42" x14ac:dyDescent="0.2">
      <c r="A94" s="21" t="s">
        <v>274</v>
      </c>
      <c r="B94" s="115">
        <f t="shared" ref="B94:AP94" si="29">-B676-B677</f>
        <v>0</v>
      </c>
      <c r="C94" s="115">
        <f t="shared" si="29"/>
        <v>0</v>
      </c>
      <c r="D94" s="115">
        <f t="shared" si="29"/>
        <v>0</v>
      </c>
      <c r="E94" s="115">
        <f t="shared" si="29"/>
        <v>0</v>
      </c>
      <c r="F94" s="115">
        <f t="shared" si="29"/>
        <v>0</v>
      </c>
      <c r="G94" s="115">
        <f t="shared" si="29"/>
        <v>0</v>
      </c>
      <c r="H94" s="115">
        <f t="shared" si="29"/>
        <v>0</v>
      </c>
      <c r="I94" s="115">
        <f t="shared" si="29"/>
        <v>0</v>
      </c>
      <c r="J94" s="115">
        <f t="shared" si="29"/>
        <v>0</v>
      </c>
      <c r="K94" s="115">
        <f t="shared" si="29"/>
        <v>0</v>
      </c>
      <c r="L94" s="115">
        <f t="shared" si="29"/>
        <v>0</v>
      </c>
      <c r="M94" s="115">
        <f t="shared" si="29"/>
        <v>0</v>
      </c>
      <c r="N94" s="115">
        <f t="shared" si="29"/>
        <v>0</v>
      </c>
      <c r="O94" s="115">
        <f t="shared" si="29"/>
        <v>0</v>
      </c>
      <c r="P94" s="115">
        <f t="shared" si="29"/>
        <v>0</v>
      </c>
      <c r="Q94" s="115">
        <f t="shared" si="29"/>
        <v>0</v>
      </c>
      <c r="R94" s="115">
        <f t="shared" si="29"/>
        <v>0</v>
      </c>
      <c r="S94" s="115">
        <f t="shared" si="29"/>
        <v>0</v>
      </c>
      <c r="T94" s="115">
        <f t="shared" si="29"/>
        <v>0</v>
      </c>
      <c r="U94" s="115">
        <f t="shared" si="29"/>
        <v>0</v>
      </c>
      <c r="V94" s="115">
        <f t="shared" si="29"/>
        <v>0</v>
      </c>
      <c r="W94" s="115">
        <f t="shared" si="29"/>
        <v>0</v>
      </c>
      <c r="X94" s="115">
        <f t="shared" si="29"/>
        <v>0</v>
      </c>
      <c r="Y94" s="115">
        <f t="shared" si="29"/>
        <v>0</v>
      </c>
      <c r="Z94" s="115">
        <f t="shared" si="29"/>
        <v>0</v>
      </c>
      <c r="AA94" s="115">
        <f t="shared" si="29"/>
        <v>0</v>
      </c>
      <c r="AB94" s="115">
        <f t="shared" si="29"/>
        <v>0</v>
      </c>
      <c r="AC94" s="115">
        <f t="shared" si="29"/>
        <v>0</v>
      </c>
      <c r="AD94" s="115">
        <f t="shared" si="29"/>
        <v>0</v>
      </c>
      <c r="AE94" s="115">
        <f t="shared" si="29"/>
        <v>0</v>
      </c>
      <c r="AF94" s="115">
        <f t="shared" si="29"/>
        <v>0</v>
      </c>
      <c r="AG94" s="115">
        <f t="shared" si="29"/>
        <v>0</v>
      </c>
      <c r="AH94" s="115">
        <f t="shared" si="29"/>
        <v>0</v>
      </c>
      <c r="AI94" s="115">
        <f t="shared" si="29"/>
        <v>0</v>
      </c>
      <c r="AJ94" s="115">
        <f t="shared" si="29"/>
        <v>0</v>
      </c>
      <c r="AK94" s="115">
        <f t="shared" si="29"/>
        <v>0</v>
      </c>
      <c r="AL94" s="115">
        <f t="shared" si="29"/>
        <v>0</v>
      </c>
      <c r="AM94" s="115">
        <f t="shared" si="29"/>
        <v>0</v>
      </c>
      <c r="AN94" s="115">
        <f t="shared" si="29"/>
        <v>0</v>
      </c>
      <c r="AO94" s="115">
        <f t="shared" si="29"/>
        <v>0</v>
      </c>
      <c r="AP94" s="115">
        <f t="shared" si="29"/>
        <v>0</v>
      </c>
    </row>
    <row r="95" spans="1:42" x14ac:dyDescent="0.2">
      <c r="A95" s="21" t="s">
        <v>286</v>
      </c>
      <c r="B95" s="115">
        <f>-B682-B683</f>
        <v>0</v>
      </c>
      <c r="C95" s="115">
        <f t="shared" ref="C95:AP95" si="30">-C682-C683</f>
        <v>0</v>
      </c>
      <c r="D95" s="115">
        <f t="shared" si="30"/>
        <v>0</v>
      </c>
      <c r="E95" s="115">
        <f t="shared" si="30"/>
        <v>0</v>
      </c>
      <c r="F95" s="115">
        <f t="shared" si="30"/>
        <v>0</v>
      </c>
      <c r="G95" s="115">
        <f t="shared" si="30"/>
        <v>0</v>
      </c>
      <c r="H95" s="115">
        <f t="shared" si="30"/>
        <v>0</v>
      </c>
      <c r="I95" s="115">
        <f t="shared" si="30"/>
        <v>0</v>
      </c>
      <c r="J95" s="115">
        <f t="shared" si="30"/>
        <v>0</v>
      </c>
      <c r="K95" s="115">
        <f t="shared" si="30"/>
        <v>0</v>
      </c>
      <c r="L95" s="115">
        <f t="shared" si="30"/>
        <v>0</v>
      </c>
      <c r="M95" s="115">
        <f t="shared" si="30"/>
        <v>0</v>
      </c>
      <c r="N95" s="115">
        <f t="shared" si="30"/>
        <v>0</v>
      </c>
      <c r="O95" s="115">
        <f t="shared" si="30"/>
        <v>0</v>
      </c>
      <c r="P95" s="115">
        <f t="shared" si="30"/>
        <v>0</v>
      </c>
      <c r="Q95" s="115">
        <f t="shared" si="30"/>
        <v>0</v>
      </c>
      <c r="R95" s="115">
        <f t="shared" si="30"/>
        <v>0</v>
      </c>
      <c r="S95" s="115">
        <f t="shared" si="30"/>
        <v>0</v>
      </c>
      <c r="T95" s="115">
        <f t="shared" si="30"/>
        <v>0</v>
      </c>
      <c r="U95" s="115">
        <f t="shared" si="30"/>
        <v>0</v>
      </c>
      <c r="V95" s="115">
        <f t="shared" si="30"/>
        <v>0</v>
      </c>
      <c r="W95" s="115">
        <f t="shared" si="30"/>
        <v>0</v>
      </c>
      <c r="X95" s="115">
        <f t="shared" si="30"/>
        <v>0</v>
      </c>
      <c r="Y95" s="115">
        <f t="shared" si="30"/>
        <v>0</v>
      </c>
      <c r="Z95" s="115">
        <f t="shared" si="30"/>
        <v>0</v>
      </c>
      <c r="AA95" s="115">
        <f t="shared" si="30"/>
        <v>0</v>
      </c>
      <c r="AB95" s="115">
        <f t="shared" si="30"/>
        <v>0</v>
      </c>
      <c r="AC95" s="115">
        <f t="shared" si="30"/>
        <v>0</v>
      </c>
      <c r="AD95" s="115">
        <f t="shared" si="30"/>
        <v>0</v>
      </c>
      <c r="AE95" s="115">
        <f t="shared" si="30"/>
        <v>0</v>
      </c>
      <c r="AF95" s="115">
        <f t="shared" si="30"/>
        <v>0</v>
      </c>
      <c r="AG95" s="115">
        <f t="shared" si="30"/>
        <v>0</v>
      </c>
      <c r="AH95" s="115">
        <f t="shared" si="30"/>
        <v>0</v>
      </c>
      <c r="AI95" s="115">
        <f t="shared" si="30"/>
        <v>0</v>
      </c>
      <c r="AJ95" s="115">
        <f t="shared" si="30"/>
        <v>0</v>
      </c>
      <c r="AK95" s="115">
        <f t="shared" si="30"/>
        <v>0</v>
      </c>
      <c r="AL95" s="115">
        <f t="shared" si="30"/>
        <v>0</v>
      </c>
      <c r="AM95" s="115">
        <f t="shared" si="30"/>
        <v>0</v>
      </c>
      <c r="AN95" s="115">
        <f t="shared" si="30"/>
        <v>0</v>
      </c>
      <c r="AO95" s="115">
        <f t="shared" si="30"/>
        <v>0</v>
      </c>
      <c r="AP95" s="115">
        <f t="shared" si="30"/>
        <v>0</v>
      </c>
    </row>
    <row r="96" spans="1:42" x14ac:dyDescent="0.2">
      <c r="A96" s="21" t="s">
        <v>287</v>
      </c>
      <c r="B96" s="115">
        <f>-B688-B689</f>
        <v>0</v>
      </c>
      <c r="C96" s="115">
        <f t="shared" ref="C96:AP96" si="31">-C688-C689</f>
        <v>0</v>
      </c>
      <c r="D96" s="115">
        <f t="shared" si="31"/>
        <v>0</v>
      </c>
      <c r="E96" s="115">
        <f t="shared" si="31"/>
        <v>0</v>
      </c>
      <c r="F96" s="115">
        <f t="shared" si="31"/>
        <v>0</v>
      </c>
      <c r="G96" s="115">
        <f t="shared" si="31"/>
        <v>0</v>
      </c>
      <c r="H96" s="115">
        <f t="shared" si="31"/>
        <v>0</v>
      </c>
      <c r="I96" s="115">
        <f t="shared" si="31"/>
        <v>0</v>
      </c>
      <c r="J96" s="115">
        <f t="shared" si="31"/>
        <v>0</v>
      </c>
      <c r="K96" s="115">
        <f t="shared" si="31"/>
        <v>0</v>
      </c>
      <c r="L96" s="115">
        <f t="shared" si="31"/>
        <v>0</v>
      </c>
      <c r="M96" s="115">
        <f t="shared" si="31"/>
        <v>0</v>
      </c>
      <c r="N96" s="115">
        <f t="shared" si="31"/>
        <v>0</v>
      </c>
      <c r="O96" s="115">
        <f t="shared" si="31"/>
        <v>0</v>
      </c>
      <c r="P96" s="115">
        <f t="shared" si="31"/>
        <v>0</v>
      </c>
      <c r="Q96" s="115">
        <f t="shared" si="31"/>
        <v>0</v>
      </c>
      <c r="R96" s="115">
        <f t="shared" si="31"/>
        <v>0</v>
      </c>
      <c r="S96" s="115">
        <f t="shared" si="31"/>
        <v>0</v>
      </c>
      <c r="T96" s="115">
        <f t="shared" si="31"/>
        <v>0</v>
      </c>
      <c r="U96" s="115">
        <f t="shared" si="31"/>
        <v>0</v>
      </c>
      <c r="V96" s="115">
        <f t="shared" si="31"/>
        <v>0</v>
      </c>
      <c r="W96" s="115">
        <f t="shared" si="31"/>
        <v>0</v>
      </c>
      <c r="X96" s="115">
        <f t="shared" si="31"/>
        <v>0</v>
      </c>
      <c r="Y96" s="115">
        <f t="shared" si="31"/>
        <v>0</v>
      </c>
      <c r="Z96" s="115">
        <f t="shared" si="31"/>
        <v>0</v>
      </c>
      <c r="AA96" s="115">
        <f t="shared" si="31"/>
        <v>0</v>
      </c>
      <c r="AB96" s="115">
        <f t="shared" si="31"/>
        <v>0</v>
      </c>
      <c r="AC96" s="115">
        <f t="shared" si="31"/>
        <v>0</v>
      </c>
      <c r="AD96" s="115">
        <f t="shared" si="31"/>
        <v>0</v>
      </c>
      <c r="AE96" s="115">
        <f t="shared" si="31"/>
        <v>0</v>
      </c>
      <c r="AF96" s="115">
        <f t="shared" si="31"/>
        <v>0</v>
      </c>
      <c r="AG96" s="115">
        <f t="shared" si="31"/>
        <v>0</v>
      </c>
      <c r="AH96" s="115">
        <f t="shared" si="31"/>
        <v>0</v>
      </c>
      <c r="AI96" s="115">
        <f t="shared" si="31"/>
        <v>0</v>
      </c>
      <c r="AJ96" s="115">
        <f t="shared" si="31"/>
        <v>0</v>
      </c>
      <c r="AK96" s="115">
        <f t="shared" si="31"/>
        <v>0</v>
      </c>
      <c r="AL96" s="115">
        <f t="shared" si="31"/>
        <v>0</v>
      </c>
      <c r="AM96" s="115">
        <f t="shared" si="31"/>
        <v>0</v>
      </c>
      <c r="AN96" s="115">
        <f t="shared" si="31"/>
        <v>0</v>
      </c>
      <c r="AO96" s="115">
        <f t="shared" si="31"/>
        <v>0</v>
      </c>
      <c r="AP96" s="115">
        <f t="shared" si="31"/>
        <v>0</v>
      </c>
    </row>
    <row r="97" spans="1:42" x14ac:dyDescent="0.2">
      <c r="A97" s="21" t="s">
        <v>288</v>
      </c>
      <c r="B97" s="115">
        <f>-B720-B721</f>
        <v>0</v>
      </c>
      <c r="C97" s="115">
        <f t="shared" ref="C97:AP97" si="32">-C720-C721</f>
        <v>0</v>
      </c>
      <c r="D97" s="115">
        <f t="shared" si="32"/>
        <v>0</v>
      </c>
      <c r="E97" s="115">
        <f t="shared" si="32"/>
        <v>0</v>
      </c>
      <c r="F97" s="115">
        <f t="shared" si="32"/>
        <v>0</v>
      </c>
      <c r="G97" s="115">
        <f t="shared" si="32"/>
        <v>0</v>
      </c>
      <c r="H97" s="115">
        <f t="shared" si="32"/>
        <v>0</v>
      </c>
      <c r="I97" s="115">
        <f t="shared" si="32"/>
        <v>0</v>
      </c>
      <c r="J97" s="115">
        <f t="shared" si="32"/>
        <v>0</v>
      </c>
      <c r="K97" s="115">
        <f t="shared" si="32"/>
        <v>0</v>
      </c>
      <c r="L97" s="115">
        <f t="shared" si="32"/>
        <v>0</v>
      </c>
      <c r="M97" s="115">
        <f t="shared" si="32"/>
        <v>0</v>
      </c>
      <c r="N97" s="115">
        <f t="shared" si="32"/>
        <v>0</v>
      </c>
      <c r="O97" s="115">
        <f t="shared" si="32"/>
        <v>0</v>
      </c>
      <c r="P97" s="115">
        <f t="shared" si="32"/>
        <v>0</v>
      </c>
      <c r="Q97" s="115">
        <f t="shared" si="32"/>
        <v>0</v>
      </c>
      <c r="R97" s="115">
        <f t="shared" si="32"/>
        <v>0</v>
      </c>
      <c r="S97" s="115">
        <f t="shared" si="32"/>
        <v>0</v>
      </c>
      <c r="T97" s="115">
        <f t="shared" si="32"/>
        <v>0</v>
      </c>
      <c r="U97" s="115">
        <f t="shared" si="32"/>
        <v>0</v>
      </c>
      <c r="V97" s="115">
        <f t="shared" si="32"/>
        <v>0</v>
      </c>
      <c r="W97" s="115">
        <f t="shared" si="32"/>
        <v>0</v>
      </c>
      <c r="X97" s="115">
        <f t="shared" si="32"/>
        <v>0</v>
      </c>
      <c r="Y97" s="115">
        <f t="shared" si="32"/>
        <v>0</v>
      </c>
      <c r="Z97" s="115">
        <f t="shared" si="32"/>
        <v>0</v>
      </c>
      <c r="AA97" s="115">
        <f t="shared" si="32"/>
        <v>0</v>
      </c>
      <c r="AB97" s="115">
        <f t="shared" si="32"/>
        <v>0</v>
      </c>
      <c r="AC97" s="115">
        <f t="shared" si="32"/>
        <v>0</v>
      </c>
      <c r="AD97" s="115">
        <f t="shared" si="32"/>
        <v>0</v>
      </c>
      <c r="AE97" s="115">
        <f t="shared" si="32"/>
        <v>0</v>
      </c>
      <c r="AF97" s="115">
        <f t="shared" si="32"/>
        <v>0</v>
      </c>
      <c r="AG97" s="115">
        <f t="shared" si="32"/>
        <v>0</v>
      </c>
      <c r="AH97" s="115">
        <f t="shared" si="32"/>
        <v>0</v>
      </c>
      <c r="AI97" s="115">
        <f t="shared" si="32"/>
        <v>0</v>
      </c>
      <c r="AJ97" s="115">
        <f t="shared" si="32"/>
        <v>0</v>
      </c>
      <c r="AK97" s="115">
        <f t="shared" si="32"/>
        <v>0</v>
      </c>
      <c r="AL97" s="115">
        <f t="shared" si="32"/>
        <v>0</v>
      </c>
      <c r="AM97" s="115">
        <f t="shared" si="32"/>
        <v>0</v>
      </c>
      <c r="AN97" s="115">
        <f t="shared" si="32"/>
        <v>0</v>
      </c>
      <c r="AO97" s="115">
        <f t="shared" si="32"/>
        <v>0</v>
      </c>
      <c r="AP97" s="115">
        <f t="shared" si="32"/>
        <v>0</v>
      </c>
    </row>
    <row r="98" spans="1:42" x14ac:dyDescent="0.2">
      <c r="A98" s="21" t="s">
        <v>289</v>
      </c>
      <c r="B98" s="116">
        <f>-B752-B753</f>
        <v>0</v>
      </c>
      <c r="C98" s="116">
        <f t="shared" ref="C98:AP98" si="33">-C752-C753</f>
        <v>0</v>
      </c>
      <c r="D98" s="116">
        <f t="shared" si="33"/>
        <v>0</v>
      </c>
      <c r="E98" s="116">
        <f t="shared" si="33"/>
        <v>0</v>
      </c>
      <c r="F98" s="116">
        <f t="shared" si="33"/>
        <v>0</v>
      </c>
      <c r="G98" s="116">
        <f t="shared" si="33"/>
        <v>0</v>
      </c>
      <c r="H98" s="116">
        <f t="shared" si="33"/>
        <v>0</v>
      </c>
      <c r="I98" s="116">
        <f t="shared" si="33"/>
        <v>0</v>
      </c>
      <c r="J98" s="116">
        <f t="shared" si="33"/>
        <v>0</v>
      </c>
      <c r="K98" s="116">
        <f t="shared" si="33"/>
        <v>0</v>
      </c>
      <c r="L98" s="116">
        <f t="shared" si="33"/>
        <v>0</v>
      </c>
      <c r="M98" s="116">
        <f t="shared" si="33"/>
        <v>0</v>
      </c>
      <c r="N98" s="116">
        <f t="shared" si="33"/>
        <v>0</v>
      </c>
      <c r="O98" s="116">
        <f t="shared" si="33"/>
        <v>0</v>
      </c>
      <c r="P98" s="116">
        <f t="shared" si="33"/>
        <v>0</v>
      </c>
      <c r="Q98" s="116">
        <f t="shared" si="33"/>
        <v>0</v>
      </c>
      <c r="R98" s="116">
        <f t="shared" si="33"/>
        <v>0</v>
      </c>
      <c r="S98" s="116">
        <f t="shared" si="33"/>
        <v>0</v>
      </c>
      <c r="T98" s="116">
        <f t="shared" si="33"/>
        <v>0</v>
      </c>
      <c r="U98" s="116">
        <f t="shared" si="33"/>
        <v>0</v>
      </c>
      <c r="V98" s="116">
        <f t="shared" si="33"/>
        <v>0</v>
      </c>
      <c r="W98" s="116">
        <f t="shared" si="33"/>
        <v>0</v>
      </c>
      <c r="X98" s="116">
        <f t="shared" si="33"/>
        <v>0</v>
      </c>
      <c r="Y98" s="116">
        <f t="shared" si="33"/>
        <v>0</v>
      </c>
      <c r="Z98" s="116">
        <f t="shared" si="33"/>
        <v>0</v>
      </c>
      <c r="AA98" s="116">
        <f t="shared" si="33"/>
        <v>0</v>
      </c>
      <c r="AB98" s="116">
        <f t="shared" si="33"/>
        <v>0</v>
      </c>
      <c r="AC98" s="116">
        <f t="shared" si="33"/>
        <v>0</v>
      </c>
      <c r="AD98" s="116">
        <f t="shared" si="33"/>
        <v>0</v>
      </c>
      <c r="AE98" s="116">
        <f t="shared" si="33"/>
        <v>0</v>
      </c>
      <c r="AF98" s="116">
        <f t="shared" si="33"/>
        <v>0</v>
      </c>
      <c r="AG98" s="116">
        <f t="shared" si="33"/>
        <v>0</v>
      </c>
      <c r="AH98" s="116">
        <f t="shared" si="33"/>
        <v>0</v>
      </c>
      <c r="AI98" s="116">
        <f t="shared" si="33"/>
        <v>0</v>
      </c>
      <c r="AJ98" s="116">
        <f t="shared" si="33"/>
        <v>0</v>
      </c>
      <c r="AK98" s="116">
        <f t="shared" si="33"/>
        <v>0</v>
      </c>
      <c r="AL98" s="116">
        <f t="shared" si="33"/>
        <v>0</v>
      </c>
      <c r="AM98" s="116">
        <f t="shared" si="33"/>
        <v>0</v>
      </c>
      <c r="AN98" s="116">
        <f t="shared" si="33"/>
        <v>0</v>
      </c>
      <c r="AO98" s="116">
        <f t="shared" si="33"/>
        <v>0</v>
      </c>
      <c r="AP98" s="116">
        <f t="shared" si="33"/>
        <v>0</v>
      </c>
    </row>
    <row r="99" spans="1:42" x14ac:dyDescent="0.2">
      <c r="A99" s="21" t="s">
        <v>13</v>
      </c>
      <c r="B99" s="115">
        <f>SUM(B93:B98)</f>
        <v>0</v>
      </c>
      <c r="C99" s="115">
        <f t="shared" ref="C99:AP99" si="34">SUM(C93:C98)</f>
        <v>0</v>
      </c>
      <c r="D99" s="115">
        <f t="shared" si="34"/>
        <v>0</v>
      </c>
      <c r="E99" s="115">
        <f t="shared" si="34"/>
        <v>0</v>
      </c>
      <c r="F99" s="115">
        <f t="shared" si="34"/>
        <v>0</v>
      </c>
      <c r="G99" s="115">
        <f t="shared" si="34"/>
        <v>0</v>
      </c>
      <c r="H99" s="115">
        <f t="shared" si="34"/>
        <v>0</v>
      </c>
      <c r="I99" s="115">
        <f t="shared" si="34"/>
        <v>0</v>
      </c>
      <c r="J99" s="115">
        <f t="shared" si="34"/>
        <v>0</v>
      </c>
      <c r="K99" s="115">
        <f t="shared" si="34"/>
        <v>0</v>
      </c>
      <c r="L99" s="115">
        <f t="shared" si="34"/>
        <v>0</v>
      </c>
      <c r="M99" s="115">
        <f t="shared" si="34"/>
        <v>0</v>
      </c>
      <c r="N99" s="115">
        <f t="shared" si="34"/>
        <v>0</v>
      </c>
      <c r="O99" s="115">
        <f t="shared" si="34"/>
        <v>0</v>
      </c>
      <c r="P99" s="115">
        <f t="shared" si="34"/>
        <v>0</v>
      </c>
      <c r="Q99" s="115">
        <f t="shared" si="34"/>
        <v>0</v>
      </c>
      <c r="R99" s="115">
        <f t="shared" si="34"/>
        <v>0</v>
      </c>
      <c r="S99" s="115">
        <f t="shared" si="34"/>
        <v>0</v>
      </c>
      <c r="T99" s="115">
        <f t="shared" si="34"/>
        <v>0</v>
      </c>
      <c r="U99" s="115">
        <f t="shared" si="34"/>
        <v>0</v>
      </c>
      <c r="V99" s="115">
        <f t="shared" si="34"/>
        <v>0</v>
      </c>
      <c r="W99" s="115">
        <f t="shared" si="34"/>
        <v>0</v>
      </c>
      <c r="X99" s="115">
        <f t="shared" si="34"/>
        <v>0</v>
      </c>
      <c r="Y99" s="115">
        <f t="shared" si="34"/>
        <v>0</v>
      </c>
      <c r="Z99" s="115">
        <f t="shared" si="34"/>
        <v>0</v>
      </c>
      <c r="AA99" s="115">
        <f t="shared" si="34"/>
        <v>0</v>
      </c>
      <c r="AB99" s="115">
        <f t="shared" si="34"/>
        <v>0</v>
      </c>
      <c r="AC99" s="115">
        <f t="shared" si="34"/>
        <v>0</v>
      </c>
      <c r="AD99" s="115">
        <f t="shared" si="34"/>
        <v>0</v>
      </c>
      <c r="AE99" s="115">
        <f t="shared" si="34"/>
        <v>0</v>
      </c>
      <c r="AF99" s="115">
        <f t="shared" si="34"/>
        <v>0</v>
      </c>
      <c r="AG99" s="115">
        <f t="shared" si="34"/>
        <v>0</v>
      </c>
      <c r="AH99" s="115">
        <f t="shared" si="34"/>
        <v>0</v>
      </c>
      <c r="AI99" s="115">
        <f t="shared" si="34"/>
        <v>0</v>
      </c>
      <c r="AJ99" s="115">
        <f t="shared" si="34"/>
        <v>0</v>
      </c>
      <c r="AK99" s="115">
        <f t="shared" si="34"/>
        <v>0</v>
      </c>
      <c r="AL99" s="115">
        <f t="shared" si="34"/>
        <v>0</v>
      </c>
      <c r="AM99" s="115">
        <f t="shared" si="34"/>
        <v>0</v>
      </c>
      <c r="AN99" s="115">
        <f t="shared" si="34"/>
        <v>0</v>
      </c>
      <c r="AO99" s="115">
        <f t="shared" si="34"/>
        <v>0</v>
      </c>
      <c r="AP99" s="115">
        <f t="shared" si="34"/>
        <v>0</v>
      </c>
    </row>
    <row r="100" spans="1:42" x14ac:dyDescent="0.2">
      <c r="A100" s="17" t="s">
        <v>230</v>
      </c>
    </row>
    <row r="101" spans="1:42" x14ac:dyDescent="0.2">
      <c r="A101" s="21" t="s">
        <v>290</v>
      </c>
      <c r="B101" s="115">
        <f>B689</f>
        <v>0</v>
      </c>
      <c r="C101" s="115">
        <f t="shared" ref="C101:AP101" si="35">C689</f>
        <v>0</v>
      </c>
      <c r="D101" s="115">
        <f t="shared" si="35"/>
        <v>0</v>
      </c>
      <c r="E101" s="115">
        <f t="shared" si="35"/>
        <v>0</v>
      </c>
      <c r="F101" s="115">
        <f t="shared" si="35"/>
        <v>0</v>
      </c>
      <c r="G101" s="115">
        <f t="shared" si="35"/>
        <v>0</v>
      </c>
      <c r="H101" s="115">
        <f t="shared" si="35"/>
        <v>0</v>
      </c>
      <c r="I101" s="115">
        <f t="shared" si="35"/>
        <v>0</v>
      </c>
      <c r="J101" s="115">
        <f t="shared" si="35"/>
        <v>0</v>
      </c>
      <c r="K101" s="115">
        <f t="shared" si="35"/>
        <v>0</v>
      </c>
      <c r="L101" s="115">
        <f t="shared" si="35"/>
        <v>0</v>
      </c>
      <c r="M101" s="115">
        <f t="shared" si="35"/>
        <v>0</v>
      </c>
      <c r="N101" s="115">
        <f t="shared" si="35"/>
        <v>0</v>
      </c>
      <c r="O101" s="115">
        <f t="shared" si="35"/>
        <v>0</v>
      </c>
      <c r="P101" s="115">
        <f t="shared" si="35"/>
        <v>0</v>
      </c>
      <c r="Q101" s="115">
        <f t="shared" si="35"/>
        <v>0</v>
      </c>
      <c r="R101" s="115">
        <f t="shared" si="35"/>
        <v>0</v>
      </c>
      <c r="S101" s="115">
        <f t="shared" si="35"/>
        <v>0</v>
      </c>
      <c r="T101" s="115">
        <f t="shared" si="35"/>
        <v>0</v>
      </c>
      <c r="U101" s="115">
        <f t="shared" si="35"/>
        <v>0</v>
      </c>
      <c r="V101" s="115">
        <f t="shared" si="35"/>
        <v>0</v>
      </c>
      <c r="W101" s="115">
        <f t="shared" si="35"/>
        <v>0</v>
      </c>
      <c r="X101" s="115">
        <f t="shared" si="35"/>
        <v>0</v>
      </c>
      <c r="Y101" s="115">
        <f t="shared" si="35"/>
        <v>0</v>
      </c>
      <c r="Z101" s="115">
        <f t="shared" si="35"/>
        <v>0</v>
      </c>
      <c r="AA101" s="115">
        <f t="shared" si="35"/>
        <v>0</v>
      </c>
      <c r="AB101" s="115">
        <f t="shared" si="35"/>
        <v>0</v>
      </c>
      <c r="AC101" s="115">
        <f t="shared" si="35"/>
        <v>0</v>
      </c>
      <c r="AD101" s="115">
        <f t="shared" si="35"/>
        <v>0</v>
      </c>
      <c r="AE101" s="115">
        <f t="shared" si="35"/>
        <v>0</v>
      </c>
      <c r="AF101" s="115">
        <f t="shared" si="35"/>
        <v>0</v>
      </c>
      <c r="AG101" s="115">
        <f t="shared" si="35"/>
        <v>0</v>
      </c>
      <c r="AH101" s="115">
        <f t="shared" si="35"/>
        <v>0</v>
      </c>
      <c r="AI101" s="115">
        <f t="shared" si="35"/>
        <v>0</v>
      </c>
      <c r="AJ101" s="115">
        <f t="shared" si="35"/>
        <v>0</v>
      </c>
      <c r="AK101" s="115">
        <f t="shared" si="35"/>
        <v>0</v>
      </c>
      <c r="AL101" s="115">
        <f t="shared" si="35"/>
        <v>0</v>
      </c>
      <c r="AM101" s="115">
        <f t="shared" si="35"/>
        <v>0</v>
      </c>
      <c r="AN101" s="115">
        <f t="shared" si="35"/>
        <v>0</v>
      </c>
      <c r="AO101" s="115">
        <f t="shared" si="35"/>
        <v>0</v>
      </c>
      <c r="AP101" s="115">
        <f t="shared" si="35"/>
        <v>0</v>
      </c>
    </row>
    <row r="102" spans="1:42" x14ac:dyDescent="0.2">
      <c r="A102" s="21" t="s">
        <v>291</v>
      </c>
      <c r="B102" s="115">
        <f>B721</f>
        <v>0</v>
      </c>
      <c r="C102" s="115">
        <f t="shared" ref="C102:AP102" si="36">C721</f>
        <v>0</v>
      </c>
      <c r="D102" s="115">
        <f t="shared" si="36"/>
        <v>0</v>
      </c>
      <c r="E102" s="115">
        <f t="shared" si="36"/>
        <v>0</v>
      </c>
      <c r="F102" s="115">
        <f t="shared" si="36"/>
        <v>0</v>
      </c>
      <c r="G102" s="115">
        <f t="shared" si="36"/>
        <v>0</v>
      </c>
      <c r="H102" s="115">
        <f t="shared" si="36"/>
        <v>0</v>
      </c>
      <c r="I102" s="115">
        <f t="shared" si="36"/>
        <v>0</v>
      </c>
      <c r="J102" s="115">
        <f t="shared" si="36"/>
        <v>0</v>
      </c>
      <c r="K102" s="115">
        <f t="shared" si="36"/>
        <v>0</v>
      </c>
      <c r="L102" s="115">
        <f t="shared" si="36"/>
        <v>0</v>
      </c>
      <c r="M102" s="115">
        <f t="shared" si="36"/>
        <v>0</v>
      </c>
      <c r="N102" s="115">
        <f t="shared" si="36"/>
        <v>0</v>
      </c>
      <c r="O102" s="115">
        <f t="shared" si="36"/>
        <v>0</v>
      </c>
      <c r="P102" s="115">
        <f t="shared" si="36"/>
        <v>0</v>
      </c>
      <c r="Q102" s="115">
        <f t="shared" si="36"/>
        <v>0</v>
      </c>
      <c r="R102" s="115">
        <f t="shared" si="36"/>
        <v>0</v>
      </c>
      <c r="S102" s="115">
        <f t="shared" si="36"/>
        <v>0</v>
      </c>
      <c r="T102" s="115">
        <f t="shared" si="36"/>
        <v>0</v>
      </c>
      <c r="U102" s="115">
        <f t="shared" si="36"/>
        <v>0</v>
      </c>
      <c r="V102" s="115">
        <f t="shared" si="36"/>
        <v>0</v>
      </c>
      <c r="W102" s="115">
        <f t="shared" si="36"/>
        <v>0</v>
      </c>
      <c r="X102" s="115">
        <f t="shared" si="36"/>
        <v>0</v>
      </c>
      <c r="Y102" s="115">
        <f t="shared" si="36"/>
        <v>0</v>
      </c>
      <c r="Z102" s="115">
        <f t="shared" si="36"/>
        <v>0</v>
      </c>
      <c r="AA102" s="115">
        <f t="shared" si="36"/>
        <v>0</v>
      </c>
      <c r="AB102" s="115">
        <f t="shared" si="36"/>
        <v>0</v>
      </c>
      <c r="AC102" s="115">
        <f t="shared" si="36"/>
        <v>0</v>
      </c>
      <c r="AD102" s="115">
        <f t="shared" si="36"/>
        <v>0</v>
      </c>
      <c r="AE102" s="115">
        <f t="shared" si="36"/>
        <v>0</v>
      </c>
      <c r="AF102" s="115">
        <f t="shared" si="36"/>
        <v>0</v>
      </c>
      <c r="AG102" s="115">
        <f t="shared" si="36"/>
        <v>0</v>
      </c>
      <c r="AH102" s="115">
        <f t="shared" si="36"/>
        <v>0</v>
      </c>
      <c r="AI102" s="115">
        <f t="shared" si="36"/>
        <v>0</v>
      </c>
      <c r="AJ102" s="115">
        <f t="shared" si="36"/>
        <v>0</v>
      </c>
      <c r="AK102" s="115">
        <f t="shared" si="36"/>
        <v>0</v>
      </c>
      <c r="AL102" s="115">
        <f t="shared" si="36"/>
        <v>0</v>
      </c>
      <c r="AM102" s="115">
        <f t="shared" si="36"/>
        <v>0</v>
      </c>
      <c r="AN102" s="115">
        <f t="shared" si="36"/>
        <v>0</v>
      </c>
      <c r="AO102" s="115">
        <f t="shared" si="36"/>
        <v>0</v>
      </c>
      <c r="AP102" s="115">
        <f t="shared" si="36"/>
        <v>0</v>
      </c>
    </row>
    <row r="103" spans="1:42" x14ac:dyDescent="0.2">
      <c r="A103" s="21" t="s">
        <v>292</v>
      </c>
      <c r="B103" s="116">
        <f>B753</f>
        <v>0</v>
      </c>
      <c r="C103" s="116">
        <f t="shared" ref="C103:AP103" si="37">C753</f>
        <v>0</v>
      </c>
      <c r="D103" s="116">
        <f t="shared" si="37"/>
        <v>0</v>
      </c>
      <c r="E103" s="116">
        <f t="shared" si="37"/>
        <v>0</v>
      </c>
      <c r="F103" s="116">
        <f t="shared" si="37"/>
        <v>0</v>
      </c>
      <c r="G103" s="116">
        <f t="shared" si="37"/>
        <v>0</v>
      </c>
      <c r="H103" s="116">
        <f t="shared" si="37"/>
        <v>0</v>
      </c>
      <c r="I103" s="116">
        <f t="shared" si="37"/>
        <v>0</v>
      </c>
      <c r="J103" s="116">
        <f t="shared" si="37"/>
        <v>0</v>
      </c>
      <c r="K103" s="116">
        <f t="shared" si="37"/>
        <v>0</v>
      </c>
      <c r="L103" s="116">
        <f t="shared" si="37"/>
        <v>0</v>
      </c>
      <c r="M103" s="116">
        <f t="shared" si="37"/>
        <v>0</v>
      </c>
      <c r="N103" s="116">
        <f t="shared" si="37"/>
        <v>0</v>
      </c>
      <c r="O103" s="116">
        <f t="shared" si="37"/>
        <v>0</v>
      </c>
      <c r="P103" s="116">
        <f t="shared" si="37"/>
        <v>0</v>
      </c>
      <c r="Q103" s="116">
        <f t="shared" si="37"/>
        <v>0</v>
      </c>
      <c r="R103" s="116">
        <f t="shared" si="37"/>
        <v>0</v>
      </c>
      <c r="S103" s="116">
        <f t="shared" si="37"/>
        <v>0</v>
      </c>
      <c r="T103" s="116">
        <f t="shared" si="37"/>
        <v>0</v>
      </c>
      <c r="U103" s="116">
        <f t="shared" si="37"/>
        <v>0</v>
      </c>
      <c r="V103" s="116">
        <f t="shared" si="37"/>
        <v>0</v>
      </c>
      <c r="W103" s="116">
        <f t="shared" si="37"/>
        <v>0</v>
      </c>
      <c r="X103" s="116">
        <f t="shared" si="37"/>
        <v>0</v>
      </c>
      <c r="Y103" s="116">
        <f t="shared" si="37"/>
        <v>0</v>
      </c>
      <c r="Z103" s="116">
        <f t="shared" si="37"/>
        <v>0</v>
      </c>
      <c r="AA103" s="116">
        <f t="shared" si="37"/>
        <v>0</v>
      </c>
      <c r="AB103" s="116">
        <f t="shared" si="37"/>
        <v>0</v>
      </c>
      <c r="AC103" s="116">
        <f t="shared" si="37"/>
        <v>0</v>
      </c>
      <c r="AD103" s="116">
        <f t="shared" si="37"/>
        <v>0</v>
      </c>
      <c r="AE103" s="116">
        <f t="shared" si="37"/>
        <v>0</v>
      </c>
      <c r="AF103" s="116">
        <f t="shared" si="37"/>
        <v>0</v>
      </c>
      <c r="AG103" s="116">
        <f t="shared" si="37"/>
        <v>0</v>
      </c>
      <c r="AH103" s="116">
        <f t="shared" si="37"/>
        <v>0</v>
      </c>
      <c r="AI103" s="116">
        <f t="shared" si="37"/>
        <v>0</v>
      </c>
      <c r="AJ103" s="116">
        <f t="shared" si="37"/>
        <v>0</v>
      </c>
      <c r="AK103" s="116">
        <f t="shared" si="37"/>
        <v>0</v>
      </c>
      <c r="AL103" s="116">
        <f t="shared" si="37"/>
        <v>0</v>
      </c>
      <c r="AM103" s="116">
        <f t="shared" si="37"/>
        <v>0</v>
      </c>
      <c r="AN103" s="116">
        <f t="shared" si="37"/>
        <v>0</v>
      </c>
      <c r="AO103" s="116">
        <f t="shared" si="37"/>
        <v>0</v>
      </c>
      <c r="AP103" s="116">
        <f t="shared" si="37"/>
        <v>0</v>
      </c>
    </row>
    <row r="104" spans="1:42" x14ac:dyDescent="0.2">
      <c r="A104" s="21" t="s">
        <v>13</v>
      </c>
      <c r="B104" s="121">
        <f>SUM(B101:B103)</f>
        <v>0</v>
      </c>
      <c r="C104" s="121">
        <f t="shared" ref="C104:AP104" si="38">SUM(C101:C103)</f>
        <v>0</v>
      </c>
      <c r="D104" s="121">
        <f t="shared" si="38"/>
        <v>0</v>
      </c>
      <c r="E104" s="121">
        <f t="shared" si="38"/>
        <v>0</v>
      </c>
      <c r="F104" s="121">
        <f t="shared" si="38"/>
        <v>0</v>
      </c>
      <c r="G104" s="121">
        <f t="shared" si="38"/>
        <v>0</v>
      </c>
      <c r="H104" s="121">
        <f t="shared" si="38"/>
        <v>0</v>
      </c>
      <c r="I104" s="121">
        <f t="shared" si="38"/>
        <v>0</v>
      </c>
      <c r="J104" s="121">
        <f t="shared" si="38"/>
        <v>0</v>
      </c>
      <c r="K104" s="121">
        <f t="shared" si="38"/>
        <v>0</v>
      </c>
      <c r="L104" s="121">
        <f t="shared" si="38"/>
        <v>0</v>
      </c>
      <c r="M104" s="121">
        <f t="shared" si="38"/>
        <v>0</v>
      </c>
      <c r="N104" s="121">
        <f t="shared" si="38"/>
        <v>0</v>
      </c>
      <c r="O104" s="121">
        <f t="shared" si="38"/>
        <v>0</v>
      </c>
      <c r="P104" s="121">
        <f t="shared" si="38"/>
        <v>0</v>
      </c>
      <c r="Q104" s="121">
        <f t="shared" si="38"/>
        <v>0</v>
      </c>
      <c r="R104" s="121">
        <f t="shared" si="38"/>
        <v>0</v>
      </c>
      <c r="S104" s="121">
        <f t="shared" si="38"/>
        <v>0</v>
      </c>
      <c r="T104" s="121">
        <f t="shared" si="38"/>
        <v>0</v>
      </c>
      <c r="U104" s="121">
        <f t="shared" si="38"/>
        <v>0</v>
      </c>
      <c r="V104" s="121">
        <f t="shared" si="38"/>
        <v>0</v>
      </c>
      <c r="W104" s="121">
        <f t="shared" si="38"/>
        <v>0</v>
      </c>
      <c r="X104" s="121">
        <f t="shared" si="38"/>
        <v>0</v>
      </c>
      <c r="Y104" s="121">
        <f t="shared" si="38"/>
        <v>0</v>
      </c>
      <c r="Z104" s="121">
        <f t="shared" si="38"/>
        <v>0</v>
      </c>
      <c r="AA104" s="121">
        <f t="shared" si="38"/>
        <v>0</v>
      </c>
      <c r="AB104" s="121">
        <f t="shared" si="38"/>
        <v>0</v>
      </c>
      <c r="AC104" s="121">
        <f t="shared" si="38"/>
        <v>0</v>
      </c>
      <c r="AD104" s="121">
        <f t="shared" si="38"/>
        <v>0</v>
      </c>
      <c r="AE104" s="121">
        <f t="shared" si="38"/>
        <v>0</v>
      </c>
      <c r="AF104" s="121">
        <f t="shared" si="38"/>
        <v>0</v>
      </c>
      <c r="AG104" s="121">
        <f t="shared" si="38"/>
        <v>0</v>
      </c>
      <c r="AH104" s="121">
        <f t="shared" si="38"/>
        <v>0</v>
      </c>
      <c r="AI104" s="121">
        <f t="shared" si="38"/>
        <v>0</v>
      </c>
      <c r="AJ104" s="121">
        <f t="shared" si="38"/>
        <v>0</v>
      </c>
      <c r="AK104" s="121">
        <f t="shared" si="38"/>
        <v>0</v>
      </c>
      <c r="AL104" s="121">
        <f t="shared" si="38"/>
        <v>0</v>
      </c>
      <c r="AM104" s="121">
        <f t="shared" si="38"/>
        <v>0</v>
      </c>
      <c r="AN104" s="121">
        <f t="shared" si="38"/>
        <v>0</v>
      </c>
      <c r="AO104" s="121">
        <f t="shared" si="38"/>
        <v>0</v>
      </c>
      <c r="AP104" s="121">
        <f t="shared" si="38"/>
        <v>0</v>
      </c>
    </row>
    <row r="105" spans="1:42" x14ac:dyDescent="0.2">
      <c r="A105" s="200" t="s">
        <v>13</v>
      </c>
      <c r="B105" s="133">
        <f>B91+B99+B104</f>
        <v>0</v>
      </c>
      <c r="C105" s="133">
        <f>C$99+C$104</f>
        <v>0</v>
      </c>
      <c r="D105" s="133">
        <f t="shared" ref="D105:AP105" si="39">D$99+D$104</f>
        <v>0</v>
      </c>
      <c r="E105" s="133">
        <f t="shared" si="39"/>
        <v>0</v>
      </c>
      <c r="F105" s="133">
        <f t="shared" si="39"/>
        <v>0</v>
      </c>
      <c r="G105" s="133">
        <f t="shared" si="39"/>
        <v>0</v>
      </c>
      <c r="H105" s="133">
        <f t="shared" si="39"/>
        <v>0</v>
      </c>
      <c r="I105" s="133">
        <f t="shared" si="39"/>
        <v>0</v>
      </c>
      <c r="J105" s="133">
        <f t="shared" si="39"/>
        <v>0</v>
      </c>
      <c r="K105" s="133">
        <f t="shared" si="39"/>
        <v>0</v>
      </c>
      <c r="L105" s="133">
        <f t="shared" si="39"/>
        <v>0</v>
      </c>
      <c r="M105" s="133">
        <f t="shared" si="39"/>
        <v>0</v>
      </c>
      <c r="N105" s="133">
        <f t="shared" si="39"/>
        <v>0</v>
      </c>
      <c r="O105" s="133">
        <f t="shared" si="39"/>
        <v>0</v>
      </c>
      <c r="P105" s="133">
        <f t="shared" si="39"/>
        <v>0</v>
      </c>
      <c r="Q105" s="133">
        <f t="shared" si="39"/>
        <v>0</v>
      </c>
      <c r="R105" s="133">
        <f t="shared" si="39"/>
        <v>0</v>
      </c>
      <c r="S105" s="133">
        <f t="shared" si="39"/>
        <v>0</v>
      </c>
      <c r="T105" s="133">
        <f t="shared" si="39"/>
        <v>0</v>
      </c>
      <c r="U105" s="133">
        <f t="shared" si="39"/>
        <v>0</v>
      </c>
      <c r="V105" s="133">
        <f t="shared" si="39"/>
        <v>0</v>
      </c>
      <c r="W105" s="133">
        <f t="shared" si="39"/>
        <v>0</v>
      </c>
      <c r="X105" s="133">
        <f t="shared" si="39"/>
        <v>0</v>
      </c>
      <c r="Y105" s="133">
        <f t="shared" si="39"/>
        <v>0</v>
      </c>
      <c r="Z105" s="133">
        <f t="shared" si="39"/>
        <v>0</v>
      </c>
      <c r="AA105" s="133">
        <f t="shared" si="39"/>
        <v>0</v>
      </c>
      <c r="AB105" s="133">
        <f t="shared" si="39"/>
        <v>0</v>
      </c>
      <c r="AC105" s="133">
        <f t="shared" si="39"/>
        <v>0</v>
      </c>
      <c r="AD105" s="133">
        <f t="shared" si="39"/>
        <v>0</v>
      </c>
      <c r="AE105" s="133">
        <f t="shared" si="39"/>
        <v>0</v>
      </c>
      <c r="AF105" s="133">
        <f t="shared" si="39"/>
        <v>0</v>
      </c>
      <c r="AG105" s="133">
        <f t="shared" si="39"/>
        <v>0</v>
      </c>
      <c r="AH105" s="133">
        <f t="shared" si="39"/>
        <v>0</v>
      </c>
      <c r="AI105" s="133">
        <f t="shared" si="39"/>
        <v>0</v>
      </c>
      <c r="AJ105" s="133">
        <f t="shared" si="39"/>
        <v>0</v>
      </c>
      <c r="AK105" s="133">
        <f t="shared" si="39"/>
        <v>0</v>
      </c>
      <c r="AL105" s="133">
        <f t="shared" si="39"/>
        <v>0</v>
      </c>
      <c r="AM105" s="133">
        <f t="shared" si="39"/>
        <v>0</v>
      </c>
      <c r="AN105" s="133">
        <f t="shared" si="39"/>
        <v>0</v>
      </c>
      <c r="AO105" s="133">
        <f t="shared" si="39"/>
        <v>0</v>
      </c>
      <c r="AP105" s="133">
        <f t="shared" si="39"/>
        <v>0</v>
      </c>
    </row>
    <row r="106" spans="1:42" x14ac:dyDescent="0.2">
      <c r="A106" s="17"/>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row>
    <row r="107" spans="1:42" x14ac:dyDescent="0.2">
      <c r="A107" s="19" t="s">
        <v>59</v>
      </c>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row>
    <row r="108" spans="1:42" x14ac:dyDescent="0.2">
      <c r="A108" s="17" t="s">
        <v>201</v>
      </c>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row>
    <row r="109" spans="1:42" x14ac:dyDescent="0.2">
      <c r="A109" s="84" t="s">
        <v>202</v>
      </c>
      <c r="B109" s="116">
        <f>$B$657</f>
        <v>0</v>
      </c>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row>
    <row r="110" spans="1:42" x14ac:dyDescent="0.2">
      <c r="A110" s="84" t="s">
        <v>13</v>
      </c>
      <c r="B110" s="115">
        <f>SUM(B109:B109)</f>
        <v>0</v>
      </c>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row>
    <row r="111" spans="1:42" x14ac:dyDescent="0.2">
      <c r="A111" s="17" t="s">
        <v>200</v>
      </c>
      <c r="B111" s="115">
        <f>-B105-B109</f>
        <v>0</v>
      </c>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row>
    <row r="112" spans="1:42" x14ac:dyDescent="0.2">
      <c r="A112" s="17" t="s">
        <v>199</v>
      </c>
      <c r="B112" s="116">
        <v>0</v>
      </c>
      <c r="C112" s="116">
        <f>-C644</f>
        <v>0</v>
      </c>
      <c r="D112" s="116">
        <f t="shared" ref="D112:AP112" si="40">-D644</f>
        <v>0</v>
      </c>
      <c r="E112" s="116">
        <f t="shared" si="40"/>
        <v>0</v>
      </c>
      <c r="F112" s="116">
        <f t="shared" si="40"/>
        <v>0</v>
      </c>
      <c r="G112" s="116">
        <f t="shared" si="40"/>
        <v>0</v>
      </c>
      <c r="H112" s="116">
        <f t="shared" si="40"/>
        <v>0</v>
      </c>
      <c r="I112" s="116">
        <f t="shared" si="40"/>
        <v>0</v>
      </c>
      <c r="J112" s="116">
        <f t="shared" si="40"/>
        <v>0</v>
      </c>
      <c r="K112" s="116">
        <f t="shared" si="40"/>
        <v>0</v>
      </c>
      <c r="L112" s="116">
        <f t="shared" si="40"/>
        <v>0</v>
      </c>
      <c r="M112" s="116">
        <f t="shared" si="40"/>
        <v>0</v>
      </c>
      <c r="N112" s="116">
        <f t="shared" si="40"/>
        <v>0</v>
      </c>
      <c r="O112" s="116">
        <f t="shared" si="40"/>
        <v>0</v>
      </c>
      <c r="P112" s="116">
        <f t="shared" si="40"/>
        <v>0</v>
      </c>
      <c r="Q112" s="116">
        <f t="shared" si="40"/>
        <v>0</v>
      </c>
      <c r="R112" s="116">
        <f t="shared" si="40"/>
        <v>0</v>
      </c>
      <c r="S112" s="116">
        <f t="shared" si="40"/>
        <v>0</v>
      </c>
      <c r="T112" s="116">
        <f t="shared" si="40"/>
        <v>0</v>
      </c>
      <c r="U112" s="116">
        <f t="shared" si="40"/>
        <v>0</v>
      </c>
      <c r="V112" s="116">
        <f t="shared" si="40"/>
        <v>0</v>
      </c>
      <c r="W112" s="116">
        <f t="shared" si="40"/>
        <v>0</v>
      </c>
      <c r="X112" s="116">
        <f t="shared" si="40"/>
        <v>0</v>
      </c>
      <c r="Y112" s="116">
        <f t="shared" si="40"/>
        <v>0</v>
      </c>
      <c r="Z112" s="116">
        <f t="shared" si="40"/>
        <v>0</v>
      </c>
      <c r="AA112" s="116">
        <f t="shared" si="40"/>
        <v>0</v>
      </c>
      <c r="AB112" s="116">
        <f t="shared" si="40"/>
        <v>0</v>
      </c>
      <c r="AC112" s="116">
        <f t="shared" si="40"/>
        <v>0</v>
      </c>
      <c r="AD112" s="116">
        <f t="shared" si="40"/>
        <v>0</v>
      </c>
      <c r="AE112" s="116">
        <f t="shared" si="40"/>
        <v>0</v>
      </c>
      <c r="AF112" s="116">
        <f t="shared" si="40"/>
        <v>0</v>
      </c>
      <c r="AG112" s="116">
        <f t="shared" si="40"/>
        <v>0</v>
      </c>
      <c r="AH112" s="116">
        <f t="shared" si="40"/>
        <v>0</v>
      </c>
      <c r="AI112" s="116">
        <f t="shared" si="40"/>
        <v>0</v>
      </c>
      <c r="AJ112" s="116">
        <f t="shared" si="40"/>
        <v>0</v>
      </c>
      <c r="AK112" s="116">
        <f t="shared" si="40"/>
        <v>0</v>
      </c>
      <c r="AL112" s="116">
        <f t="shared" si="40"/>
        <v>0</v>
      </c>
      <c r="AM112" s="116">
        <f t="shared" si="40"/>
        <v>0</v>
      </c>
      <c r="AN112" s="116">
        <f t="shared" si="40"/>
        <v>0</v>
      </c>
      <c r="AO112" s="116">
        <f t="shared" si="40"/>
        <v>0</v>
      </c>
      <c r="AP112" s="116">
        <f t="shared" si="40"/>
        <v>0</v>
      </c>
    </row>
    <row r="113" spans="1:53" x14ac:dyDescent="0.2">
      <c r="A113" s="200" t="s">
        <v>13</v>
      </c>
      <c r="B113" s="133">
        <f>SUM(B110:B112)</f>
        <v>0</v>
      </c>
      <c r="C113" s="133">
        <f>SUM(C110:C112)</f>
        <v>0</v>
      </c>
      <c r="D113" s="133">
        <f t="shared" ref="D113:AP113" si="41">SUM(D110:D112)</f>
        <v>0</v>
      </c>
      <c r="E113" s="133">
        <f t="shared" si="41"/>
        <v>0</v>
      </c>
      <c r="F113" s="133">
        <f t="shared" si="41"/>
        <v>0</v>
      </c>
      <c r="G113" s="133">
        <f t="shared" si="41"/>
        <v>0</v>
      </c>
      <c r="H113" s="133">
        <f t="shared" si="41"/>
        <v>0</v>
      </c>
      <c r="I113" s="133">
        <f t="shared" si="41"/>
        <v>0</v>
      </c>
      <c r="J113" s="133">
        <f t="shared" si="41"/>
        <v>0</v>
      </c>
      <c r="K113" s="133">
        <f t="shared" si="41"/>
        <v>0</v>
      </c>
      <c r="L113" s="133">
        <f t="shared" si="41"/>
        <v>0</v>
      </c>
      <c r="M113" s="133">
        <f t="shared" si="41"/>
        <v>0</v>
      </c>
      <c r="N113" s="133">
        <f t="shared" si="41"/>
        <v>0</v>
      </c>
      <c r="O113" s="133">
        <f t="shared" si="41"/>
        <v>0</v>
      </c>
      <c r="P113" s="133">
        <f t="shared" si="41"/>
        <v>0</v>
      </c>
      <c r="Q113" s="133">
        <f t="shared" si="41"/>
        <v>0</v>
      </c>
      <c r="R113" s="133">
        <f t="shared" si="41"/>
        <v>0</v>
      </c>
      <c r="S113" s="133">
        <f t="shared" si="41"/>
        <v>0</v>
      </c>
      <c r="T113" s="133">
        <f t="shared" si="41"/>
        <v>0</v>
      </c>
      <c r="U113" s="133">
        <f t="shared" si="41"/>
        <v>0</v>
      </c>
      <c r="V113" s="133">
        <f t="shared" si="41"/>
        <v>0</v>
      </c>
      <c r="W113" s="133">
        <f t="shared" si="41"/>
        <v>0</v>
      </c>
      <c r="X113" s="133">
        <f t="shared" si="41"/>
        <v>0</v>
      </c>
      <c r="Y113" s="133">
        <f t="shared" si="41"/>
        <v>0</v>
      </c>
      <c r="Z113" s="133">
        <f t="shared" si="41"/>
        <v>0</v>
      </c>
      <c r="AA113" s="133">
        <f t="shared" si="41"/>
        <v>0</v>
      </c>
      <c r="AB113" s="133">
        <f t="shared" si="41"/>
        <v>0</v>
      </c>
      <c r="AC113" s="133">
        <f t="shared" si="41"/>
        <v>0</v>
      </c>
      <c r="AD113" s="133">
        <f t="shared" si="41"/>
        <v>0</v>
      </c>
      <c r="AE113" s="133">
        <f t="shared" si="41"/>
        <v>0</v>
      </c>
      <c r="AF113" s="133">
        <f t="shared" si="41"/>
        <v>0</v>
      </c>
      <c r="AG113" s="133">
        <f t="shared" si="41"/>
        <v>0</v>
      </c>
      <c r="AH113" s="133">
        <f t="shared" si="41"/>
        <v>0</v>
      </c>
      <c r="AI113" s="133">
        <f t="shared" si="41"/>
        <v>0</v>
      </c>
      <c r="AJ113" s="133">
        <f t="shared" si="41"/>
        <v>0</v>
      </c>
      <c r="AK113" s="133">
        <f t="shared" si="41"/>
        <v>0</v>
      </c>
      <c r="AL113" s="133">
        <f t="shared" si="41"/>
        <v>0</v>
      </c>
      <c r="AM113" s="133">
        <f t="shared" si="41"/>
        <v>0</v>
      </c>
      <c r="AN113" s="133">
        <f t="shared" si="41"/>
        <v>0</v>
      </c>
      <c r="AO113" s="133">
        <f t="shared" si="41"/>
        <v>0</v>
      </c>
      <c r="AP113" s="133">
        <f t="shared" si="41"/>
        <v>0</v>
      </c>
    </row>
    <row r="114" spans="1:53" s="201" customFormat="1" ht="13.5" thickBot="1" x14ac:dyDescent="0.25">
      <c r="A114" s="17"/>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288"/>
      <c r="AR114" s="288"/>
      <c r="AS114" s="288"/>
      <c r="AT114" s="288"/>
      <c r="AU114" s="288"/>
      <c r="AV114" s="288"/>
      <c r="AW114" s="288"/>
      <c r="AX114" s="288"/>
      <c r="AY114" s="288"/>
      <c r="AZ114" s="288"/>
      <c r="BA114" s="288"/>
    </row>
    <row r="115" spans="1:53" ht="13.5" thickTop="1" x14ac:dyDescent="0.2">
      <c r="A115" s="80" t="s">
        <v>251</v>
      </c>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row>
    <row r="116" spans="1:53" x14ac:dyDescent="0.2">
      <c r="A116" s="19" t="s">
        <v>252</v>
      </c>
    </row>
    <row r="117" spans="1:53" x14ac:dyDescent="0.2">
      <c r="A117" s="84" t="s">
        <v>200</v>
      </c>
      <c r="B117" s="115">
        <f t="shared" ref="B117:AP117" si="42">-B111</f>
        <v>0</v>
      </c>
      <c r="C117" s="115">
        <f t="shared" si="42"/>
        <v>0</v>
      </c>
      <c r="D117" s="115">
        <f t="shared" si="42"/>
        <v>0</v>
      </c>
      <c r="E117" s="115">
        <f t="shared" si="42"/>
        <v>0</v>
      </c>
      <c r="F117" s="115">
        <f t="shared" si="42"/>
        <v>0</v>
      </c>
      <c r="G117" s="115">
        <f t="shared" si="42"/>
        <v>0</v>
      </c>
      <c r="H117" s="115">
        <f t="shared" si="42"/>
        <v>0</v>
      </c>
      <c r="I117" s="115">
        <f t="shared" si="42"/>
        <v>0</v>
      </c>
      <c r="J117" s="115">
        <f t="shared" si="42"/>
        <v>0</v>
      </c>
      <c r="K117" s="115">
        <f t="shared" si="42"/>
        <v>0</v>
      </c>
      <c r="L117" s="115">
        <f t="shared" si="42"/>
        <v>0</v>
      </c>
      <c r="M117" s="115">
        <f t="shared" si="42"/>
        <v>0</v>
      </c>
      <c r="N117" s="115">
        <f t="shared" si="42"/>
        <v>0</v>
      </c>
      <c r="O117" s="115">
        <f t="shared" si="42"/>
        <v>0</v>
      </c>
      <c r="P117" s="115">
        <f t="shared" si="42"/>
        <v>0</v>
      </c>
      <c r="Q117" s="115">
        <f t="shared" si="42"/>
        <v>0</v>
      </c>
      <c r="R117" s="115">
        <f t="shared" si="42"/>
        <v>0</v>
      </c>
      <c r="S117" s="115">
        <f t="shared" si="42"/>
        <v>0</v>
      </c>
      <c r="T117" s="115">
        <f t="shared" si="42"/>
        <v>0</v>
      </c>
      <c r="U117" s="115">
        <f t="shared" si="42"/>
        <v>0</v>
      </c>
      <c r="V117" s="115">
        <f t="shared" si="42"/>
        <v>0</v>
      </c>
      <c r="W117" s="115">
        <f t="shared" si="42"/>
        <v>0</v>
      </c>
      <c r="X117" s="115">
        <f t="shared" si="42"/>
        <v>0</v>
      </c>
      <c r="Y117" s="115">
        <f t="shared" si="42"/>
        <v>0</v>
      </c>
      <c r="Z117" s="115">
        <f t="shared" si="42"/>
        <v>0</v>
      </c>
      <c r="AA117" s="115">
        <f t="shared" si="42"/>
        <v>0</v>
      </c>
      <c r="AB117" s="115">
        <f t="shared" si="42"/>
        <v>0</v>
      </c>
      <c r="AC117" s="115">
        <f t="shared" si="42"/>
        <v>0</v>
      </c>
      <c r="AD117" s="115">
        <f t="shared" si="42"/>
        <v>0</v>
      </c>
      <c r="AE117" s="115">
        <f t="shared" si="42"/>
        <v>0</v>
      </c>
      <c r="AF117" s="115">
        <f t="shared" si="42"/>
        <v>0</v>
      </c>
      <c r="AG117" s="115">
        <f t="shared" si="42"/>
        <v>0</v>
      </c>
      <c r="AH117" s="115">
        <f t="shared" si="42"/>
        <v>0</v>
      </c>
      <c r="AI117" s="115">
        <f t="shared" si="42"/>
        <v>0</v>
      </c>
      <c r="AJ117" s="115">
        <f t="shared" si="42"/>
        <v>0</v>
      </c>
      <c r="AK117" s="115">
        <f t="shared" si="42"/>
        <v>0</v>
      </c>
      <c r="AL117" s="115">
        <f t="shared" si="42"/>
        <v>0</v>
      </c>
      <c r="AM117" s="115">
        <f t="shared" si="42"/>
        <v>0</v>
      </c>
      <c r="AN117" s="115">
        <f t="shared" si="42"/>
        <v>0</v>
      </c>
      <c r="AO117" s="115">
        <f t="shared" si="42"/>
        <v>0</v>
      </c>
      <c r="AP117" s="115">
        <f t="shared" si="42"/>
        <v>0</v>
      </c>
    </row>
    <row r="118" spans="1:53" x14ac:dyDescent="0.2">
      <c r="A118" s="84" t="s">
        <v>250</v>
      </c>
      <c r="B118" s="116">
        <f t="shared" ref="B118:AP118" si="43">B78+B105+B113</f>
        <v>0</v>
      </c>
      <c r="C118" s="116">
        <f t="shared" si="43"/>
        <v>0</v>
      </c>
      <c r="D118" s="116">
        <f t="shared" si="43"/>
        <v>0</v>
      </c>
      <c r="E118" s="116">
        <f t="shared" si="43"/>
        <v>0</v>
      </c>
      <c r="F118" s="116">
        <f t="shared" si="43"/>
        <v>0</v>
      </c>
      <c r="G118" s="116">
        <f t="shared" si="43"/>
        <v>0</v>
      </c>
      <c r="H118" s="116">
        <f t="shared" si="43"/>
        <v>0</v>
      </c>
      <c r="I118" s="116">
        <f t="shared" si="43"/>
        <v>0</v>
      </c>
      <c r="J118" s="116">
        <f t="shared" si="43"/>
        <v>0</v>
      </c>
      <c r="K118" s="116">
        <f t="shared" si="43"/>
        <v>0</v>
      </c>
      <c r="L118" s="116">
        <f t="shared" si="43"/>
        <v>0</v>
      </c>
      <c r="M118" s="116">
        <f t="shared" si="43"/>
        <v>0</v>
      </c>
      <c r="N118" s="116">
        <f t="shared" si="43"/>
        <v>0</v>
      </c>
      <c r="O118" s="116">
        <f t="shared" si="43"/>
        <v>0</v>
      </c>
      <c r="P118" s="116">
        <f t="shared" si="43"/>
        <v>0</v>
      </c>
      <c r="Q118" s="116">
        <f t="shared" si="43"/>
        <v>0</v>
      </c>
      <c r="R118" s="116">
        <f t="shared" si="43"/>
        <v>0</v>
      </c>
      <c r="S118" s="116">
        <f t="shared" si="43"/>
        <v>0</v>
      </c>
      <c r="T118" s="116">
        <f t="shared" si="43"/>
        <v>0</v>
      </c>
      <c r="U118" s="116">
        <f t="shared" si="43"/>
        <v>0</v>
      </c>
      <c r="V118" s="116">
        <f t="shared" si="43"/>
        <v>0</v>
      </c>
      <c r="W118" s="116">
        <f t="shared" si="43"/>
        <v>0</v>
      </c>
      <c r="X118" s="116">
        <f t="shared" si="43"/>
        <v>0</v>
      </c>
      <c r="Y118" s="116">
        <f t="shared" si="43"/>
        <v>0</v>
      </c>
      <c r="Z118" s="116">
        <f t="shared" si="43"/>
        <v>0</v>
      </c>
      <c r="AA118" s="116">
        <f t="shared" si="43"/>
        <v>0</v>
      </c>
      <c r="AB118" s="116">
        <f t="shared" si="43"/>
        <v>0</v>
      </c>
      <c r="AC118" s="116">
        <f t="shared" si="43"/>
        <v>0</v>
      </c>
      <c r="AD118" s="116">
        <f t="shared" si="43"/>
        <v>0</v>
      </c>
      <c r="AE118" s="116">
        <f t="shared" si="43"/>
        <v>0</v>
      </c>
      <c r="AF118" s="116">
        <f t="shared" si="43"/>
        <v>0</v>
      </c>
      <c r="AG118" s="116">
        <f t="shared" si="43"/>
        <v>0</v>
      </c>
      <c r="AH118" s="116">
        <f t="shared" si="43"/>
        <v>0</v>
      </c>
      <c r="AI118" s="116">
        <f t="shared" si="43"/>
        <v>0</v>
      </c>
      <c r="AJ118" s="116">
        <f t="shared" si="43"/>
        <v>0</v>
      </c>
      <c r="AK118" s="116">
        <f t="shared" si="43"/>
        <v>0</v>
      </c>
      <c r="AL118" s="116">
        <f t="shared" si="43"/>
        <v>0</v>
      </c>
      <c r="AM118" s="116">
        <f t="shared" si="43"/>
        <v>0</v>
      </c>
      <c r="AN118" s="116">
        <f t="shared" si="43"/>
        <v>0</v>
      </c>
      <c r="AO118" s="116">
        <f t="shared" si="43"/>
        <v>0</v>
      </c>
      <c r="AP118" s="116">
        <f t="shared" si="43"/>
        <v>0</v>
      </c>
    </row>
    <row r="119" spans="1:53" x14ac:dyDescent="0.2">
      <c r="A119" s="203" t="s">
        <v>13</v>
      </c>
      <c r="B119" s="133">
        <f>SUM(B117:B118)</f>
        <v>0</v>
      </c>
      <c r="C119" s="133">
        <f t="shared" ref="C119:AP119" si="44">SUM(C117:C118)</f>
        <v>0</v>
      </c>
      <c r="D119" s="133">
        <f t="shared" si="44"/>
        <v>0</v>
      </c>
      <c r="E119" s="133">
        <f t="shared" si="44"/>
        <v>0</v>
      </c>
      <c r="F119" s="133">
        <f t="shared" si="44"/>
        <v>0</v>
      </c>
      <c r="G119" s="133">
        <f t="shared" si="44"/>
        <v>0</v>
      </c>
      <c r="H119" s="133">
        <f t="shared" si="44"/>
        <v>0</v>
      </c>
      <c r="I119" s="133">
        <f t="shared" si="44"/>
        <v>0</v>
      </c>
      <c r="J119" s="133">
        <f t="shared" si="44"/>
        <v>0</v>
      </c>
      <c r="K119" s="133">
        <f t="shared" si="44"/>
        <v>0</v>
      </c>
      <c r="L119" s="133">
        <f t="shared" si="44"/>
        <v>0</v>
      </c>
      <c r="M119" s="133">
        <f t="shared" si="44"/>
        <v>0</v>
      </c>
      <c r="N119" s="133">
        <f t="shared" si="44"/>
        <v>0</v>
      </c>
      <c r="O119" s="133">
        <f t="shared" si="44"/>
        <v>0</v>
      </c>
      <c r="P119" s="133">
        <f t="shared" si="44"/>
        <v>0</v>
      </c>
      <c r="Q119" s="133">
        <f t="shared" si="44"/>
        <v>0</v>
      </c>
      <c r="R119" s="133">
        <f t="shared" si="44"/>
        <v>0</v>
      </c>
      <c r="S119" s="133">
        <f t="shared" si="44"/>
        <v>0</v>
      </c>
      <c r="T119" s="133">
        <f t="shared" si="44"/>
        <v>0</v>
      </c>
      <c r="U119" s="133">
        <f t="shared" si="44"/>
        <v>0</v>
      </c>
      <c r="V119" s="133">
        <f t="shared" si="44"/>
        <v>0</v>
      </c>
      <c r="W119" s="133">
        <f t="shared" si="44"/>
        <v>0</v>
      </c>
      <c r="X119" s="133">
        <f t="shared" si="44"/>
        <v>0</v>
      </c>
      <c r="Y119" s="133">
        <f t="shared" si="44"/>
        <v>0</v>
      </c>
      <c r="Z119" s="133">
        <f t="shared" si="44"/>
        <v>0</v>
      </c>
      <c r="AA119" s="133">
        <f t="shared" si="44"/>
        <v>0</v>
      </c>
      <c r="AB119" s="133">
        <f t="shared" si="44"/>
        <v>0</v>
      </c>
      <c r="AC119" s="133">
        <f t="shared" si="44"/>
        <v>0</v>
      </c>
      <c r="AD119" s="133">
        <f t="shared" si="44"/>
        <v>0</v>
      </c>
      <c r="AE119" s="133">
        <f t="shared" si="44"/>
        <v>0</v>
      </c>
      <c r="AF119" s="133">
        <f t="shared" si="44"/>
        <v>0</v>
      </c>
      <c r="AG119" s="133">
        <f t="shared" si="44"/>
        <v>0</v>
      </c>
      <c r="AH119" s="133">
        <f t="shared" si="44"/>
        <v>0</v>
      </c>
      <c r="AI119" s="133">
        <f t="shared" si="44"/>
        <v>0</v>
      </c>
      <c r="AJ119" s="133">
        <f t="shared" si="44"/>
        <v>0</v>
      </c>
      <c r="AK119" s="133">
        <f t="shared" si="44"/>
        <v>0</v>
      </c>
      <c r="AL119" s="133">
        <f t="shared" si="44"/>
        <v>0</v>
      </c>
      <c r="AM119" s="133">
        <f t="shared" si="44"/>
        <v>0</v>
      </c>
      <c r="AN119" s="133">
        <f t="shared" si="44"/>
        <v>0</v>
      </c>
      <c r="AO119" s="133">
        <f t="shared" si="44"/>
        <v>0</v>
      </c>
      <c r="AP119" s="133">
        <f t="shared" si="44"/>
        <v>0</v>
      </c>
    </row>
    <row r="120" spans="1:53" x14ac:dyDescent="0.2">
      <c r="A120" s="17"/>
    </row>
    <row r="121" spans="1:53" x14ac:dyDescent="0.2">
      <c r="A121" s="19" t="s">
        <v>253</v>
      </c>
    </row>
    <row r="122" spans="1:53" x14ac:dyDescent="0.2">
      <c r="A122" s="84" t="s">
        <v>2</v>
      </c>
    </row>
    <row r="123" spans="1:53" x14ac:dyDescent="0.2">
      <c r="A123" s="85" t="s">
        <v>5</v>
      </c>
      <c r="B123" s="115">
        <v>0</v>
      </c>
      <c r="C123" s="115">
        <f>C$578</f>
        <v>0</v>
      </c>
      <c r="D123" s="115">
        <f t="shared" ref="D123:AP123" si="45">D$578</f>
        <v>0</v>
      </c>
      <c r="E123" s="115">
        <f t="shared" si="45"/>
        <v>0</v>
      </c>
      <c r="F123" s="115">
        <f t="shared" si="45"/>
        <v>0</v>
      </c>
      <c r="G123" s="115">
        <f t="shared" si="45"/>
        <v>0</v>
      </c>
      <c r="H123" s="115">
        <f t="shared" si="45"/>
        <v>0</v>
      </c>
      <c r="I123" s="115">
        <f t="shared" si="45"/>
        <v>0</v>
      </c>
      <c r="J123" s="115">
        <f t="shared" si="45"/>
        <v>0</v>
      </c>
      <c r="K123" s="115">
        <f t="shared" si="45"/>
        <v>0</v>
      </c>
      <c r="L123" s="115">
        <f t="shared" si="45"/>
        <v>0</v>
      </c>
      <c r="M123" s="115">
        <f t="shared" si="45"/>
        <v>0</v>
      </c>
      <c r="N123" s="115">
        <f t="shared" si="45"/>
        <v>0</v>
      </c>
      <c r="O123" s="115">
        <f t="shared" si="45"/>
        <v>0</v>
      </c>
      <c r="P123" s="115">
        <f t="shared" si="45"/>
        <v>0</v>
      </c>
      <c r="Q123" s="115">
        <f t="shared" si="45"/>
        <v>0</v>
      </c>
      <c r="R123" s="115">
        <f t="shared" si="45"/>
        <v>0</v>
      </c>
      <c r="S123" s="115">
        <f t="shared" si="45"/>
        <v>0</v>
      </c>
      <c r="T123" s="115">
        <f t="shared" si="45"/>
        <v>0</v>
      </c>
      <c r="U123" s="115">
        <f t="shared" si="45"/>
        <v>0</v>
      </c>
      <c r="V123" s="115">
        <f t="shared" si="45"/>
        <v>0</v>
      </c>
      <c r="W123" s="115">
        <f t="shared" si="45"/>
        <v>0</v>
      </c>
      <c r="X123" s="115">
        <f t="shared" si="45"/>
        <v>0</v>
      </c>
      <c r="Y123" s="115">
        <f t="shared" si="45"/>
        <v>0</v>
      </c>
      <c r="Z123" s="115">
        <f t="shared" si="45"/>
        <v>0</v>
      </c>
      <c r="AA123" s="115">
        <f t="shared" si="45"/>
        <v>0</v>
      </c>
      <c r="AB123" s="115">
        <f t="shared" si="45"/>
        <v>0</v>
      </c>
      <c r="AC123" s="115">
        <f t="shared" si="45"/>
        <v>0</v>
      </c>
      <c r="AD123" s="115">
        <f t="shared" si="45"/>
        <v>0</v>
      </c>
      <c r="AE123" s="115">
        <f t="shared" si="45"/>
        <v>0</v>
      </c>
      <c r="AF123" s="115">
        <f t="shared" si="45"/>
        <v>0</v>
      </c>
      <c r="AG123" s="115">
        <f t="shared" si="45"/>
        <v>0</v>
      </c>
      <c r="AH123" s="115">
        <f t="shared" si="45"/>
        <v>0</v>
      </c>
      <c r="AI123" s="115">
        <f t="shared" si="45"/>
        <v>0</v>
      </c>
      <c r="AJ123" s="115">
        <f t="shared" si="45"/>
        <v>0</v>
      </c>
      <c r="AK123" s="115">
        <f t="shared" si="45"/>
        <v>0</v>
      </c>
      <c r="AL123" s="115">
        <f t="shared" si="45"/>
        <v>0</v>
      </c>
      <c r="AM123" s="115">
        <f t="shared" si="45"/>
        <v>0</v>
      </c>
      <c r="AN123" s="115">
        <f t="shared" si="45"/>
        <v>0</v>
      </c>
      <c r="AO123" s="115">
        <f t="shared" si="45"/>
        <v>0</v>
      </c>
      <c r="AP123" s="115">
        <f t="shared" si="45"/>
        <v>0</v>
      </c>
    </row>
    <row r="124" spans="1:53" x14ac:dyDescent="0.2">
      <c r="A124" s="85" t="s">
        <v>4</v>
      </c>
      <c r="B124" s="116">
        <v>0</v>
      </c>
      <c r="C124" s="116">
        <f>C$584</f>
        <v>0</v>
      </c>
      <c r="D124" s="116">
        <f t="shared" ref="D124:AP124" si="46">D$584</f>
        <v>0</v>
      </c>
      <c r="E124" s="116">
        <f t="shared" si="46"/>
        <v>0</v>
      </c>
      <c r="F124" s="116">
        <f t="shared" si="46"/>
        <v>0</v>
      </c>
      <c r="G124" s="116">
        <f t="shared" si="46"/>
        <v>0</v>
      </c>
      <c r="H124" s="116">
        <f t="shared" si="46"/>
        <v>0</v>
      </c>
      <c r="I124" s="116">
        <f t="shared" si="46"/>
        <v>0</v>
      </c>
      <c r="J124" s="116">
        <f t="shared" si="46"/>
        <v>0</v>
      </c>
      <c r="K124" s="116">
        <f t="shared" si="46"/>
        <v>0</v>
      </c>
      <c r="L124" s="116">
        <f t="shared" si="46"/>
        <v>0</v>
      </c>
      <c r="M124" s="116">
        <f t="shared" si="46"/>
        <v>0</v>
      </c>
      <c r="N124" s="116">
        <f t="shared" si="46"/>
        <v>0</v>
      </c>
      <c r="O124" s="116">
        <f t="shared" si="46"/>
        <v>0</v>
      </c>
      <c r="P124" s="116">
        <f t="shared" si="46"/>
        <v>0</v>
      </c>
      <c r="Q124" s="116">
        <f t="shared" si="46"/>
        <v>0</v>
      </c>
      <c r="R124" s="116">
        <f t="shared" si="46"/>
        <v>0</v>
      </c>
      <c r="S124" s="116">
        <f t="shared" si="46"/>
        <v>0</v>
      </c>
      <c r="T124" s="116">
        <f t="shared" si="46"/>
        <v>0</v>
      </c>
      <c r="U124" s="116">
        <f t="shared" si="46"/>
        <v>0</v>
      </c>
      <c r="V124" s="116">
        <f t="shared" si="46"/>
        <v>0</v>
      </c>
      <c r="W124" s="116">
        <f t="shared" si="46"/>
        <v>0</v>
      </c>
      <c r="X124" s="116">
        <f t="shared" si="46"/>
        <v>0</v>
      </c>
      <c r="Y124" s="116">
        <f t="shared" si="46"/>
        <v>0</v>
      </c>
      <c r="Z124" s="116">
        <f t="shared" si="46"/>
        <v>0</v>
      </c>
      <c r="AA124" s="116">
        <f t="shared" si="46"/>
        <v>0</v>
      </c>
      <c r="AB124" s="116">
        <f t="shared" si="46"/>
        <v>0</v>
      </c>
      <c r="AC124" s="116">
        <f t="shared" si="46"/>
        <v>0</v>
      </c>
      <c r="AD124" s="116">
        <f t="shared" si="46"/>
        <v>0</v>
      </c>
      <c r="AE124" s="116">
        <f t="shared" si="46"/>
        <v>0</v>
      </c>
      <c r="AF124" s="116">
        <f t="shared" si="46"/>
        <v>0</v>
      </c>
      <c r="AG124" s="116">
        <f t="shared" si="46"/>
        <v>0</v>
      </c>
      <c r="AH124" s="116">
        <f t="shared" si="46"/>
        <v>0</v>
      </c>
      <c r="AI124" s="116">
        <f t="shared" si="46"/>
        <v>0</v>
      </c>
      <c r="AJ124" s="116">
        <f t="shared" si="46"/>
        <v>0</v>
      </c>
      <c r="AK124" s="116">
        <f t="shared" si="46"/>
        <v>0</v>
      </c>
      <c r="AL124" s="116">
        <f t="shared" si="46"/>
        <v>0</v>
      </c>
      <c r="AM124" s="116">
        <f t="shared" si="46"/>
        <v>0</v>
      </c>
      <c r="AN124" s="116">
        <f t="shared" si="46"/>
        <v>0</v>
      </c>
      <c r="AO124" s="116">
        <f t="shared" si="46"/>
        <v>0</v>
      </c>
      <c r="AP124" s="116">
        <f t="shared" si="46"/>
        <v>0</v>
      </c>
    </row>
    <row r="125" spans="1:53" x14ac:dyDescent="0.2">
      <c r="A125" s="85" t="s">
        <v>13</v>
      </c>
      <c r="B125" s="115">
        <f t="shared" ref="B125" si="47">SUM(B123:B124)</f>
        <v>0</v>
      </c>
      <c r="C125" s="115">
        <f>SUM(C123:C124)</f>
        <v>0</v>
      </c>
      <c r="D125" s="115">
        <f t="shared" ref="D125:AP125" si="48">SUM(D123:D124)</f>
        <v>0</v>
      </c>
      <c r="E125" s="115">
        <f t="shared" si="48"/>
        <v>0</v>
      </c>
      <c r="F125" s="115">
        <f t="shared" si="48"/>
        <v>0</v>
      </c>
      <c r="G125" s="115">
        <f t="shared" si="48"/>
        <v>0</v>
      </c>
      <c r="H125" s="115">
        <f t="shared" si="48"/>
        <v>0</v>
      </c>
      <c r="I125" s="115">
        <f t="shared" si="48"/>
        <v>0</v>
      </c>
      <c r="J125" s="115">
        <f t="shared" si="48"/>
        <v>0</v>
      </c>
      <c r="K125" s="115">
        <f t="shared" si="48"/>
        <v>0</v>
      </c>
      <c r="L125" s="115">
        <f t="shared" si="48"/>
        <v>0</v>
      </c>
      <c r="M125" s="115">
        <f t="shared" si="48"/>
        <v>0</v>
      </c>
      <c r="N125" s="115">
        <f t="shared" si="48"/>
        <v>0</v>
      </c>
      <c r="O125" s="115">
        <f t="shared" si="48"/>
        <v>0</v>
      </c>
      <c r="P125" s="115">
        <f t="shared" si="48"/>
        <v>0</v>
      </c>
      <c r="Q125" s="115">
        <f t="shared" si="48"/>
        <v>0</v>
      </c>
      <c r="R125" s="115">
        <f t="shared" si="48"/>
        <v>0</v>
      </c>
      <c r="S125" s="115">
        <f t="shared" si="48"/>
        <v>0</v>
      </c>
      <c r="T125" s="115">
        <f t="shared" si="48"/>
        <v>0</v>
      </c>
      <c r="U125" s="115">
        <f t="shared" si="48"/>
        <v>0</v>
      </c>
      <c r="V125" s="115">
        <f t="shared" si="48"/>
        <v>0</v>
      </c>
      <c r="W125" s="115">
        <f t="shared" si="48"/>
        <v>0</v>
      </c>
      <c r="X125" s="115">
        <f t="shared" si="48"/>
        <v>0</v>
      </c>
      <c r="Y125" s="115">
        <f t="shared" si="48"/>
        <v>0</v>
      </c>
      <c r="Z125" s="115">
        <f t="shared" si="48"/>
        <v>0</v>
      </c>
      <c r="AA125" s="115">
        <f t="shared" si="48"/>
        <v>0</v>
      </c>
      <c r="AB125" s="115">
        <f t="shared" si="48"/>
        <v>0</v>
      </c>
      <c r="AC125" s="115">
        <f t="shared" si="48"/>
        <v>0</v>
      </c>
      <c r="AD125" s="115">
        <f t="shared" si="48"/>
        <v>0</v>
      </c>
      <c r="AE125" s="115">
        <f t="shared" si="48"/>
        <v>0</v>
      </c>
      <c r="AF125" s="115">
        <f t="shared" si="48"/>
        <v>0</v>
      </c>
      <c r="AG125" s="115">
        <f t="shared" si="48"/>
        <v>0</v>
      </c>
      <c r="AH125" s="115">
        <f t="shared" si="48"/>
        <v>0</v>
      </c>
      <c r="AI125" s="115">
        <f t="shared" si="48"/>
        <v>0</v>
      </c>
      <c r="AJ125" s="115">
        <f t="shared" si="48"/>
        <v>0</v>
      </c>
      <c r="AK125" s="115">
        <f t="shared" si="48"/>
        <v>0</v>
      </c>
      <c r="AL125" s="115">
        <f t="shared" si="48"/>
        <v>0</v>
      </c>
      <c r="AM125" s="115">
        <f t="shared" si="48"/>
        <v>0</v>
      </c>
      <c r="AN125" s="115">
        <f t="shared" si="48"/>
        <v>0</v>
      </c>
      <c r="AO125" s="115">
        <f t="shared" si="48"/>
        <v>0</v>
      </c>
      <c r="AP125" s="115">
        <f t="shared" si="48"/>
        <v>0</v>
      </c>
    </row>
    <row r="126" spans="1:53" x14ac:dyDescent="0.2">
      <c r="A126" s="84" t="s">
        <v>6</v>
      </c>
    </row>
    <row r="127" spans="1:53" x14ac:dyDescent="0.2">
      <c r="A127" s="85" t="s">
        <v>5</v>
      </c>
      <c r="B127" s="115">
        <f>B591</f>
        <v>0</v>
      </c>
      <c r="C127" s="115">
        <f t="shared" ref="C127:AO127" si="49">C591</f>
        <v>0</v>
      </c>
      <c r="D127" s="115">
        <f t="shared" si="49"/>
        <v>0</v>
      </c>
      <c r="E127" s="115">
        <f t="shared" si="49"/>
        <v>0</v>
      </c>
      <c r="F127" s="115">
        <f t="shared" si="49"/>
        <v>0</v>
      </c>
      <c r="G127" s="115">
        <f t="shared" si="49"/>
        <v>0</v>
      </c>
      <c r="H127" s="115">
        <f t="shared" si="49"/>
        <v>0</v>
      </c>
      <c r="I127" s="115">
        <f t="shared" si="49"/>
        <v>0</v>
      </c>
      <c r="J127" s="115">
        <f t="shared" si="49"/>
        <v>0</v>
      </c>
      <c r="K127" s="115">
        <f t="shared" si="49"/>
        <v>0</v>
      </c>
      <c r="L127" s="115">
        <f t="shared" si="49"/>
        <v>0</v>
      </c>
      <c r="M127" s="115">
        <f t="shared" si="49"/>
        <v>0</v>
      </c>
      <c r="N127" s="115">
        <f t="shared" si="49"/>
        <v>0</v>
      </c>
      <c r="O127" s="115">
        <f t="shared" si="49"/>
        <v>0</v>
      </c>
      <c r="P127" s="115">
        <f t="shared" si="49"/>
        <v>0</v>
      </c>
      <c r="Q127" s="115">
        <f t="shared" si="49"/>
        <v>0</v>
      </c>
      <c r="R127" s="115">
        <f t="shared" si="49"/>
        <v>0</v>
      </c>
      <c r="S127" s="115">
        <f t="shared" si="49"/>
        <v>0</v>
      </c>
      <c r="T127" s="115">
        <f t="shared" si="49"/>
        <v>0</v>
      </c>
      <c r="U127" s="115">
        <f t="shared" si="49"/>
        <v>0</v>
      </c>
      <c r="V127" s="115">
        <f t="shared" si="49"/>
        <v>0</v>
      </c>
      <c r="W127" s="115">
        <f t="shared" si="49"/>
        <v>0</v>
      </c>
      <c r="X127" s="115">
        <f t="shared" si="49"/>
        <v>0</v>
      </c>
      <c r="Y127" s="115">
        <f t="shared" si="49"/>
        <v>0</v>
      </c>
      <c r="Z127" s="115">
        <f t="shared" si="49"/>
        <v>0</v>
      </c>
      <c r="AA127" s="115">
        <f t="shared" si="49"/>
        <v>0</v>
      </c>
      <c r="AB127" s="115">
        <f t="shared" si="49"/>
        <v>0</v>
      </c>
      <c r="AC127" s="115">
        <f t="shared" si="49"/>
        <v>0</v>
      </c>
      <c r="AD127" s="115">
        <f t="shared" si="49"/>
        <v>0</v>
      </c>
      <c r="AE127" s="115">
        <f t="shared" si="49"/>
        <v>0</v>
      </c>
      <c r="AF127" s="115">
        <f t="shared" si="49"/>
        <v>0</v>
      </c>
      <c r="AG127" s="115">
        <f t="shared" si="49"/>
        <v>0</v>
      </c>
      <c r="AH127" s="115">
        <f t="shared" si="49"/>
        <v>0</v>
      </c>
      <c r="AI127" s="115">
        <f t="shared" si="49"/>
        <v>0</v>
      </c>
      <c r="AJ127" s="115">
        <f t="shared" si="49"/>
        <v>0</v>
      </c>
      <c r="AK127" s="115">
        <f t="shared" si="49"/>
        <v>0</v>
      </c>
      <c r="AL127" s="115">
        <f t="shared" si="49"/>
        <v>0</v>
      </c>
      <c r="AM127" s="115">
        <f t="shared" si="49"/>
        <v>0</v>
      </c>
      <c r="AN127" s="115">
        <f t="shared" si="49"/>
        <v>0</v>
      </c>
      <c r="AO127" s="115">
        <f t="shared" si="49"/>
        <v>0</v>
      </c>
      <c r="AP127" s="115">
        <f>AP591</f>
        <v>0</v>
      </c>
    </row>
    <row r="128" spans="1:53" x14ac:dyDescent="0.2">
      <c r="A128" s="85" t="s">
        <v>4</v>
      </c>
      <c r="B128" s="116">
        <f>B597</f>
        <v>0</v>
      </c>
      <c r="C128" s="116">
        <f t="shared" ref="C128:AO128" si="50">C597</f>
        <v>0</v>
      </c>
      <c r="D128" s="116">
        <f t="shared" si="50"/>
        <v>0</v>
      </c>
      <c r="E128" s="116">
        <f t="shared" si="50"/>
        <v>0</v>
      </c>
      <c r="F128" s="116">
        <f t="shared" si="50"/>
        <v>0</v>
      </c>
      <c r="G128" s="116">
        <f t="shared" si="50"/>
        <v>0</v>
      </c>
      <c r="H128" s="116">
        <f t="shared" si="50"/>
        <v>0</v>
      </c>
      <c r="I128" s="116">
        <f t="shared" si="50"/>
        <v>0</v>
      </c>
      <c r="J128" s="116">
        <f t="shared" si="50"/>
        <v>0</v>
      </c>
      <c r="K128" s="116">
        <f t="shared" si="50"/>
        <v>0</v>
      </c>
      <c r="L128" s="116">
        <f t="shared" si="50"/>
        <v>0</v>
      </c>
      <c r="M128" s="116">
        <f t="shared" si="50"/>
        <v>0</v>
      </c>
      <c r="N128" s="116">
        <f t="shared" si="50"/>
        <v>0</v>
      </c>
      <c r="O128" s="116">
        <f t="shared" si="50"/>
        <v>0</v>
      </c>
      <c r="P128" s="116">
        <f t="shared" si="50"/>
        <v>0</v>
      </c>
      <c r="Q128" s="116">
        <f t="shared" si="50"/>
        <v>0</v>
      </c>
      <c r="R128" s="116">
        <f t="shared" si="50"/>
        <v>0</v>
      </c>
      <c r="S128" s="116">
        <f t="shared" si="50"/>
        <v>0</v>
      </c>
      <c r="T128" s="116">
        <f t="shared" si="50"/>
        <v>0</v>
      </c>
      <c r="U128" s="116">
        <f t="shared" si="50"/>
        <v>0</v>
      </c>
      <c r="V128" s="116">
        <f t="shared" si="50"/>
        <v>0</v>
      </c>
      <c r="W128" s="116">
        <f t="shared" si="50"/>
        <v>0</v>
      </c>
      <c r="X128" s="116">
        <f t="shared" si="50"/>
        <v>0</v>
      </c>
      <c r="Y128" s="116">
        <f t="shared" si="50"/>
        <v>0</v>
      </c>
      <c r="Z128" s="116">
        <f t="shared" si="50"/>
        <v>0</v>
      </c>
      <c r="AA128" s="116">
        <f t="shared" si="50"/>
        <v>0</v>
      </c>
      <c r="AB128" s="116">
        <f t="shared" si="50"/>
        <v>0</v>
      </c>
      <c r="AC128" s="116">
        <f t="shared" si="50"/>
        <v>0</v>
      </c>
      <c r="AD128" s="116">
        <f t="shared" si="50"/>
        <v>0</v>
      </c>
      <c r="AE128" s="116">
        <f t="shared" si="50"/>
        <v>0</v>
      </c>
      <c r="AF128" s="116">
        <f t="shared" si="50"/>
        <v>0</v>
      </c>
      <c r="AG128" s="116">
        <f t="shared" si="50"/>
        <v>0</v>
      </c>
      <c r="AH128" s="116">
        <f t="shared" si="50"/>
        <v>0</v>
      </c>
      <c r="AI128" s="116">
        <f t="shared" si="50"/>
        <v>0</v>
      </c>
      <c r="AJ128" s="116">
        <f t="shared" si="50"/>
        <v>0</v>
      </c>
      <c r="AK128" s="116">
        <f t="shared" si="50"/>
        <v>0</v>
      </c>
      <c r="AL128" s="116">
        <f t="shared" si="50"/>
        <v>0</v>
      </c>
      <c r="AM128" s="116">
        <f t="shared" si="50"/>
        <v>0</v>
      </c>
      <c r="AN128" s="116">
        <f t="shared" si="50"/>
        <v>0</v>
      </c>
      <c r="AO128" s="116">
        <f t="shared" si="50"/>
        <v>0</v>
      </c>
      <c r="AP128" s="116">
        <f>AP597</f>
        <v>0</v>
      </c>
    </row>
    <row r="129" spans="1:42" x14ac:dyDescent="0.2">
      <c r="A129" s="85" t="s">
        <v>13</v>
      </c>
      <c r="B129" s="115">
        <f>SUM(B127:B128)</f>
        <v>0</v>
      </c>
      <c r="C129" s="115">
        <f>SUM(C127:C128)</f>
        <v>0</v>
      </c>
      <c r="D129" s="115">
        <f>SUM(D127:D128)</f>
        <v>0</v>
      </c>
      <c r="E129" s="115">
        <f t="shared" ref="E129:AP129" si="51">SUM(E127:E128)</f>
        <v>0</v>
      </c>
      <c r="F129" s="115">
        <f t="shared" si="51"/>
        <v>0</v>
      </c>
      <c r="G129" s="115">
        <f t="shared" si="51"/>
        <v>0</v>
      </c>
      <c r="H129" s="115">
        <f t="shared" si="51"/>
        <v>0</v>
      </c>
      <c r="I129" s="115">
        <f t="shared" si="51"/>
        <v>0</v>
      </c>
      <c r="J129" s="115">
        <f t="shared" si="51"/>
        <v>0</v>
      </c>
      <c r="K129" s="115">
        <f t="shared" si="51"/>
        <v>0</v>
      </c>
      <c r="L129" s="115">
        <f t="shared" si="51"/>
        <v>0</v>
      </c>
      <c r="M129" s="115">
        <f t="shared" si="51"/>
        <v>0</v>
      </c>
      <c r="N129" s="115">
        <f t="shared" si="51"/>
        <v>0</v>
      </c>
      <c r="O129" s="115">
        <f t="shared" si="51"/>
        <v>0</v>
      </c>
      <c r="P129" s="115">
        <f t="shared" si="51"/>
        <v>0</v>
      </c>
      <c r="Q129" s="115">
        <f t="shared" si="51"/>
        <v>0</v>
      </c>
      <c r="R129" s="115">
        <f t="shared" si="51"/>
        <v>0</v>
      </c>
      <c r="S129" s="115">
        <f t="shared" si="51"/>
        <v>0</v>
      </c>
      <c r="T129" s="115">
        <f t="shared" si="51"/>
        <v>0</v>
      </c>
      <c r="U129" s="115">
        <f t="shared" si="51"/>
        <v>0</v>
      </c>
      <c r="V129" s="115">
        <f t="shared" si="51"/>
        <v>0</v>
      </c>
      <c r="W129" s="115">
        <f t="shared" si="51"/>
        <v>0</v>
      </c>
      <c r="X129" s="115">
        <f t="shared" si="51"/>
        <v>0</v>
      </c>
      <c r="Y129" s="115">
        <f t="shared" si="51"/>
        <v>0</v>
      </c>
      <c r="Z129" s="115">
        <f t="shared" si="51"/>
        <v>0</v>
      </c>
      <c r="AA129" s="115">
        <f t="shared" si="51"/>
        <v>0</v>
      </c>
      <c r="AB129" s="115">
        <f t="shared" si="51"/>
        <v>0</v>
      </c>
      <c r="AC129" s="115">
        <f t="shared" si="51"/>
        <v>0</v>
      </c>
      <c r="AD129" s="115">
        <f t="shared" si="51"/>
        <v>0</v>
      </c>
      <c r="AE129" s="115">
        <f t="shared" si="51"/>
        <v>0</v>
      </c>
      <c r="AF129" s="115">
        <f t="shared" si="51"/>
        <v>0</v>
      </c>
      <c r="AG129" s="115">
        <f t="shared" si="51"/>
        <v>0</v>
      </c>
      <c r="AH129" s="115">
        <f t="shared" si="51"/>
        <v>0</v>
      </c>
      <c r="AI129" s="115">
        <f t="shared" si="51"/>
        <v>0</v>
      </c>
      <c r="AJ129" s="115">
        <f t="shared" si="51"/>
        <v>0</v>
      </c>
      <c r="AK129" s="115">
        <f t="shared" si="51"/>
        <v>0</v>
      </c>
      <c r="AL129" s="115">
        <f t="shared" si="51"/>
        <v>0</v>
      </c>
      <c r="AM129" s="115">
        <f t="shared" si="51"/>
        <v>0</v>
      </c>
      <c r="AN129" s="115">
        <f t="shared" si="51"/>
        <v>0</v>
      </c>
      <c r="AO129" s="115">
        <f t="shared" si="51"/>
        <v>0</v>
      </c>
      <c r="AP129" s="115">
        <f t="shared" si="51"/>
        <v>0</v>
      </c>
    </row>
    <row r="130" spans="1:42" x14ac:dyDescent="0.2">
      <c r="A130" s="84" t="s">
        <v>66</v>
      </c>
    </row>
    <row r="131" spans="1:42" x14ac:dyDescent="0.2">
      <c r="A131" s="85" t="s">
        <v>5</v>
      </c>
      <c r="B131" s="115">
        <f>B243</f>
        <v>0</v>
      </c>
      <c r="C131" s="115">
        <f>C243</f>
        <v>0</v>
      </c>
      <c r="D131" s="115">
        <f t="shared" ref="D131:AP131" si="52">D243</f>
        <v>0</v>
      </c>
      <c r="E131" s="115">
        <f t="shared" si="52"/>
        <v>0</v>
      </c>
      <c r="F131" s="115">
        <f t="shared" si="52"/>
        <v>0</v>
      </c>
      <c r="G131" s="115">
        <f t="shared" si="52"/>
        <v>0</v>
      </c>
      <c r="H131" s="115">
        <f t="shared" si="52"/>
        <v>0</v>
      </c>
      <c r="I131" s="115">
        <f t="shared" si="52"/>
        <v>0</v>
      </c>
      <c r="J131" s="115">
        <f t="shared" si="52"/>
        <v>0</v>
      </c>
      <c r="K131" s="115">
        <f t="shared" si="52"/>
        <v>0</v>
      </c>
      <c r="L131" s="115">
        <f t="shared" si="52"/>
        <v>0</v>
      </c>
      <c r="M131" s="115">
        <f t="shared" si="52"/>
        <v>0</v>
      </c>
      <c r="N131" s="115">
        <f t="shared" si="52"/>
        <v>0</v>
      </c>
      <c r="O131" s="115">
        <f t="shared" si="52"/>
        <v>0</v>
      </c>
      <c r="P131" s="115">
        <f t="shared" si="52"/>
        <v>0</v>
      </c>
      <c r="Q131" s="115">
        <f t="shared" si="52"/>
        <v>0</v>
      </c>
      <c r="R131" s="115">
        <f t="shared" si="52"/>
        <v>0</v>
      </c>
      <c r="S131" s="115">
        <f t="shared" si="52"/>
        <v>0</v>
      </c>
      <c r="T131" s="115">
        <f t="shared" si="52"/>
        <v>0</v>
      </c>
      <c r="U131" s="115">
        <f t="shared" si="52"/>
        <v>0</v>
      </c>
      <c r="V131" s="115">
        <f t="shared" si="52"/>
        <v>0</v>
      </c>
      <c r="W131" s="115">
        <f t="shared" si="52"/>
        <v>0</v>
      </c>
      <c r="X131" s="115">
        <f t="shared" si="52"/>
        <v>0</v>
      </c>
      <c r="Y131" s="115">
        <f t="shared" si="52"/>
        <v>0</v>
      </c>
      <c r="Z131" s="115">
        <f t="shared" si="52"/>
        <v>0</v>
      </c>
      <c r="AA131" s="115">
        <f t="shared" si="52"/>
        <v>0</v>
      </c>
      <c r="AB131" s="115">
        <f t="shared" si="52"/>
        <v>0</v>
      </c>
      <c r="AC131" s="115">
        <f t="shared" si="52"/>
        <v>0</v>
      </c>
      <c r="AD131" s="115">
        <f t="shared" si="52"/>
        <v>0</v>
      </c>
      <c r="AE131" s="115">
        <f t="shared" si="52"/>
        <v>0</v>
      </c>
      <c r="AF131" s="115">
        <f t="shared" si="52"/>
        <v>0</v>
      </c>
      <c r="AG131" s="115">
        <f t="shared" si="52"/>
        <v>0</v>
      </c>
      <c r="AH131" s="115">
        <f t="shared" si="52"/>
        <v>0</v>
      </c>
      <c r="AI131" s="115">
        <f t="shared" si="52"/>
        <v>0</v>
      </c>
      <c r="AJ131" s="115">
        <f t="shared" si="52"/>
        <v>0</v>
      </c>
      <c r="AK131" s="115">
        <f t="shared" si="52"/>
        <v>0</v>
      </c>
      <c r="AL131" s="115">
        <f t="shared" si="52"/>
        <v>0</v>
      </c>
      <c r="AM131" s="115">
        <f t="shared" si="52"/>
        <v>0</v>
      </c>
      <c r="AN131" s="115">
        <f t="shared" si="52"/>
        <v>0</v>
      </c>
      <c r="AO131" s="115">
        <f t="shared" si="52"/>
        <v>0</v>
      </c>
      <c r="AP131" s="115">
        <f t="shared" si="52"/>
        <v>0</v>
      </c>
    </row>
    <row r="132" spans="1:42" x14ac:dyDescent="0.2">
      <c r="A132" s="85" t="s">
        <v>4</v>
      </c>
      <c r="B132" s="115">
        <f>B283</f>
        <v>0</v>
      </c>
      <c r="C132" s="115">
        <f>C283</f>
        <v>0</v>
      </c>
      <c r="D132" s="115">
        <f t="shared" ref="D132:AP132" si="53">D283</f>
        <v>0</v>
      </c>
      <c r="E132" s="115">
        <f t="shared" si="53"/>
        <v>0</v>
      </c>
      <c r="F132" s="115">
        <f t="shared" si="53"/>
        <v>0</v>
      </c>
      <c r="G132" s="115">
        <f t="shared" si="53"/>
        <v>0</v>
      </c>
      <c r="H132" s="115">
        <f t="shared" si="53"/>
        <v>0</v>
      </c>
      <c r="I132" s="115">
        <f t="shared" si="53"/>
        <v>0</v>
      </c>
      <c r="J132" s="115">
        <f t="shared" si="53"/>
        <v>0</v>
      </c>
      <c r="K132" s="115">
        <f t="shared" si="53"/>
        <v>0</v>
      </c>
      <c r="L132" s="115">
        <f t="shared" si="53"/>
        <v>0</v>
      </c>
      <c r="M132" s="115">
        <f t="shared" si="53"/>
        <v>0</v>
      </c>
      <c r="N132" s="115">
        <f t="shared" si="53"/>
        <v>0</v>
      </c>
      <c r="O132" s="115">
        <f t="shared" si="53"/>
        <v>0</v>
      </c>
      <c r="P132" s="115">
        <f t="shared" si="53"/>
        <v>0</v>
      </c>
      <c r="Q132" s="115">
        <f t="shared" si="53"/>
        <v>0</v>
      </c>
      <c r="R132" s="115">
        <f t="shared" si="53"/>
        <v>0</v>
      </c>
      <c r="S132" s="115">
        <f t="shared" si="53"/>
        <v>0</v>
      </c>
      <c r="T132" s="115">
        <f t="shared" si="53"/>
        <v>0</v>
      </c>
      <c r="U132" s="115">
        <f t="shared" si="53"/>
        <v>0</v>
      </c>
      <c r="V132" s="115">
        <f t="shared" si="53"/>
        <v>0</v>
      </c>
      <c r="W132" s="115">
        <f t="shared" si="53"/>
        <v>0</v>
      </c>
      <c r="X132" s="115">
        <f t="shared" si="53"/>
        <v>0</v>
      </c>
      <c r="Y132" s="115">
        <f t="shared" si="53"/>
        <v>0</v>
      </c>
      <c r="Z132" s="115">
        <f t="shared" si="53"/>
        <v>0</v>
      </c>
      <c r="AA132" s="115">
        <f t="shared" si="53"/>
        <v>0</v>
      </c>
      <c r="AB132" s="115">
        <f t="shared" si="53"/>
        <v>0</v>
      </c>
      <c r="AC132" s="115">
        <f t="shared" si="53"/>
        <v>0</v>
      </c>
      <c r="AD132" s="115">
        <f t="shared" si="53"/>
        <v>0</v>
      </c>
      <c r="AE132" s="115">
        <f t="shared" si="53"/>
        <v>0</v>
      </c>
      <c r="AF132" s="115">
        <f t="shared" si="53"/>
        <v>0</v>
      </c>
      <c r="AG132" s="115">
        <f t="shared" si="53"/>
        <v>0</v>
      </c>
      <c r="AH132" s="115">
        <f t="shared" si="53"/>
        <v>0</v>
      </c>
      <c r="AI132" s="115">
        <f t="shared" si="53"/>
        <v>0</v>
      </c>
      <c r="AJ132" s="115">
        <f t="shared" si="53"/>
        <v>0</v>
      </c>
      <c r="AK132" s="115">
        <f t="shared" si="53"/>
        <v>0</v>
      </c>
      <c r="AL132" s="115">
        <f t="shared" si="53"/>
        <v>0</v>
      </c>
      <c r="AM132" s="115">
        <f t="shared" si="53"/>
        <v>0</v>
      </c>
      <c r="AN132" s="115">
        <f t="shared" si="53"/>
        <v>0</v>
      </c>
      <c r="AO132" s="115">
        <f t="shared" si="53"/>
        <v>0</v>
      </c>
      <c r="AP132" s="115">
        <f t="shared" si="53"/>
        <v>0</v>
      </c>
    </row>
    <row r="133" spans="1:42" x14ac:dyDescent="0.2">
      <c r="A133" s="85" t="s">
        <v>13</v>
      </c>
      <c r="B133" s="115">
        <f>SUM(B131:B132)</f>
        <v>0</v>
      </c>
      <c r="C133" s="115">
        <f>SUM(C131:C132)</f>
        <v>0</v>
      </c>
      <c r="D133" s="115">
        <f>SUM(D131:D132)</f>
        <v>0</v>
      </c>
      <c r="E133" s="115">
        <f t="shared" ref="E133:AP133" si="54">SUM(E131:E132)</f>
        <v>0</v>
      </c>
      <c r="F133" s="115">
        <f t="shared" si="54"/>
        <v>0</v>
      </c>
      <c r="G133" s="115">
        <f t="shared" si="54"/>
        <v>0</v>
      </c>
      <c r="H133" s="115">
        <f t="shared" si="54"/>
        <v>0</v>
      </c>
      <c r="I133" s="115">
        <f t="shared" si="54"/>
        <v>0</v>
      </c>
      <c r="J133" s="115">
        <f t="shared" si="54"/>
        <v>0</v>
      </c>
      <c r="K133" s="115">
        <f t="shared" si="54"/>
        <v>0</v>
      </c>
      <c r="L133" s="115">
        <f t="shared" si="54"/>
        <v>0</v>
      </c>
      <c r="M133" s="115">
        <f t="shared" si="54"/>
        <v>0</v>
      </c>
      <c r="N133" s="115">
        <f t="shared" si="54"/>
        <v>0</v>
      </c>
      <c r="O133" s="115">
        <f t="shared" si="54"/>
        <v>0</v>
      </c>
      <c r="P133" s="115">
        <f t="shared" si="54"/>
        <v>0</v>
      </c>
      <c r="Q133" s="115">
        <f t="shared" si="54"/>
        <v>0</v>
      </c>
      <c r="R133" s="115">
        <f t="shared" si="54"/>
        <v>0</v>
      </c>
      <c r="S133" s="115">
        <f t="shared" si="54"/>
        <v>0</v>
      </c>
      <c r="T133" s="115">
        <f t="shared" si="54"/>
        <v>0</v>
      </c>
      <c r="U133" s="115">
        <f t="shared" si="54"/>
        <v>0</v>
      </c>
      <c r="V133" s="115">
        <f t="shared" si="54"/>
        <v>0</v>
      </c>
      <c r="W133" s="115">
        <f t="shared" si="54"/>
        <v>0</v>
      </c>
      <c r="X133" s="115">
        <f t="shared" si="54"/>
        <v>0</v>
      </c>
      <c r="Y133" s="115">
        <f t="shared" si="54"/>
        <v>0</v>
      </c>
      <c r="Z133" s="115">
        <f t="shared" si="54"/>
        <v>0</v>
      </c>
      <c r="AA133" s="115">
        <f t="shared" si="54"/>
        <v>0</v>
      </c>
      <c r="AB133" s="115">
        <f t="shared" si="54"/>
        <v>0</v>
      </c>
      <c r="AC133" s="115">
        <f t="shared" si="54"/>
        <v>0</v>
      </c>
      <c r="AD133" s="115">
        <f t="shared" si="54"/>
        <v>0</v>
      </c>
      <c r="AE133" s="115">
        <f t="shared" si="54"/>
        <v>0</v>
      </c>
      <c r="AF133" s="115">
        <f t="shared" si="54"/>
        <v>0</v>
      </c>
      <c r="AG133" s="115">
        <f t="shared" si="54"/>
        <v>0</v>
      </c>
      <c r="AH133" s="115">
        <f t="shared" si="54"/>
        <v>0</v>
      </c>
      <c r="AI133" s="115">
        <f t="shared" si="54"/>
        <v>0</v>
      </c>
      <c r="AJ133" s="115">
        <f t="shared" si="54"/>
        <v>0</v>
      </c>
      <c r="AK133" s="115">
        <f t="shared" si="54"/>
        <v>0</v>
      </c>
      <c r="AL133" s="115">
        <f t="shared" si="54"/>
        <v>0</v>
      </c>
      <c r="AM133" s="115">
        <f t="shared" si="54"/>
        <v>0</v>
      </c>
      <c r="AN133" s="115">
        <f t="shared" si="54"/>
        <v>0</v>
      </c>
      <c r="AO133" s="115">
        <f t="shared" si="54"/>
        <v>0</v>
      </c>
      <c r="AP133" s="115">
        <f t="shared" si="54"/>
        <v>0</v>
      </c>
    </row>
    <row r="134" spans="1:42" x14ac:dyDescent="0.2">
      <c r="A134" s="203" t="s">
        <v>13</v>
      </c>
      <c r="B134" s="133">
        <f t="shared" ref="B134:AP134" si="55">B119+B125+B129+B133</f>
        <v>0</v>
      </c>
      <c r="C134" s="133">
        <f t="shared" si="55"/>
        <v>0</v>
      </c>
      <c r="D134" s="133">
        <f t="shared" si="55"/>
        <v>0</v>
      </c>
      <c r="E134" s="133">
        <f t="shared" si="55"/>
        <v>0</v>
      </c>
      <c r="F134" s="133">
        <f t="shared" si="55"/>
        <v>0</v>
      </c>
      <c r="G134" s="133">
        <f t="shared" si="55"/>
        <v>0</v>
      </c>
      <c r="H134" s="133">
        <f t="shared" si="55"/>
        <v>0</v>
      </c>
      <c r="I134" s="133">
        <f t="shared" si="55"/>
        <v>0</v>
      </c>
      <c r="J134" s="133">
        <f t="shared" si="55"/>
        <v>0</v>
      </c>
      <c r="K134" s="133">
        <f t="shared" si="55"/>
        <v>0</v>
      </c>
      <c r="L134" s="133">
        <f t="shared" si="55"/>
        <v>0</v>
      </c>
      <c r="M134" s="133">
        <f t="shared" si="55"/>
        <v>0</v>
      </c>
      <c r="N134" s="133">
        <f t="shared" si="55"/>
        <v>0</v>
      </c>
      <c r="O134" s="133">
        <f t="shared" si="55"/>
        <v>0</v>
      </c>
      <c r="P134" s="133">
        <f t="shared" si="55"/>
        <v>0</v>
      </c>
      <c r="Q134" s="133">
        <f t="shared" si="55"/>
        <v>0</v>
      </c>
      <c r="R134" s="133">
        <f t="shared" si="55"/>
        <v>0</v>
      </c>
      <c r="S134" s="133">
        <f t="shared" si="55"/>
        <v>0</v>
      </c>
      <c r="T134" s="133">
        <f t="shared" si="55"/>
        <v>0</v>
      </c>
      <c r="U134" s="133">
        <f t="shared" si="55"/>
        <v>0</v>
      </c>
      <c r="V134" s="133">
        <f t="shared" si="55"/>
        <v>0</v>
      </c>
      <c r="W134" s="133">
        <f t="shared" si="55"/>
        <v>0</v>
      </c>
      <c r="X134" s="133">
        <f t="shared" si="55"/>
        <v>0</v>
      </c>
      <c r="Y134" s="133">
        <f t="shared" si="55"/>
        <v>0</v>
      </c>
      <c r="Z134" s="133">
        <f t="shared" si="55"/>
        <v>0</v>
      </c>
      <c r="AA134" s="133">
        <f t="shared" si="55"/>
        <v>0</v>
      </c>
      <c r="AB134" s="133">
        <f t="shared" si="55"/>
        <v>0</v>
      </c>
      <c r="AC134" s="133">
        <f t="shared" si="55"/>
        <v>0</v>
      </c>
      <c r="AD134" s="133">
        <f t="shared" si="55"/>
        <v>0</v>
      </c>
      <c r="AE134" s="133">
        <f t="shared" si="55"/>
        <v>0</v>
      </c>
      <c r="AF134" s="133">
        <f t="shared" si="55"/>
        <v>0</v>
      </c>
      <c r="AG134" s="133">
        <f t="shared" si="55"/>
        <v>0</v>
      </c>
      <c r="AH134" s="133">
        <f t="shared" si="55"/>
        <v>0</v>
      </c>
      <c r="AI134" s="133">
        <f t="shared" si="55"/>
        <v>0</v>
      </c>
      <c r="AJ134" s="133">
        <f t="shared" si="55"/>
        <v>0</v>
      </c>
      <c r="AK134" s="133">
        <f t="shared" si="55"/>
        <v>0</v>
      </c>
      <c r="AL134" s="133">
        <f t="shared" si="55"/>
        <v>0</v>
      </c>
      <c r="AM134" s="133">
        <f t="shared" si="55"/>
        <v>0</v>
      </c>
      <c r="AN134" s="133">
        <f t="shared" si="55"/>
        <v>0</v>
      </c>
      <c r="AO134" s="133">
        <f t="shared" si="55"/>
        <v>0</v>
      </c>
      <c r="AP134" s="133">
        <f t="shared" si="55"/>
        <v>0</v>
      </c>
    </row>
    <row r="135" spans="1:42" x14ac:dyDescent="0.2">
      <c r="A135" s="84"/>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c r="AA135" s="115"/>
      <c r="AB135" s="115"/>
      <c r="AC135" s="115"/>
      <c r="AD135" s="115"/>
      <c r="AE135" s="115"/>
      <c r="AF135" s="115"/>
      <c r="AG135" s="115"/>
      <c r="AH135" s="115"/>
      <c r="AI135" s="115"/>
      <c r="AJ135" s="115"/>
      <c r="AK135" s="115"/>
      <c r="AL135" s="115"/>
      <c r="AM135" s="115"/>
      <c r="AN135" s="115"/>
      <c r="AO135" s="115"/>
      <c r="AP135" s="115"/>
    </row>
    <row r="136" spans="1:42" x14ac:dyDescent="0.2">
      <c r="A136" s="84" t="s">
        <v>189</v>
      </c>
      <c r="B136" s="289">
        <v>0</v>
      </c>
      <c r="C136" s="289" t="str">
        <f>IF(ISERROR(IRR($B134:C134)),"NaN",ROUND(IRR($B134:C134)*100,4))</f>
        <v>NaN</v>
      </c>
      <c r="D136" s="289" t="str">
        <f>IF(ISERROR(IRR($B134:D134)),"NaN",ROUND(IRR($B134:D134)*100,4))</f>
        <v>NaN</v>
      </c>
      <c r="E136" s="289" t="str">
        <f>IF(ISERROR(IRR($B134:E134)),"NaN",ROUND(IRR($B134:E134)*100,4))</f>
        <v>NaN</v>
      </c>
      <c r="F136" s="289" t="str">
        <f>IF(ISERROR(IRR($B134:F134)),"NaN",ROUND(IRR($B134:F134)*100,4))</f>
        <v>NaN</v>
      </c>
      <c r="G136" s="289" t="str">
        <f>IF(ISERROR(IRR($B134:G134)),"NaN",ROUND(IRR($B134:G134)*100,4))</f>
        <v>NaN</v>
      </c>
      <c r="H136" s="289" t="str">
        <f>IF(ISERROR(IRR($B134:H134)),"NaN",ROUND(IRR($B134:H134)*100,4))</f>
        <v>NaN</v>
      </c>
      <c r="I136" s="289" t="str">
        <f>IF(ISERROR(IRR($B134:I134)),"NaN",ROUND(IRR($B134:I134)*100,4))</f>
        <v>NaN</v>
      </c>
      <c r="J136" s="289" t="str">
        <f>IF(ISERROR(IRR($B134:J134)),"NaN",ROUND(IRR($B134:J134)*100,4))</f>
        <v>NaN</v>
      </c>
      <c r="K136" s="289" t="str">
        <f>IF(ISERROR(IRR($B134:K134)),"NaN",ROUND(IRR($B134:K134)*100,4))</f>
        <v>NaN</v>
      </c>
      <c r="L136" s="289" t="str">
        <f>IF(ISERROR(IRR($B134:L134)),"NaN",ROUND(IRR($B134:L134)*100,4))</f>
        <v>NaN</v>
      </c>
      <c r="M136" s="289" t="str">
        <f>IF(ISERROR(IRR($B134:M134)),"NaN",ROUND(IRR($B134:M134)*100,4))</f>
        <v>NaN</v>
      </c>
      <c r="N136" s="289" t="str">
        <f>IF(ISERROR(IRR($B134:N134)),"NaN",ROUND(IRR($B134:N134)*100,4))</f>
        <v>NaN</v>
      </c>
      <c r="O136" s="289" t="str">
        <f>IF(ISERROR(IRR($B134:O134)),"NaN",ROUND(IRR($B134:O134)*100,4))</f>
        <v>NaN</v>
      </c>
      <c r="P136" s="289" t="str">
        <f>IF(ISERROR(IRR($B134:P134)),"NaN",ROUND(IRR($B134:P134)*100,4))</f>
        <v>NaN</v>
      </c>
      <c r="Q136" s="289" t="str">
        <f>IF(ISERROR(IRR($B134:Q134)),"NaN",ROUND(IRR($B134:Q134)*100,4))</f>
        <v>NaN</v>
      </c>
      <c r="R136" s="289" t="str">
        <f>IF(ISERROR(IRR($B134:R134)),"NaN",ROUND(IRR($B134:R134)*100,4))</f>
        <v>NaN</v>
      </c>
      <c r="S136" s="289" t="str">
        <f>IF(ISERROR(IRR($B134:S134)),"NaN",ROUND(IRR($B134:S134)*100,4))</f>
        <v>NaN</v>
      </c>
      <c r="T136" s="289" t="str">
        <f>IF(ISERROR(IRR($B134:T134)),"NaN",ROUND(IRR($B134:T134)*100,4))</f>
        <v>NaN</v>
      </c>
      <c r="U136" s="289" t="str">
        <f>IF(ISERROR(IRR($B134:U134)),"NaN",ROUND(IRR($B134:U134)*100,4))</f>
        <v>NaN</v>
      </c>
      <c r="V136" s="289" t="str">
        <f>IF(ISERROR(IRR($B134:V134)),"NaN",ROUND(IRR($B134:V134)*100,4))</f>
        <v>NaN</v>
      </c>
      <c r="W136" s="289" t="str">
        <f>IF(ISERROR(IRR($B134:W134)),"NaN",ROUND(IRR($B134:W134)*100,4))</f>
        <v>NaN</v>
      </c>
      <c r="X136" s="289" t="str">
        <f>IF(ISERROR(IRR($B134:X134)),"NaN",ROUND(IRR($B134:X134)*100,4))</f>
        <v>NaN</v>
      </c>
      <c r="Y136" s="289" t="str">
        <f>IF(ISERROR(IRR($B134:Y134)),"NaN",ROUND(IRR($B134:Y134)*100,4))</f>
        <v>NaN</v>
      </c>
      <c r="Z136" s="289" t="str">
        <f>IF(ISERROR(IRR($B134:Z134)),"NaN",ROUND(IRR($B134:Z134)*100,4))</f>
        <v>NaN</v>
      </c>
      <c r="AA136" s="289" t="str">
        <f>IF(ISERROR(IRR($B134:AA134)),"NaN",ROUND(IRR($B134:AA134)*100,4))</f>
        <v>NaN</v>
      </c>
      <c r="AB136" s="289" t="str">
        <f>IF(ISERROR(IRR($B134:AB134)),"NaN",ROUND(IRR($B134:AB134)*100,4))</f>
        <v>NaN</v>
      </c>
      <c r="AC136" s="289" t="str">
        <f>IF(ISERROR(IRR($B134:AC134)),"NaN",ROUND(IRR($B134:AC134)*100,4))</f>
        <v>NaN</v>
      </c>
      <c r="AD136" s="289" t="str">
        <f>IF(ISERROR(IRR($B134:AD134)),"NaN",ROUND(IRR($B134:AD134)*100,4))</f>
        <v>NaN</v>
      </c>
      <c r="AE136" s="289" t="str">
        <f>IF(ISERROR(IRR($B134:AE134)),"NaN",ROUND(IRR($B134:AE134)*100,4))</f>
        <v>NaN</v>
      </c>
      <c r="AF136" s="289" t="str">
        <f>IF(ISERROR(IRR($B134:AF134)),"NaN",ROUND(IRR($B134:AF134)*100,4))</f>
        <v>NaN</v>
      </c>
      <c r="AG136" s="289" t="str">
        <f>IF(ISERROR(IRR($B134:AG134)),"NaN",ROUND(IRR($B134:AG134)*100,4))</f>
        <v>NaN</v>
      </c>
      <c r="AH136" s="289" t="str">
        <f>IF(ISERROR(IRR($B134:AH134)),"NaN",ROUND(IRR($B134:AH134)*100,4))</f>
        <v>NaN</v>
      </c>
      <c r="AI136" s="289" t="str">
        <f>IF(ISERROR(IRR($B134:AI134)),"NaN",ROUND(IRR($B134:AI134)*100,4))</f>
        <v>NaN</v>
      </c>
      <c r="AJ136" s="289" t="str">
        <f>IF(ISERROR(IRR($B134:AJ134)),"NaN",ROUND(IRR($B134:AJ134)*100,4))</f>
        <v>NaN</v>
      </c>
      <c r="AK136" s="289" t="str">
        <f>IF(ISERROR(IRR($B134:AK134)),"NaN",ROUND(IRR($B134:AK134)*100,4))</f>
        <v>NaN</v>
      </c>
      <c r="AL136" s="289" t="str">
        <f>IF(ISERROR(IRR($B134:AL134)),"NaN",ROUND(IRR($B134:AL134)*100,4))</f>
        <v>NaN</v>
      </c>
      <c r="AM136" s="289" t="str">
        <f>IF(ISERROR(IRR($B134:AM134)),"NaN",ROUND(IRR($B134:AM134)*100,4))</f>
        <v>NaN</v>
      </c>
      <c r="AN136" s="289" t="str">
        <f>IF(ISERROR(IRR($B134:AN134)),"NaN",ROUND(IRR($B134:AN134)*100,4))</f>
        <v>NaN</v>
      </c>
      <c r="AO136" s="289" t="str">
        <f>IF(ISERROR(IRR($B134:AO134)),"NaN",ROUND(IRR($B134:AO134)*100,4))</f>
        <v>NaN</v>
      </c>
      <c r="AP136" s="289" t="str">
        <f>IF(ISERROR(IRR($B134:AP134)),"NaN",ROUND(IRR($B134:AP134)*100,4))</f>
        <v>NaN</v>
      </c>
    </row>
    <row r="137" spans="1:42" x14ac:dyDescent="0.2">
      <c r="A137" s="21" t="s">
        <v>8</v>
      </c>
      <c r="B137" s="289">
        <v>0</v>
      </c>
      <c r="C137" s="289">
        <f>MAX($B$136:C136)</f>
        <v>0</v>
      </c>
      <c r="D137" s="289">
        <f>MAX($B$136:D136)</f>
        <v>0</v>
      </c>
      <c r="E137" s="289">
        <f>MAX($B$136:E136)</f>
        <v>0</v>
      </c>
      <c r="F137" s="289">
        <f>MAX($B$136:F136)</f>
        <v>0</v>
      </c>
      <c r="G137" s="289">
        <f>MAX($B$136:G136)</f>
        <v>0</v>
      </c>
      <c r="H137" s="289">
        <f>MAX($B$136:H136)</f>
        <v>0</v>
      </c>
      <c r="I137" s="289">
        <f>MAX($B$136:I136)</f>
        <v>0</v>
      </c>
      <c r="J137" s="289">
        <f>MAX($B$136:J136)</f>
        <v>0</v>
      </c>
      <c r="K137" s="289">
        <f>MAX($B$136:K136)</f>
        <v>0</v>
      </c>
      <c r="L137" s="289">
        <f>MAX($B$136:L136)</f>
        <v>0</v>
      </c>
      <c r="M137" s="289">
        <f>MAX($B$136:M136)</f>
        <v>0</v>
      </c>
      <c r="N137" s="289">
        <f>MAX($B$136:N136)</f>
        <v>0</v>
      </c>
      <c r="O137" s="289">
        <f>MAX($B$136:O136)</f>
        <v>0</v>
      </c>
      <c r="P137" s="289">
        <f>MAX($B$136:P136)</f>
        <v>0</v>
      </c>
      <c r="Q137" s="289">
        <f>MAX($B$136:Q136)</f>
        <v>0</v>
      </c>
      <c r="R137" s="289">
        <f>MAX($B$136:R136)</f>
        <v>0</v>
      </c>
      <c r="S137" s="289">
        <f>MAX($B$136:S136)</f>
        <v>0</v>
      </c>
      <c r="T137" s="289">
        <f>MAX($B$136:T136)</f>
        <v>0</v>
      </c>
      <c r="U137" s="289">
        <f>MAX($B$136:U136)</f>
        <v>0</v>
      </c>
      <c r="V137" s="289">
        <f>MAX($B$136:V136)</f>
        <v>0</v>
      </c>
      <c r="W137" s="289">
        <f>MAX($B$136:W136)</f>
        <v>0</v>
      </c>
      <c r="X137" s="289">
        <f>MAX($B$136:X136)</f>
        <v>0</v>
      </c>
      <c r="Y137" s="289">
        <f>MAX($B$136:Y136)</f>
        <v>0</v>
      </c>
      <c r="Z137" s="289">
        <f>MAX($B$136:Z136)</f>
        <v>0</v>
      </c>
      <c r="AA137" s="289">
        <f>MAX($B$136:AA136)</f>
        <v>0</v>
      </c>
      <c r="AB137" s="289">
        <f>MAX($B$136:AB136)</f>
        <v>0</v>
      </c>
      <c r="AC137" s="289">
        <f>MAX($B$136:AC136)</f>
        <v>0</v>
      </c>
      <c r="AD137" s="289">
        <f>MAX($B$136:AD136)</f>
        <v>0</v>
      </c>
      <c r="AE137" s="289">
        <f>MAX($B$136:AE136)</f>
        <v>0</v>
      </c>
      <c r="AF137" s="289">
        <f>MAX($B$136:AF136)</f>
        <v>0</v>
      </c>
      <c r="AG137" s="289">
        <f>MAX($B$136:AG136)</f>
        <v>0</v>
      </c>
      <c r="AH137" s="289">
        <f>MAX($B$136:AH136)</f>
        <v>0</v>
      </c>
      <c r="AI137" s="289">
        <f>MAX($B$136:AI136)</f>
        <v>0</v>
      </c>
      <c r="AJ137" s="289">
        <f>MAX($B$136:AJ136)</f>
        <v>0</v>
      </c>
      <c r="AK137" s="289">
        <f>MAX($B$136:AK136)</f>
        <v>0</v>
      </c>
      <c r="AL137" s="289">
        <f>MAX($B$136:AL136)</f>
        <v>0</v>
      </c>
      <c r="AM137" s="289">
        <f>MAX($B$136:AM136)</f>
        <v>0</v>
      </c>
      <c r="AN137" s="289">
        <f>MAX($B$136:AN136)</f>
        <v>0</v>
      </c>
      <c r="AO137" s="289">
        <f>MAX($B$136:AO136)</f>
        <v>0</v>
      </c>
      <c r="AP137" s="289">
        <f>MAX($B$136:AP136)</f>
        <v>0</v>
      </c>
    </row>
    <row r="138" spans="1:42" x14ac:dyDescent="0.2">
      <c r="A138" s="84"/>
      <c r="B138" s="146"/>
      <c r="C138" s="146"/>
      <c r="D138" s="146"/>
      <c r="E138" s="146"/>
      <c r="F138" s="146"/>
      <c r="G138" s="146"/>
      <c r="H138" s="146"/>
      <c r="I138" s="146"/>
      <c r="J138" s="146"/>
      <c r="K138" s="146"/>
      <c r="L138" s="146"/>
      <c r="M138" s="146"/>
      <c r="N138" s="146"/>
      <c r="O138" s="146"/>
      <c r="P138" s="146"/>
      <c r="Q138" s="146"/>
      <c r="R138" s="146"/>
      <c r="S138" s="146"/>
      <c r="T138" s="146"/>
      <c r="U138" s="146"/>
      <c r="V138" s="146"/>
      <c r="W138" s="146"/>
      <c r="X138" s="146"/>
      <c r="Y138" s="146"/>
      <c r="Z138" s="146"/>
      <c r="AA138" s="146"/>
      <c r="AB138" s="146"/>
      <c r="AC138" s="146"/>
      <c r="AD138" s="146"/>
      <c r="AE138" s="146"/>
      <c r="AF138" s="146"/>
      <c r="AG138" s="146"/>
      <c r="AH138" s="146"/>
      <c r="AI138" s="146"/>
      <c r="AJ138" s="146"/>
      <c r="AK138" s="146"/>
      <c r="AL138" s="146"/>
      <c r="AM138" s="146"/>
      <c r="AN138" s="146"/>
      <c r="AO138" s="146"/>
      <c r="AP138" s="146"/>
    </row>
    <row r="139" spans="1:42" x14ac:dyDescent="0.2">
      <c r="A139" s="84" t="s">
        <v>191</v>
      </c>
      <c r="B139" s="174">
        <f>B134+NPV(NominalDiscountRate/100,C134:AP134)</f>
        <v>0</v>
      </c>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c r="AA139" s="146"/>
      <c r="AB139" s="146"/>
      <c r="AC139" s="146"/>
      <c r="AD139" s="146"/>
      <c r="AE139" s="146"/>
      <c r="AF139" s="146"/>
      <c r="AG139" s="146"/>
      <c r="AH139" s="146"/>
      <c r="AI139" s="146"/>
      <c r="AJ139" s="146"/>
      <c r="AK139" s="146"/>
      <c r="AL139" s="146"/>
      <c r="AM139" s="146"/>
      <c r="AN139" s="146"/>
      <c r="AO139" s="146"/>
      <c r="AP139" s="146"/>
    </row>
    <row r="141" spans="1:42" x14ac:dyDescent="0.2">
      <c r="A141" s="80" t="s">
        <v>421</v>
      </c>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row>
    <row r="142" spans="1:42" x14ac:dyDescent="0.2">
      <c r="A142" s="17" t="s">
        <v>187</v>
      </c>
      <c r="B142" s="119">
        <f>B117</f>
        <v>0</v>
      </c>
      <c r="C142" s="115">
        <f t="shared" ref="C142:AP142" si="56">C638+C243+C283-C63-C643-C644+C125+C129-C676-C670-C671-C682-C688-C720-C752+C784-C677+C28</f>
        <v>0</v>
      </c>
      <c r="D142" s="115">
        <f t="shared" si="56"/>
        <v>0</v>
      </c>
      <c r="E142" s="115">
        <f t="shared" si="56"/>
        <v>0</v>
      </c>
      <c r="F142" s="115">
        <f t="shared" si="56"/>
        <v>0</v>
      </c>
      <c r="G142" s="115">
        <f t="shared" si="56"/>
        <v>0</v>
      </c>
      <c r="H142" s="115">
        <f t="shared" si="56"/>
        <v>0</v>
      </c>
      <c r="I142" s="115">
        <f t="shared" si="56"/>
        <v>0</v>
      </c>
      <c r="J142" s="115">
        <f t="shared" si="56"/>
        <v>0</v>
      </c>
      <c r="K142" s="115">
        <f t="shared" si="56"/>
        <v>0</v>
      </c>
      <c r="L142" s="115">
        <f t="shared" si="56"/>
        <v>0</v>
      </c>
      <c r="M142" s="115">
        <f t="shared" si="56"/>
        <v>0</v>
      </c>
      <c r="N142" s="115">
        <f t="shared" si="56"/>
        <v>0</v>
      </c>
      <c r="O142" s="115">
        <f t="shared" si="56"/>
        <v>0</v>
      </c>
      <c r="P142" s="115">
        <f t="shared" si="56"/>
        <v>0</v>
      </c>
      <c r="Q142" s="115">
        <f t="shared" si="56"/>
        <v>0</v>
      </c>
      <c r="R142" s="115">
        <f t="shared" si="56"/>
        <v>0</v>
      </c>
      <c r="S142" s="115">
        <f t="shared" si="56"/>
        <v>0</v>
      </c>
      <c r="T142" s="115">
        <f t="shared" si="56"/>
        <v>0</v>
      </c>
      <c r="U142" s="115">
        <f t="shared" si="56"/>
        <v>0</v>
      </c>
      <c r="V142" s="115">
        <f t="shared" si="56"/>
        <v>0</v>
      </c>
      <c r="W142" s="115">
        <f t="shared" si="56"/>
        <v>0</v>
      </c>
      <c r="X142" s="115">
        <f t="shared" si="56"/>
        <v>0</v>
      </c>
      <c r="Y142" s="115">
        <f t="shared" si="56"/>
        <v>0</v>
      </c>
      <c r="Z142" s="115">
        <f t="shared" si="56"/>
        <v>0</v>
      </c>
      <c r="AA142" s="115">
        <f t="shared" si="56"/>
        <v>0</v>
      </c>
      <c r="AB142" s="115">
        <f t="shared" si="56"/>
        <v>0</v>
      </c>
      <c r="AC142" s="115">
        <f t="shared" si="56"/>
        <v>0</v>
      </c>
      <c r="AD142" s="115">
        <f t="shared" si="56"/>
        <v>0</v>
      </c>
      <c r="AE142" s="115">
        <f t="shared" si="56"/>
        <v>0</v>
      </c>
      <c r="AF142" s="115">
        <f t="shared" si="56"/>
        <v>0</v>
      </c>
      <c r="AG142" s="115">
        <f t="shared" si="56"/>
        <v>0</v>
      </c>
      <c r="AH142" s="115">
        <f t="shared" si="56"/>
        <v>0</v>
      </c>
      <c r="AI142" s="115">
        <f t="shared" si="56"/>
        <v>0</v>
      </c>
      <c r="AJ142" s="115">
        <f t="shared" si="56"/>
        <v>0</v>
      </c>
      <c r="AK142" s="115">
        <f t="shared" si="56"/>
        <v>0</v>
      </c>
      <c r="AL142" s="115">
        <f t="shared" si="56"/>
        <v>0</v>
      </c>
      <c r="AM142" s="115">
        <f t="shared" si="56"/>
        <v>0</v>
      </c>
      <c r="AN142" s="115">
        <f t="shared" si="56"/>
        <v>0</v>
      </c>
      <c r="AO142" s="115">
        <f t="shared" si="56"/>
        <v>0</v>
      </c>
      <c r="AP142" s="115">
        <f t="shared" si="56"/>
        <v>0</v>
      </c>
    </row>
    <row r="143" spans="1:42" x14ac:dyDescent="0.2">
      <c r="A143" s="17" t="s">
        <v>192</v>
      </c>
      <c r="B143" s="119">
        <v>0</v>
      </c>
      <c r="C143" s="115">
        <f>C$17</f>
        <v>0</v>
      </c>
      <c r="D143" s="115">
        <f t="shared" ref="D143:AP143" si="57">D$17</f>
        <v>0</v>
      </c>
      <c r="E143" s="115">
        <f t="shared" si="57"/>
        <v>0</v>
      </c>
      <c r="F143" s="115">
        <f t="shared" si="57"/>
        <v>0</v>
      </c>
      <c r="G143" s="115">
        <f t="shared" si="57"/>
        <v>0</v>
      </c>
      <c r="H143" s="115">
        <f t="shared" si="57"/>
        <v>0</v>
      </c>
      <c r="I143" s="115">
        <f t="shared" si="57"/>
        <v>0</v>
      </c>
      <c r="J143" s="115">
        <f t="shared" si="57"/>
        <v>0</v>
      </c>
      <c r="K143" s="115">
        <f t="shared" si="57"/>
        <v>0</v>
      </c>
      <c r="L143" s="115">
        <f t="shared" si="57"/>
        <v>0</v>
      </c>
      <c r="M143" s="115">
        <f t="shared" si="57"/>
        <v>0</v>
      </c>
      <c r="N143" s="115">
        <f t="shared" si="57"/>
        <v>0</v>
      </c>
      <c r="O143" s="115">
        <f t="shared" si="57"/>
        <v>0</v>
      </c>
      <c r="P143" s="115">
        <f t="shared" si="57"/>
        <v>0</v>
      </c>
      <c r="Q143" s="115">
        <f t="shared" si="57"/>
        <v>0</v>
      </c>
      <c r="R143" s="115">
        <f t="shared" si="57"/>
        <v>0</v>
      </c>
      <c r="S143" s="115">
        <f t="shared" si="57"/>
        <v>0</v>
      </c>
      <c r="T143" s="115">
        <f t="shared" si="57"/>
        <v>0</v>
      </c>
      <c r="U143" s="115">
        <f t="shared" si="57"/>
        <v>0</v>
      </c>
      <c r="V143" s="115">
        <f t="shared" si="57"/>
        <v>0</v>
      </c>
      <c r="W143" s="115">
        <f t="shared" si="57"/>
        <v>0</v>
      </c>
      <c r="X143" s="115">
        <f t="shared" si="57"/>
        <v>0</v>
      </c>
      <c r="Y143" s="115">
        <f t="shared" si="57"/>
        <v>0</v>
      </c>
      <c r="Z143" s="115">
        <f t="shared" si="57"/>
        <v>0</v>
      </c>
      <c r="AA143" s="115">
        <f t="shared" si="57"/>
        <v>0</v>
      </c>
      <c r="AB143" s="115">
        <f t="shared" si="57"/>
        <v>0</v>
      </c>
      <c r="AC143" s="115">
        <f t="shared" si="57"/>
        <v>0</v>
      </c>
      <c r="AD143" s="115">
        <f t="shared" si="57"/>
        <v>0</v>
      </c>
      <c r="AE143" s="115">
        <f t="shared" si="57"/>
        <v>0</v>
      </c>
      <c r="AF143" s="115">
        <f t="shared" si="57"/>
        <v>0</v>
      </c>
      <c r="AG143" s="115">
        <f t="shared" si="57"/>
        <v>0</v>
      </c>
      <c r="AH143" s="115">
        <f t="shared" si="57"/>
        <v>0</v>
      </c>
      <c r="AI143" s="115">
        <f t="shared" si="57"/>
        <v>0</v>
      </c>
      <c r="AJ143" s="115">
        <f t="shared" si="57"/>
        <v>0</v>
      </c>
      <c r="AK143" s="115">
        <f t="shared" si="57"/>
        <v>0</v>
      </c>
      <c r="AL143" s="115">
        <f t="shared" si="57"/>
        <v>0</v>
      </c>
      <c r="AM143" s="115">
        <f t="shared" si="57"/>
        <v>0</v>
      </c>
      <c r="AN143" s="115">
        <f t="shared" si="57"/>
        <v>0</v>
      </c>
      <c r="AO143" s="115">
        <f t="shared" si="57"/>
        <v>0</v>
      </c>
      <c r="AP143" s="115">
        <f t="shared" si="57"/>
        <v>0</v>
      </c>
    </row>
    <row r="144" spans="1:42" x14ac:dyDescent="0.2">
      <c r="A144" s="17" t="s">
        <v>422</v>
      </c>
      <c r="B144" s="119">
        <v>0</v>
      </c>
      <c r="C144" s="115">
        <f>C$5</f>
        <v>0</v>
      </c>
      <c r="D144" s="115">
        <f t="shared" ref="D144:AP144" si="58">D$5</f>
        <v>0</v>
      </c>
      <c r="E144" s="115">
        <f t="shared" si="58"/>
        <v>0</v>
      </c>
      <c r="F144" s="115">
        <f t="shared" si="58"/>
        <v>0</v>
      </c>
      <c r="G144" s="115">
        <f t="shared" si="58"/>
        <v>0</v>
      </c>
      <c r="H144" s="115">
        <f t="shared" si="58"/>
        <v>0</v>
      </c>
      <c r="I144" s="115">
        <f t="shared" si="58"/>
        <v>0</v>
      </c>
      <c r="J144" s="115">
        <f t="shared" si="58"/>
        <v>0</v>
      </c>
      <c r="K144" s="115">
        <f t="shared" si="58"/>
        <v>0</v>
      </c>
      <c r="L144" s="115">
        <f t="shared" si="58"/>
        <v>0</v>
      </c>
      <c r="M144" s="115">
        <f t="shared" si="58"/>
        <v>0</v>
      </c>
      <c r="N144" s="115">
        <f t="shared" si="58"/>
        <v>0</v>
      </c>
      <c r="O144" s="115">
        <f t="shared" si="58"/>
        <v>0</v>
      </c>
      <c r="P144" s="115">
        <f t="shared" si="58"/>
        <v>0</v>
      </c>
      <c r="Q144" s="115">
        <f t="shared" si="58"/>
        <v>0</v>
      </c>
      <c r="R144" s="115">
        <f t="shared" si="58"/>
        <v>0</v>
      </c>
      <c r="S144" s="115">
        <f t="shared" si="58"/>
        <v>0</v>
      </c>
      <c r="T144" s="115">
        <f t="shared" si="58"/>
        <v>0</v>
      </c>
      <c r="U144" s="115">
        <f t="shared" si="58"/>
        <v>0</v>
      </c>
      <c r="V144" s="115">
        <f t="shared" si="58"/>
        <v>0</v>
      </c>
      <c r="W144" s="115">
        <f t="shared" si="58"/>
        <v>0</v>
      </c>
      <c r="X144" s="115">
        <f t="shared" si="58"/>
        <v>0</v>
      </c>
      <c r="Y144" s="115">
        <f t="shared" si="58"/>
        <v>0</v>
      </c>
      <c r="Z144" s="115">
        <f t="shared" si="58"/>
        <v>0</v>
      </c>
      <c r="AA144" s="115">
        <f t="shared" si="58"/>
        <v>0</v>
      </c>
      <c r="AB144" s="115">
        <f t="shared" si="58"/>
        <v>0</v>
      </c>
      <c r="AC144" s="115">
        <f t="shared" si="58"/>
        <v>0</v>
      </c>
      <c r="AD144" s="115">
        <f t="shared" si="58"/>
        <v>0</v>
      </c>
      <c r="AE144" s="115">
        <f t="shared" si="58"/>
        <v>0</v>
      </c>
      <c r="AF144" s="115">
        <f t="shared" si="58"/>
        <v>0</v>
      </c>
      <c r="AG144" s="115">
        <f t="shared" si="58"/>
        <v>0</v>
      </c>
      <c r="AH144" s="115">
        <f t="shared" si="58"/>
        <v>0</v>
      </c>
      <c r="AI144" s="115">
        <f t="shared" si="58"/>
        <v>0</v>
      </c>
      <c r="AJ144" s="115">
        <f t="shared" si="58"/>
        <v>0</v>
      </c>
      <c r="AK144" s="115">
        <f t="shared" si="58"/>
        <v>0</v>
      </c>
      <c r="AL144" s="115">
        <f t="shared" si="58"/>
        <v>0</v>
      </c>
      <c r="AM144" s="115">
        <f t="shared" si="58"/>
        <v>0</v>
      </c>
      <c r="AN144" s="115">
        <f t="shared" si="58"/>
        <v>0</v>
      </c>
      <c r="AO144" s="115">
        <f t="shared" si="58"/>
        <v>0</v>
      </c>
      <c r="AP144" s="115">
        <f t="shared" si="58"/>
        <v>0</v>
      </c>
    </row>
    <row r="146" spans="1:42" x14ac:dyDescent="0.2">
      <c r="A146" s="4" t="s">
        <v>186</v>
      </c>
      <c r="B146" s="143">
        <f>-(B142+NPV(NominalDiscountRate/100,C142:AP142))</f>
        <v>0</v>
      </c>
      <c r="C146" s="115"/>
      <c r="D146" s="115"/>
    </row>
    <row r="147" spans="1:42" x14ac:dyDescent="0.2">
      <c r="A147" s="4" t="s">
        <v>185</v>
      </c>
      <c r="B147" s="143">
        <f>NPV(NominalDiscountRate/100,C144:AP144)</f>
        <v>0</v>
      </c>
    </row>
    <row r="148" spans="1:42" x14ac:dyDescent="0.2">
      <c r="A148" s="4" t="s">
        <v>420</v>
      </c>
      <c r="B148" s="204">
        <f>IF(B147=0,0,B146/B147*100)</f>
        <v>0</v>
      </c>
    </row>
    <row r="149" spans="1:42" x14ac:dyDescent="0.2">
      <c r="B149" s="197"/>
    </row>
    <row r="150" spans="1:42" x14ac:dyDescent="0.2">
      <c r="A150" s="4" t="s">
        <v>193</v>
      </c>
      <c r="B150" s="143">
        <f>NPV(NominalDiscountRate/100,C143:AP143)</f>
        <v>0</v>
      </c>
    </row>
    <row r="151" spans="1:42" x14ac:dyDescent="0.2">
      <c r="A151" s="4" t="s">
        <v>185</v>
      </c>
      <c r="B151" s="143">
        <f>B147</f>
        <v>0</v>
      </c>
    </row>
    <row r="152" spans="1:42" x14ac:dyDescent="0.2">
      <c r="A152" s="4" t="s">
        <v>231</v>
      </c>
      <c r="B152" s="204">
        <f>IF(B151=0,0,B150/B151*100)</f>
        <v>0</v>
      </c>
    </row>
    <row r="153" spans="1:42" x14ac:dyDescent="0.2">
      <c r="B153" s="104"/>
    </row>
    <row r="154" spans="1:42" x14ac:dyDescent="0.2">
      <c r="A154" s="317" t="s">
        <v>423</v>
      </c>
      <c r="B154" s="318"/>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row>
    <row r="155" spans="1:42" x14ac:dyDescent="0.2">
      <c r="A155" s="4" t="s">
        <v>424</v>
      </c>
      <c r="B155" s="115">
        <f t="array" ref="B155:AP156">Inputs!C222:AQ223</f>
        <v>0</v>
      </c>
      <c r="C155" s="115">
        <v>0</v>
      </c>
      <c r="D155" s="115">
        <v>0</v>
      </c>
      <c r="E155" s="115">
        <v>0</v>
      </c>
      <c r="F155" s="115">
        <v>0</v>
      </c>
      <c r="G155" s="115">
        <v>0</v>
      </c>
      <c r="H155" s="115">
        <v>0</v>
      </c>
      <c r="I155" s="115">
        <v>0</v>
      </c>
      <c r="J155" s="115">
        <v>0</v>
      </c>
      <c r="K155" s="115">
        <v>0</v>
      </c>
      <c r="L155" s="115">
        <v>0</v>
      </c>
      <c r="M155" s="115">
        <v>0</v>
      </c>
      <c r="N155" s="115">
        <v>0</v>
      </c>
      <c r="O155" s="115">
        <v>0</v>
      </c>
      <c r="P155" s="115">
        <v>0</v>
      </c>
      <c r="Q155" s="115">
        <v>0</v>
      </c>
      <c r="R155" s="115">
        <v>0</v>
      </c>
      <c r="S155" s="115">
        <v>0</v>
      </c>
      <c r="T155" s="115">
        <v>0</v>
      </c>
      <c r="U155" s="115">
        <v>0</v>
      </c>
      <c r="V155" s="115">
        <v>0</v>
      </c>
      <c r="W155" s="115">
        <v>0</v>
      </c>
      <c r="X155" s="115">
        <v>0</v>
      </c>
      <c r="Y155" s="115">
        <v>0</v>
      </c>
      <c r="Z155" s="115">
        <v>0</v>
      </c>
      <c r="AA155" s="115">
        <v>0</v>
      </c>
      <c r="AB155" s="115">
        <v>0</v>
      </c>
      <c r="AC155" s="115">
        <v>0</v>
      </c>
      <c r="AD155" s="115">
        <v>0</v>
      </c>
      <c r="AE155" s="115">
        <v>0</v>
      </c>
      <c r="AF155" s="115">
        <v>0</v>
      </c>
      <c r="AG155" s="115">
        <v>0</v>
      </c>
      <c r="AH155" s="115">
        <v>0</v>
      </c>
      <c r="AI155" s="115">
        <v>0</v>
      </c>
      <c r="AJ155" s="115">
        <v>0</v>
      </c>
      <c r="AK155" s="115">
        <v>0</v>
      </c>
      <c r="AL155" s="115">
        <v>0</v>
      </c>
      <c r="AM155" s="115">
        <v>0</v>
      </c>
      <c r="AN155" s="115">
        <v>0</v>
      </c>
      <c r="AO155" s="115">
        <v>0</v>
      </c>
      <c r="AP155" s="115">
        <v>0</v>
      </c>
    </row>
    <row r="156" spans="1:42" x14ac:dyDescent="0.2">
      <c r="A156" s="4" t="s">
        <v>425</v>
      </c>
      <c r="B156" s="115">
        <v>0</v>
      </c>
      <c r="C156" s="115">
        <v>0</v>
      </c>
      <c r="D156" s="115">
        <v>0</v>
      </c>
      <c r="E156" s="115">
        <v>0</v>
      </c>
      <c r="F156" s="115">
        <v>0</v>
      </c>
      <c r="G156" s="115">
        <v>0</v>
      </c>
      <c r="H156" s="115">
        <v>0</v>
      </c>
      <c r="I156" s="115">
        <v>0</v>
      </c>
      <c r="J156" s="115">
        <v>0</v>
      </c>
      <c r="K156" s="115">
        <v>0</v>
      </c>
      <c r="L156" s="115">
        <v>0</v>
      </c>
      <c r="M156" s="115">
        <v>0</v>
      </c>
      <c r="N156" s="115">
        <v>0</v>
      </c>
      <c r="O156" s="115">
        <v>0</v>
      </c>
      <c r="P156" s="115">
        <v>0</v>
      </c>
      <c r="Q156" s="115">
        <v>0</v>
      </c>
      <c r="R156" s="115">
        <v>0</v>
      </c>
      <c r="S156" s="115">
        <v>0</v>
      </c>
      <c r="T156" s="115">
        <v>0</v>
      </c>
      <c r="U156" s="115">
        <v>0</v>
      </c>
      <c r="V156" s="115">
        <v>0</v>
      </c>
      <c r="W156" s="115">
        <v>0</v>
      </c>
      <c r="X156" s="115">
        <v>0</v>
      </c>
      <c r="Y156" s="115">
        <v>0</v>
      </c>
      <c r="Z156" s="115">
        <v>0</v>
      </c>
      <c r="AA156" s="115">
        <v>0</v>
      </c>
      <c r="AB156" s="115">
        <v>0</v>
      </c>
      <c r="AC156" s="115">
        <v>0</v>
      </c>
      <c r="AD156" s="115">
        <v>0</v>
      </c>
      <c r="AE156" s="115">
        <v>0</v>
      </c>
      <c r="AF156" s="115">
        <v>0</v>
      </c>
      <c r="AG156" s="115">
        <v>0</v>
      </c>
      <c r="AH156" s="115">
        <v>0</v>
      </c>
      <c r="AI156" s="115">
        <v>0</v>
      </c>
      <c r="AJ156" s="115">
        <v>0</v>
      </c>
      <c r="AK156" s="115">
        <v>0</v>
      </c>
      <c r="AL156" s="115">
        <v>0</v>
      </c>
      <c r="AM156" s="115">
        <v>0</v>
      </c>
      <c r="AN156" s="115">
        <v>0</v>
      </c>
      <c r="AO156" s="115">
        <v>0</v>
      </c>
      <c r="AP156" s="115">
        <v>0</v>
      </c>
    </row>
    <row r="157" spans="1:42" x14ac:dyDescent="0.2">
      <c r="B157" s="104"/>
    </row>
    <row r="158" spans="1:42" x14ac:dyDescent="0.2">
      <c r="A158" s="4" t="s">
        <v>426</v>
      </c>
      <c r="B158" s="174">
        <f>-(B155+NPV(NominalDiscountRate/100,C155:AP155))</f>
        <v>0</v>
      </c>
    </row>
    <row r="159" spans="1:42" x14ac:dyDescent="0.2">
      <c r="A159" s="4" t="s">
        <v>427</v>
      </c>
      <c r="B159" s="174">
        <f>NPV(NominalDiscountRate/100,C156:AP156)</f>
        <v>0</v>
      </c>
    </row>
    <row r="160" spans="1:42" x14ac:dyDescent="0.2">
      <c r="A160" s="4" t="s">
        <v>428</v>
      </c>
      <c r="B160" s="102">
        <f>IF(B159=0,0,B158/B159*100)</f>
        <v>0</v>
      </c>
    </row>
    <row r="161" spans="1:42" x14ac:dyDescent="0.2">
      <c r="B161" s="104"/>
    </row>
    <row r="162" spans="1:42" x14ac:dyDescent="0.2">
      <c r="A162" s="80" t="s">
        <v>334</v>
      </c>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row>
    <row r="163" spans="1:42" x14ac:dyDescent="0.2">
      <c r="A163" s="19" t="s">
        <v>319</v>
      </c>
    </row>
    <row r="164" spans="1:42" x14ac:dyDescent="0.2">
      <c r="A164" s="4" t="s">
        <v>276</v>
      </c>
      <c r="B164" s="115">
        <v>0</v>
      </c>
      <c r="C164" s="115">
        <f>B167</f>
        <v>0</v>
      </c>
      <c r="D164" s="115">
        <f t="shared" ref="D164:AP164" si="59">C167</f>
        <v>0</v>
      </c>
      <c r="E164" s="115">
        <f t="shared" si="59"/>
        <v>0</v>
      </c>
      <c r="F164" s="115">
        <f t="shared" si="59"/>
        <v>0</v>
      </c>
      <c r="G164" s="115">
        <f t="shared" si="59"/>
        <v>0</v>
      </c>
      <c r="H164" s="115">
        <f t="shared" si="59"/>
        <v>0</v>
      </c>
      <c r="I164" s="115">
        <f t="shared" si="59"/>
        <v>0</v>
      </c>
      <c r="J164" s="115">
        <f t="shared" si="59"/>
        <v>0</v>
      </c>
      <c r="K164" s="115">
        <f t="shared" si="59"/>
        <v>0</v>
      </c>
      <c r="L164" s="115">
        <f t="shared" si="59"/>
        <v>0</v>
      </c>
      <c r="M164" s="115">
        <f t="shared" si="59"/>
        <v>0</v>
      </c>
      <c r="N164" s="115">
        <f t="shared" si="59"/>
        <v>0</v>
      </c>
      <c r="O164" s="115">
        <f t="shared" si="59"/>
        <v>0</v>
      </c>
      <c r="P164" s="115">
        <f t="shared" si="59"/>
        <v>0</v>
      </c>
      <c r="Q164" s="115">
        <f t="shared" si="59"/>
        <v>0</v>
      </c>
      <c r="R164" s="115">
        <f t="shared" si="59"/>
        <v>0</v>
      </c>
      <c r="S164" s="115">
        <f t="shared" si="59"/>
        <v>0</v>
      </c>
      <c r="T164" s="115">
        <f t="shared" si="59"/>
        <v>0</v>
      </c>
      <c r="U164" s="115">
        <f t="shared" si="59"/>
        <v>0</v>
      </c>
      <c r="V164" s="115">
        <f t="shared" si="59"/>
        <v>0</v>
      </c>
      <c r="W164" s="115">
        <f t="shared" si="59"/>
        <v>0</v>
      </c>
      <c r="X164" s="115">
        <f t="shared" si="59"/>
        <v>0</v>
      </c>
      <c r="Y164" s="115">
        <f t="shared" si="59"/>
        <v>0</v>
      </c>
      <c r="Z164" s="115">
        <f t="shared" si="59"/>
        <v>0</v>
      </c>
      <c r="AA164" s="115">
        <f t="shared" si="59"/>
        <v>0</v>
      </c>
      <c r="AB164" s="115">
        <f t="shared" si="59"/>
        <v>0</v>
      </c>
      <c r="AC164" s="115">
        <f t="shared" si="59"/>
        <v>0</v>
      </c>
      <c r="AD164" s="115">
        <f t="shared" si="59"/>
        <v>0</v>
      </c>
      <c r="AE164" s="115">
        <f t="shared" si="59"/>
        <v>0</v>
      </c>
      <c r="AF164" s="115">
        <f t="shared" si="59"/>
        <v>0</v>
      </c>
      <c r="AG164" s="115">
        <f t="shared" si="59"/>
        <v>0</v>
      </c>
      <c r="AH164" s="115">
        <f t="shared" si="59"/>
        <v>0</v>
      </c>
      <c r="AI164" s="115">
        <f t="shared" si="59"/>
        <v>0</v>
      </c>
      <c r="AJ164" s="115">
        <f t="shared" si="59"/>
        <v>0</v>
      </c>
      <c r="AK164" s="115">
        <f t="shared" si="59"/>
        <v>0</v>
      </c>
      <c r="AL164" s="115">
        <f t="shared" si="59"/>
        <v>0</v>
      </c>
      <c r="AM164" s="115">
        <f t="shared" si="59"/>
        <v>0</v>
      </c>
      <c r="AN164" s="115">
        <f t="shared" si="59"/>
        <v>0</v>
      </c>
      <c r="AO164" s="115">
        <f t="shared" si="59"/>
        <v>0</v>
      </c>
      <c r="AP164" s="115">
        <f t="shared" si="59"/>
        <v>0</v>
      </c>
    </row>
    <row r="165" spans="1:42" x14ac:dyDescent="0.2">
      <c r="A165" s="4" t="s">
        <v>358</v>
      </c>
      <c r="B165" s="115">
        <f>IF(SponsorCapRecoveryMode="N/A",0,-B170)</f>
        <v>0</v>
      </c>
      <c r="C165" s="115">
        <v>0</v>
      </c>
      <c r="D165" s="115">
        <v>0</v>
      </c>
      <c r="E165" s="115">
        <v>0</v>
      </c>
      <c r="F165" s="115">
        <v>0</v>
      </c>
      <c r="G165" s="115">
        <v>0</v>
      </c>
      <c r="H165" s="115">
        <v>0</v>
      </c>
      <c r="I165" s="115">
        <v>0</v>
      </c>
      <c r="J165" s="115">
        <v>0</v>
      </c>
      <c r="K165" s="115">
        <v>0</v>
      </c>
      <c r="L165" s="115">
        <v>0</v>
      </c>
      <c r="M165" s="115">
        <v>0</v>
      </c>
      <c r="N165" s="115">
        <v>0</v>
      </c>
      <c r="O165" s="115">
        <v>0</v>
      </c>
      <c r="P165" s="115">
        <v>0</v>
      </c>
      <c r="Q165" s="115">
        <v>0</v>
      </c>
      <c r="R165" s="115">
        <v>0</v>
      </c>
      <c r="S165" s="115">
        <v>0</v>
      </c>
      <c r="T165" s="115">
        <v>0</v>
      </c>
      <c r="U165" s="115">
        <v>0</v>
      </c>
      <c r="V165" s="115">
        <v>0</v>
      </c>
      <c r="W165" s="115">
        <v>0</v>
      </c>
      <c r="X165" s="115">
        <v>0</v>
      </c>
      <c r="Y165" s="115">
        <v>0</v>
      </c>
      <c r="Z165" s="115">
        <v>0</v>
      </c>
      <c r="AA165" s="115">
        <v>0</v>
      </c>
      <c r="AB165" s="115">
        <v>0</v>
      </c>
      <c r="AC165" s="115">
        <v>0</v>
      </c>
      <c r="AD165" s="115">
        <v>0</v>
      </c>
      <c r="AE165" s="115">
        <v>0</v>
      </c>
      <c r="AF165" s="115">
        <v>0</v>
      </c>
      <c r="AG165" s="115">
        <v>0</v>
      </c>
      <c r="AH165" s="115">
        <v>0</v>
      </c>
      <c r="AI165" s="115">
        <v>0</v>
      </c>
      <c r="AJ165" s="115">
        <v>0</v>
      </c>
      <c r="AK165" s="115">
        <v>0</v>
      </c>
      <c r="AL165" s="115">
        <v>0</v>
      </c>
      <c r="AM165" s="115">
        <v>0</v>
      </c>
      <c r="AN165" s="115">
        <v>0</v>
      </c>
      <c r="AO165" s="115">
        <v>0</v>
      </c>
      <c r="AP165" s="115">
        <v>0</v>
      </c>
    </row>
    <row r="166" spans="1:42" x14ac:dyDescent="0.2">
      <c r="A166" s="4" t="s">
        <v>359</v>
      </c>
      <c r="B166" s="116">
        <f t="shared" ref="B166:AP166" si="60">IF(SponsorCapRecoveryMode="N/A",0,-IF(B118&lt;0,0,MIN(B164+B165,B118))*IF(SponsorCapRecoveryMode="Time",IF(B$2&lt;=sponsor_cap_recovery_year,1,0),1))</f>
        <v>0</v>
      </c>
      <c r="C166" s="116">
        <f t="shared" si="60"/>
        <v>0</v>
      </c>
      <c r="D166" s="116">
        <f t="shared" si="60"/>
        <v>0</v>
      </c>
      <c r="E166" s="116">
        <f t="shared" si="60"/>
        <v>0</v>
      </c>
      <c r="F166" s="116">
        <f t="shared" si="60"/>
        <v>0</v>
      </c>
      <c r="G166" s="116">
        <f t="shared" si="60"/>
        <v>0</v>
      </c>
      <c r="H166" s="116">
        <f t="shared" si="60"/>
        <v>0</v>
      </c>
      <c r="I166" s="116">
        <f t="shared" si="60"/>
        <v>0</v>
      </c>
      <c r="J166" s="116">
        <f t="shared" si="60"/>
        <v>0</v>
      </c>
      <c r="K166" s="116">
        <f t="shared" si="60"/>
        <v>0</v>
      </c>
      <c r="L166" s="116">
        <f t="shared" si="60"/>
        <v>0</v>
      </c>
      <c r="M166" s="116">
        <f t="shared" si="60"/>
        <v>0</v>
      </c>
      <c r="N166" s="116">
        <f t="shared" si="60"/>
        <v>0</v>
      </c>
      <c r="O166" s="116">
        <f t="shared" si="60"/>
        <v>0</v>
      </c>
      <c r="P166" s="116">
        <f t="shared" si="60"/>
        <v>0</v>
      </c>
      <c r="Q166" s="116">
        <f t="shared" si="60"/>
        <v>0</v>
      </c>
      <c r="R166" s="116">
        <f t="shared" si="60"/>
        <v>0</v>
      </c>
      <c r="S166" s="116">
        <f t="shared" si="60"/>
        <v>0</v>
      </c>
      <c r="T166" s="116">
        <f t="shared" si="60"/>
        <v>0</v>
      </c>
      <c r="U166" s="116">
        <f t="shared" si="60"/>
        <v>0</v>
      </c>
      <c r="V166" s="116">
        <f t="shared" si="60"/>
        <v>0</v>
      </c>
      <c r="W166" s="116">
        <f t="shared" si="60"/>
        <v>0</v>
      </c>
      <c r="X166" s="116">
        <f t="shared" si="60"/>
        <v>0</v>
      </c>
      <c r="Y166" s="116">
        <f t="shared" si="60"/>
        <v>0</v>
      </c>
      <c r="Z166" s="116">
        <f t="shared" si="60"/>
        <v>0</v>
      </c>
      <c r="AA166" s="116">
        <f t="shared" si="60"/>
        <v>0</v>
      </c>
      <c r="AB166" s="116">
        <f t="shared" si="60"/>
        <v>0</v>
      </c>
      <c r="AC166" s="116">
        <f t="shared" si="60"/>
        <v>0</v>
      </c>
      <c r="AD166" s="116">
        <f t="shared" si="60"/>
        <v>0</v>
      </c>
      <c r="AE166" s="116">
        <f t="shared" si="60"/>
        <v>0</v>
      </c>
      <c r="AF166" s="116">
        <f t="shared" si="60"/>
        <v>0</v>
      </c>
      <c r="AG166" s="116">
        <f t="shared" si="60"/>
        <v>0</v>
      </c>
      <c r="AH166" s="116">
        <f t="shared" si="60"/>
        <v>0</v>
      </c>
      <c r="AI166" s="116">
        <f t="shared" si="60"/>
        <v>0</v>
      </c>
      <c r="AJ166" s="116">
        <f t="shared" si="60"/>
        <v>0</v>
      </c>
      <c r="AK166" s="116">
        <f t="shared" si="60"/>
        <v>0</v>
      </c>
      <c r="AL166" s="116">
        <f t="shared" si="60"/>
        <v>0</v>
      </c>
      <c r="AM166" s="116">
        <f t="shared" si="60"/>
        <v>0</v>
      </c>
      <c r="AN166" s="116">
        <f t="shared" si="60"/>
        <v>0</v>
      </c>
      <c r="AO166" s="116">
        <f t="shared" si="60"/>
        <v>0</v>
      </c>
      <c r="AP166" s="116">
        <f t="shared" si="60"/>
        <v>0</v>
      </c>
    </row>
    <row r="167" spans="1:42" x14ac:dyDescent="0.2">
      <c r="A167" s="4" t="s">
        <v>236</v>
      </c>
      <c r="B167" s="115">
        <f>SUM(B164:B166)</f>
        <v>0</v>
      </c>
      <c r="C167" s="115">
        <f t="shared" ref="C167:AP167" si="61">SUM(C164:C166)</f>
        <v>0</v>
      </c>
      <c r="D167" s="115">
        <f t="shared" si="61"/>
        <v>0</v>
      </c>
      <c r="E167" s="115">
        <f t="shared" si="61"/>
        <v>0</v>
      </c>
      <c r="F167" s="115">
        <f t="shared" si="61"/>
        <v>0</v>
      </c>
      <c r="G167" s="115">
        <f t="shared" si="61"/>
        <v>0</v>
      </c>
      <c r="H167" s="115">
        <f t="shared" si="61"/>
        <v>0</v>
      </c>
      <c r="I167" s="115">
        <f t="shared" si="61"/>
        <v>0</v>
      </c>
      <c r="J167" s="115">
        <f t="shared" si="61"/>
        <v>0</v>
      </c>
      <c r="K167" s="115">
        <f t="shared" si="61"/>
        <v>0</v>
      </c>
      <c r="L167" s="115">
        <f t="shared" si="61"/>
        <v>0</v>
      </c>
      <c r="M167" s="115">
        <f t="shared" si="61"/>
        <v>0</v>
      </c>
      <c r="N167" s="115">
        <f t="shared" si="61"/>
        <v>0</v>
      </c>
      <c r="O167" s="115">
        <f t="shared" si="61"/>
        <v>0</v>
      </c>
      <c r="P167" s="115">
        <f t="shared" si="61"/>
        <v>0</v>
      </c>
      <c r="Q167" s="115">
        <f t="shared" si="61"/>
        <v>0</v>
      </c>
      <c r="R167" s="115">
        <f t="shared" si="61"/>
        <v>0</v>
      </c>
      <c r="S167" s="115">
        <f t="shared" si="61"/>
        <v>0</v>
      </c>
      <c r="T167" s="115">
        <f t="shared" si="61"/>
        <v>0</v>
      </c>
      <c r="U167" s="115">
        <f t="shared" si="61"/>
        <v>0</v>
      </c>
      <c r="V167" s="115">
        <f t="shared" si="61"/>
        <v>0</v>
      </c>
      <c r="W167" s="115">
        <f t="shared" si="61"/>
        <v>0</v>
      </c>
      <c r="X167" s="115">
        <f t="shared" si="61"/>
        <v>0</v>
      </c>
      <c r="Y167" s="115">
        <f t="shared" si="61"/>
        <v>0</v>
      </c>
      <c r="Z167" s="115">
        <f t="shared" si="61"/>
        <v>0</v>
      </c>
      <c r="AA167" s="115">
        <f t="shared" si="61"/>
        <v>0</v>
      </c>
      <c r="AB167" s="115">
        <f t="shared" si="61"/>
        <v>0</v>
      </c>
      <c r="AC167" s="115">
        <f t="shared" si="61"/>
        <v>0</v>
      </c>
      <c r="AD167" s="115">
        <f t="shared" si="61"/>
        <v>0</v>
      </c>
      <c r="AE167" s="115">
        <f t="shared" si="61"/>
        <v>0</v>
      </c>
      <c r="AF167" s="115">
        <f t="shared" si="61"/>
        <v>0</v>
      </c>
      <c r="AG167" s="115">
        <f t="shared" si="61"/>
        <v>0</v>
      </c>
      <c r="AH167" s="115">
        <f t="shared" si="61"/>
        <v>0</v>
      </c>
      <c r="AI167" s="115">
        <f t="shared" si="61"/>
        <v>0</v>
      </c>
      <c r="AJ167" s="115">
        <f t="shared" si="61"/>
        <v>0</v>
      </c>
      <c r="AK167" s="115">
        <f t="shared" si="61"/>
        <v>0</v>
      </c>
      <c r="AL167" s="115">
        <f t="shared" si="61"/>
        <v>0</v>
      </c>
      <c r="AM167" s="115">
        <f t="shared" si="61"/>
        <v>0</v>
      </c>
      <c r="AN167" s="115">
        <f t="shared" si="61"/>
        <v>0</v>
      </c>
      <c r="AO167" s="115">
        <f t="shared" si="61"/>
        <v>0</v>
      </c>
      <c r="AP167" s="115">
        <f t="shared" si="61"/>
        <v>0</v>
      </c>
    </row>
    <row r="168" spans="1:42" x14ac:dyDescent="0.2">
      <c r="A168" s="19"/>
    </row>
    <row r="169" spans="1:42" x14ac:dyDescent="0.2">
      <c r="A169" s="19" t="s">
        <v>336</v>
      </c>
      <c r="B169" s="104"/>
    </row>
    <row r="170" spans="1:42" x14ac:dyDescent="0.2">
      <c r="A170" s="4" t="s">
        <v>340</v>
      </c>
      <c r="B170" s="115">
        <f>-B111*(1-tax_investor_equity_percent/100)</f>
        <v>0</v>
      </c>
      <c r="C170" s="115">
        <v>0</v>
      </c>
      <c r="D170" s="115">
        <v>0</v>
      </c>
      <c r="E170" s="115">
        <v>0</v>
      </c>
      <c r="F170" s="115">
        <v>0</v>
      </c>
      <c r="G170" s="115">
        <v>0</v>
      </c>
      <c r="H170" s="115">
        <v>0</v>
      </c>
      <c r="I170" s="115">
        <v>0</v>
      </c>
      <c r="J170" s="115">
        <v>0</v>
      </c>
      <c r="K170" s="115">
        <v>0</v>
      </c>
      <c r="L170" s="115">
        <v>0</v>
      </c>
      <c r="M170" s="115">
        <v>0</v>
      </c>
      <c r="N170" s="115">
        <v>0</v>
      </c>
      <c r="O170" s="115">
        <v>0</v>
      </c>
      <c r="P170" s="115">
        <v>0</v>
      </c>
      <c r="Q170" s="115">
        <v>0</v>
      </c>
      <c r="R170" s="115">
        <v>0</v>
      </c>
      <c r="S170" s="115">
        <v>0</v>
      </c>
      <c r="T170" s="115">
        <v>0</v>
      </c>
      <c r="U170" s="115">
        <v>0</v>
      </c>
      <c r="V170" s="115">
        <v>0</v>
      </c>
      <c r="W170" s="115">
        <v>0</v>
      </c>
      <c r="X170" s="115">
        <v>0</v>
      </c>
      <c r="Y170" s="115">
        <v>0</v>
      </c>
      <c r="Z170" s="115">
        <v>0</v>
      </c>
      <c r="AA170" s="115">
        <v>0</v>
      </c>
      <c r="AB170" s="115">
        <v>0</v>
      </c>
      <c r="AC170" s="115">
        <v>0</v>
      </c>
      <c r="AD170" s="115">
        <v>0</v>
      </c>
      <c r="AE170" s="115">
        <v>0</v>
      </c>
      <c r="AF170" s="115">
        <v>0</v>
      </c>
      <c r="AG170" s="115">
        <v>0</v>
      </c>
      <c r="AH170" s="115">
        <v>0</v>
      </c>
      <c r="AI170" s="115">
        <v>0</v>
      </c>
      <c r="AJ170" s="115">
        <v>0</v>
      </c>
      <c r="AK170" s="115">
        <v>0</v>
      </c>
      <c r="AL170" s="115">
        <v>0</v>
      </c>
      <c r="AM170" s="115">
        <v>0</v>
      </c>
      <c r="AN170" s="115">
        <v>0</v>
      </c>
      <c r="AO170" s="115">
        <v>0</v>
      </c>
      <c r="AP170" s="115">
        <v>0</v>
      </c>
    </row>
    <row r="171" spans="1:42" x14ac:dyDescent="0.2">
      <c r="A171" s="4" t="s">
        <v>341</v>
      </c>
      <c r="B171" s="115">
        <f>-B84</f>
        <v>0</v>
      </c>
      <c r="C171" s="115">
        <v>0</v>
      </c>
      <c r="D171" s="115">
        <v>0</v>
      </c>
      <c r="E171" s="115">
        <v>0</v>
      </c>
      <c r="F171" s="115">
        <v>0</v>
      </c>
      <c r="G171" s="115">
        <v>0</v>
      </c>
      <c r="H171" s="115">
        <v>0</v>
      </c>
      <c r="I171" s="115">
        <v>0</v>
      </c>
      <c r="J171" s="115">
        <v>0</v>
      </c>
      <c r="K171" s="115">
        <v>0</v>
      </c>
      <c r="L171" s="115">
        <v>0</v>
      </c>
      <c r="M171" s="115">
        <v>0</v>
      </c>
      <c r="N171" s="115">
        <v>0</v>
      </c>
      <c r="O171" s="115">
        <v>0</v>
      </c>
      <c r="P171" s="115">
        <v>0</v>
      </c>
      <c r="Q171" s="115">
        <v>0</v>
      </c>
      <c r="R171" s="115">
        <v>0</v>
      </c>
      <c r="S171" s="115">
        <v>0</v>
      </c>
      <c r="T171" s="115">
        <v>0</v>
      </c>
      <c r="U171" s="115">
        <v>0</v>
      </c>
      <c r="V171" s="115">
        <v>0</v>
      </c>
      <c r="W171" s="115">
        <v>0</v>
      </c>
      <c r="X171" s="115">
        <v>0</v>
      </c>
      <c r="Y171" s="115">
        <v>0</v>
      </c>
      <c r="Z171" s="115">
        <v>0</v>
      </c>
      <c r="AA171" s="115">
        <v>0</v>
      </c>
      <c r="AB171" s="115">
        <v>0</v>
      </c>
      <c r="AC171" s="115">
        <v>0</v>
      </c>
      <c r="AD171" s="115">
        <v>0</v>
      </c>
      <c r="AE171" s="115">
        <v>0</v>
      </c>
      <c r="AF171" s="115">
        <v>0</v>
      </c>
      <c r="AG171" s="115">
        <v>0</v>
      </c>
      <c r="AH171" s="115">
        <v>0</v>
      </c>
      <c r="AI171" s="115">
        <v>0</v>
      </c>
      <c r="AJ171" s="115">
        <v>0</v>
      </c>
      <c r="AK171" s="115">
        <v>0</v>
      </c>
      <c r="AL171" s="115">
        <v>0</v>
      </c>
      <c r="AM171" s="115">
        <v>0</v>
      </c>
      <c r="AN171" s="115">
        <v>0</v>
      </c>
      <c r="AO171" s="115">
        <v>0</v>
      </c>
      <c r="AP171" s="115">
        <v>0</v>
      </c>
    </row>
    <row r="172" spans="1:42" x14ac:dyDescent="0.2">
      <c r="A172" s="4" t="s">
        <v>354</v>
      </c>
      <c r="B172" s="115">
        <v>0</v>
      </c>
      <c r="C172" s="115">
        <f t="shared" ref="C172:AP172" si="62">C118-C191</f>
        <v>0</v>
      </c>
      <c r="D172" s="115">
        <f t="shared" si="62"/>
        <v>0</v>
      </c>
      <c r="E172" s="115">
        <f t="shared" si="62"/>
        <v>0</v>
      </c>
      <c r="F172" s="115">
        <f t="shared" si="62"/>
        <v>0</v>
      </c>
      <c r="G172" s="115">
        <f t="shared" si="62"/>
        <v>0</v>
      </c>
      <c r="H172" s="115">
        <f t="shared" si="62"/>
        <v>0</v>
      </c>
      <c r="I172" s="115">
        <f t="shared" si="62"/>
        <v>0</v>
      </c>
      <c r="J172" s="115">
        <f t="shared" si="62"/>
        <v>0</v>
      </c>
      <c r="K172" s="115">
        <f t="shared" si="62"/>
        <v>0</v>
      </c>
      <c r="L172" s="115">
        <f t="shared" si="62"/>
        <v>0</v>
      </c>
      <c r="M172" s="115">
        <f t="shared" si="62"/>
        <v>0</v>
      </c>
      <c r="N172" s="115">
        <f t="shared" si="62"/>
        <v>0</v>
      </c>
      <c r="O172" s="115">
        <f t="shared" si="62"/>
        <v>0</v>
      </c>
      <c r="P172" s="115">
        <f t="shared" si="62"/>
        <v>0</v>
      </c>
      <c r="Q172" s="115">
        <f t="shared" si="62"/>
        <v>0</v>
      </c>
      <c r="R172" s="115">
        <f t="shared" si="62"/>
        <v>0</v>
      </c>
      <c r="S172" s="115">
        <f t="shared" si="62"/>
        <v>0</v>
      </c>
      <c r="T172" s="115">
        <f t="shared" si="62"/>
        <v>0</v>
      </c>
      <c r="U172" s="115">
        <f t="shared" si="62"/>
        <v>0</v>
      </c>
      <c r="V172" s="115">
        <f t="shared" si="62"/>
        <v>0</v>
      </c>
      <c r="W172" s="115">
        <f t="shared" si="62"/>
        <v>0</v>
      </c>
      <c r="X172" s="115">
        <f t="shared" si="62"/>
        <v>0</v>
      </c>
      <c r="Y172" s="115">
        <f t="shared" si="62"/>
        <v>0</v>
      </c>
      <c r="Z172" s="115">
        <f t="shared" si="62"/>
        <v>0</v>
      </c>
      <c r="AA172" s="115">
        <f t="shared" si="62"/>
        <v>0</v>
      </c>
      <c r="AB172" s="115">
        <f t="shared" si="62"/>
        <v>0</v>
      </c>
      <c r="AC172" s="115">
        <f t="shared" si="62"/>
        <v>0</v>
      </c>
      <c r="AD172" s="115">
        <f t="shared" si="62"/>
        <v>0</v>
      </c>
      <c r="AE172" s="115">
        <f t="shared" si="62"/>
        <v>0</v>
      </c>
      <c r="AF172" s="115">
        <f t="shared" si="62"/>
        <v>0</v>
      </c>
      <c r="AG172" s="115">
        <f t="shared" si="62"/>
        <v>0</v>
      </c>
      <c r="AH172" s="115">
        <f t="shared" si="62"/>
        <v>0</v>
      </c>
      <c r="AI172" s="115">
        <f t="shared" si="62"/>
        <v>0</v>
      </c>
      <c r="AJ172" s="115">
        <f t="shared" si="62"/>
        <v>0</v>
      </c>
      <c r="AK172" s="115">
        <f t="shared" si="62"/>
        <v>0</v>
      </c>
      <c r="AL172" s="115">
        <f t="shared" si="62"/>
        <v>0</v>
      </c>
      <c r="AM172" s="115">
        <f t="shared" si="62"/>
        <v>0</v>
      </c>
      <c r="AN172" s="115">
        <f t="shared" si="62"/>
        <v>0</v>
      </c>
      <c r="AO172" s="115">
        <f t="shared" si="62"/>
        <v>0</v>
      </c>
      <c r="AP172" s="115">
        <f t="shared" si="62"/>
        <v>0</v>
      </c>
    </row>
    <row r="173" spans="1:42" x14ac:dyDescent="0.2">
      <c r="A173" s="27" t="s">
        <v>13</v>
      </c>
      <c r="B173" s="133">
        <f t="shared" ref="B173:AP173" si="63">SUM(B170:B172)</f>
        <v>0</v>
      </c>
      <c r="C173" s="133">
        <f t="shared" si="63"/>
        <v>0</v>
      </c>
      <c r="D173" s="133">
        <f t="shared" si="63"/>
        <v>0</v>
      </c>
      <c r="E173" s="133">
        <f t="shared" si="63"/>
        <v>0</v>
      </c>
      <c r="F173" s="133">
        <f t="shared" si="63"/>
        <v>0</v>
      </c>
      <c r="G173" s="133">
        <f t="shared" si="63"/>
        <v>0</v>
      </c>
      <c r="H173" s="133">
        <f t="shared" si="63"/>
        <v>0</v>
      </c>
      <c r="I173" s="133">
        <f t="shared" si="63"/>
        <v>0</v>
      </c>
      <c r="J173" s="133">
        <f t="shared" si="63"/>
        <v>0</v>
      </c>
      <c r="K173" s="133">
        <f t="shared" si="63"/>
        <v>0</v>
      </c>
      <c r="L173" s="133">
        <f t="shared" si="63"/>
        <v>0</v>
      </c>
      <c r="M173" s="133">
        <f t="shared" si="63"/>
        <v>0</v>
      </c>
      <c r="N173" s="133">
        <f t="shared" si="63"/>
        <v>0</v>
      </c>
      <c r="O173" s="133">
        <f t="shared" si="63"/>
        <v>0</v>
      </c>
      <c r="P173" s="133">
        <f t="shared" si="63"/>
        <v>0</v>
      </c>
      <c r="Q173" s="133">
        <f t="shared" si="63"/>
        <v>0</v>
      </c>
      <c r="R173" s="133">
        <f t="shared" si="63"/>
        <v>0</v>
      </c>
      <c r="S173" s="133">
        <f t="shared" si="63"/>
        <v>0</v>
      </c>
      <c r="T173" s="133">
        <f t="shared" si="63"/>
        <v>0</v>
      </c>
      <c r="U173" s="133">
        <f t="shared" si="63"/>
        <v>0</v>
      </c>
      <c r="V173" s="133">
        <f t="shared" si="63"/>
        <v>0</v>
      </c>
      <c r="W173" s="133">
        <f t="shared" si="63"/>
        <v>0</v>
      </c>
      <c r="X173" s="133">
        <f t="shared" si="63"/>
        <v>0</v>
      </c>
      <c r="Y173" s="133">
        <f t="shared" si="63"/>
        <v>0</v>
      </c>
      <c r="Z173" s="133">
        <f t="shared" si="63"/>
        <v>0</v>
      </c>
      <c r="AA173" s="133">
        <f t="shared" si="63"/>
        <v>0</v>
      </c>
      <c r="AB173" s="133">
        <f t="shared" si="63"/>
        <v>0</v>
      </c>
      <c r="AC173" s="133">
        <f t="shared" si="63"/>
        <v>0</v>
      </c>
      <c r="AD173" s="133">
        <f t="shared" si="63"/>
        <v>0</v>
      </c>
      <c r="AE173" s="133">
        <f t="shared" si="63"/>
        <v>0</v>
      </c>
      <c r="AF173" s="133">
        <f t="shared" si="63"/>
        <v>0</v>
      </c>
      <c r="AG173" s="133">
        <f t="shared" si="63"/>
        <v>0</v>
      </c>
      <c r="AH173" s="133">
        <f t="shared" si="63"/>
        <v>0</v>
      </c>
      <c r="AI173" s="133">
        <f t="shared" si="63"/>
        <v>0</v>
      </c>
      <c r="AJ173" s="133">
        <f t="shared" si="63"/>
        <v>0</v>
      </c>
      <c r="AK173" s="133">
        <f t="shared" si="63"/>
        <v>0</v>
      </c>
      <c r="AL173" s="133">
        <f t="shared" si="63"/>
        <v>0</v>
      </c>
      <c r="AM173" s="133">
        <f t="shared" si="63"/>
        <v>0</v>
      </c>
      <c r="AN173" s="133">
        <f t="shared" si="63"/>
        <v>0</v>
      </c>
      <c r="AO173" s="133">
        <f t="shared" si="63"/>
        <v>0</v>
      </c>
      <c r="AP173" s="133">
        <f t="shared" si="63"/>
        <v>0</v>
      </c>
    </row>
    <row r="174" spans="1:42" x14ac:dyDescent="0.2">
      <c r="B174" s="104"/>
    </row>
    <row r="175" spans="1:42" x14ac:dyDescent="0.2">
      <c r="A175" s="19" t="s">
        <v>337</v>
      </c>
      <c r="B175" s="104"/>
    </row>
    <row r="176" spans="1:42" x14ac:dyDescent="0.2">
      <c r="A176" s="4" t="s">
        <v>357</v>
      </c>
      <c r="B176" s="115">
        <f>B173</f>
        <v>0</v>
      </c>
      <c r="C176" s="115">
        <f t="shared" ref="C176:AP176" si="64">C173</f>
        <v>0</v>
      </c>
      <c r="D176" s="115">
        <f t="shared" si="64"/>
        <v>0</v>
      </c>
      <c r="E176" s="115">
        <f t="shared" si="64"/>
        <v>0</v>
      </c>
      <c r="F176" s="115">
        <f t="shared" si="64"/>
        <v>0</v>
      </c>
      <c r="G176" s="115">
        <f t="shared" si="64"/>
        <v>0</v>
      </c>
      <c r="H176" s="115">
        <f t="shared" si="64"/>
        <v>0</v>
      </c>
      <c r="I176" s="115">
        <f t="shared" si="64"/>
        <v>0</v>
      </c>
      <c r="J176" s="115">
        <f t="shared" si="64"/>
        <v>0</v>
      </c>
      <c r="K176" s="115">
        <f t="shared" si="64"/>
        <v>0</v>
      </c>
      <c r="L176" s="115">
        <f t="shared" si="64"/>
        <v>0</v>
      </c>
      <c r="M176" s="115">
        <f t="shared" si="64"/>
        <v>0</v>
      </c>
      <c r="N176" s="115">
        <f t="shared" si="64"/>
        <v>0</v>
      </c>
      <c r="O176" s="115">
        <f t="shared" si="64"/>
        <v>0</v>
      </c>
      <c r="P176" s="115">
        <f t="shared" si="64"/>
        <v>0</v>
      </c>
      <c r="Q176" s="115">
        <f t="shared" si="64"/>
        <v>0</v>
      </c>
      <c r="R176" s="115">
        <f t="shared" si="64"/>
        <v>0</v>
      </c>
      <c r="S176" s="115">
        <f t="shared" si="64"/>
        <v>0</v>
      </c>
      <c r="T176" s="115">
        <f t="shared" si="64"/>
        <v>0</v>
      </c>
      <c r="U176" s="115">
        <f t="shared" si="64"/>
        <v>0</v>
      </c>
      <c r="V176" s="115">
        <f t="shared" si="64"/>
        <v>0</v>
      </c>
      <c r="W176" s="115">
        <f t="shared" si="64"/>
        <v>0</v>
      </c>
      <c r="X176" s="115">
        <f t="shared" si="64"/>
        <v>0</v>
      </c>
      <c r="Y176" s="115">
        <f t="shared" si="64"/>
        <v>0</v>
      </c>
      <c r="Z176" s="115">
        <f t="shared" si="64"/>
        <v>0</v>
      </c>
      <c r="AA176" s="115">
        <f t="shared" si="64"/>
        <v>0</v>
      </c>
      <c r="AB176" s="115">
        <f t="shared" si="64"/>
        <v>0</v>
      </c>
      <c r="AC176" s="115">
        <f t="shared" si="64"/>
        <v>0</v>
      </c>
      <c r="AD176" s="115">
        <f t="shared" si="64"/>
        <v>0</v>
      </c>
      <c r="AE176" s="115">
        <f t="shared" si="64"/>
        <v>0</v>
      </c>
      <c r="AF176" s="115">
        <f t="shared" si="64"/>
        <v>0</v>
      </c>
      <c r="AG176" s="115">
        <f t="shared" si="64"/>
        <v>0</v>
      </c>
      <c r="AH176" s="115">
        <f t="shared" si="64"/>
        <v>0</v>
      </c>
      <c r="AI176" s="115">
        <f t="shared" si="64"/>
        <v>0</v>
      </c>
      <c r="AJ176" s="115">
        <f t="shared" si="64"/>
        <v>0</v>
      </c>
      <c r="AK176" s="115">
        <f t="shared" si="64"/>
        <v>0</v>
      </c>
      <c r="AL176" s="115">
        <f t="shared" si="64"/>
        <v>0</v>
      </c>
      <c r="AM176" s="115">
        <f t="shared" si="64"/>
        <v>0</v>
      </c>
      <c r="AN176" s="115">
        <f t="shared" si="64"/>
        <v>0</v>
      </c>
      <c r="AO176" s="115">
        <f t="shared" si="64"/>
        <v>0</v>
      </c>
      <c r="AP176" s="115">
        <f t="shared" si="64"/>
        <v>0</v>
      </c>
    </row>
    <row r="177" spans="1:42" x14ac:dyDescent="0.2">
      <c r="A177" s="4" t="s">
        <v>342</v>
      </c>
      <c r="B177" s="115">
        <v>0</v>
      </c>
      <c r="C177" s="115">
        <f>C125-C196</f>
        <v>0</v>
      </c>
      <c r="D177" s="115">
        <v>0</v>
      </c>
      <c r="E177" s="115">
        <v>0</v>
      </c>
      <c r="F177" s="115">
        <v>0</v>
      </c>
      <c r="G177" s="115">
        <v>0</v>
      </c>
      <c r="H177" s="115">
        <v>0</v>
      </c>
      <c r="I177" s="115">
        <v>0</v>
      </c>
      <c r="J177" s="115">
        <v>0</v>
      </c>
      <c r="K177" s="115">
        <v>0</v>
      </c>
      <c r="L177" s="115">
        <v>0</v>
      </c>
      <c r="M177" s="115">
        <v>0</v>
      </c>
      <c r="N177" s="115">
        <v>0</v>
      </c>
      <c r="O177" s="115">
        <v>0</v>
      </c>
      <c r="P177" s="115">
        <v>0</v>
      </c>
      <c r="Q177" s="115">
        <v>0</v>
      </c>
      <c r="R177" s="115">
        <v>0</v>
      </c>
      <c r="S177" s="115">
        <v>0</v>
      </c>
      <c r="T177" s="115">
        <v>0</v>
      </c>
      <c r="U177" s="115">
        <v>0</v>
      </c>
      <c r="V177" s="115">
        <v>0</v>
      </c>
      <c r="W177" s="115">
        <v>0</v>
      </c>
      <c r="X177" s="115">
        <v>0</v>
      </c>
      <c r="Y177" s="115">
        <v>0</v>
      </c>
      <c r="Z177" s="115">
        <v>0</v>
      </c>
      <c r="AA177" s="115">
        <v>0</v>
      </c>
      <c r="AB177" s="115">
        <v>0</v>
      </c>
      <c r="AC177" s="115">
        <v>0</v>
      </c>
      <c r="AD177" s="115">
        <v>0</v>
      </c>
      <c r="AE177" s="115">
        <v>0</v>
      </c>
      <c r="AF177" s="115">
        <v>0</v>
      </c>
      <c r="AG177" s="115">
        <v>0</v>
      </c>
      <c r="AH177" s="115">
        <v>0</v>
      </c>
      <c r="AI177" s="115">
        <v>0</v>
      </c>
      <c r="AJ177" s="115">
        <v>0</v>
      </c>
      <c r="AK177" s="115">
        <v>0</v>
      </c>
      <c r="AL177" s="115">
        <v>0</v>
      </c>
      <c r="AM177" s="115">
        <v>0</v>
      </c>
      <c r="AN177" s="115">
        <v>0</v>
      </c>
      <c r="AO177" s="115">
        <v>0</v>
      </c>
      <c r="AP177" s="115">
        <v>0</v>
      </c>
    </row>
    <row r="178" spans="1:42" x14ac:dyDescent="0.2">
      <c r="A178" s="4" t="s">
        <v>343</v>
      </c>
      <c r="B178" s="115">
        <v>0</v>
      </c>
      <c r="C178" s="115">
        <f t="shared" ref="C178:AP178" si="65">C129-C197</f>
        <v>0</v>
      </c>
      <c r="D178" s="115">
        <f t="shared" si="65"/>
        <v>0</v>
      </c>
      <c r="E178" s="115">
        <f t="shared" si="65"/>
        <v>0</v>
      </c>
      <c r="F178" s="115">
        <f t="shared" si="65"/>
        <v>0</v>
      </c>
      <c r="G178" s="115">
        <f t="shared" si="65"/>
        <v>0</v>
      </c>
      <c r="H178" s="115">
        <f t="shared" si="65"/>
        <v>0</v>
      </c>
      <c r="I178" s="115">
        <f t="shared" si="65"/>
        <v>0</v>
      </c>
      <c r="J178" s="115">
        <f t="shared" si="65"/>
        <v>0</v>
      </c>
      <c r="K178" s="115">
        <f t="shared" si="65"/>
        <v>0</v>
      </c>
      <c r="L178" s="115">
        <f t="shared" si="65"/>
        <v>0</v>
      </c>
      <c r="M178" s="115">
        <f t="shared" si="65"/>
        <v>0</v>
      </c>
      <c r="N178" s="115">
        <f t="shared" si="65"/>
        <v>0</v>
      </c>
      <c r="O178" s="115">
        <f t="shared" si="65"/>
        <v>0</v>
      </c>
      <c r="P178" s="115">
        <f t="shared" si="65"/>
        <v>0</v>
      </c>
      <c r="Q178" s="115">
        <f t="shared" si="65"/>
        <v>0</v>
      </c>
      <c r="R178" s="115">
        <f t="shared" si="65"/>
        <v>0</v>
      </c>
      <c r="S178" s="115">
        <f t="shared" si="65"/>
        <v>0</v>
      </c>
      <c r="T178" s="115">
        <f t="shared" si="65"/>
        <v>0</v>
      </c>
      <c r="U178" s="115">
        <f t="shared" si="65"/>
        <v>0</v>
      </c>
      <c r="V178" s="115">
        <f t="shared" si="65"/>
        <v>0</v>
      </c>
      <c r="W178" s="115">
        <f t="shared" si="65"/>
        <v>0</v>
      </c>
      <c r="X178" s="115">
        <f t="shared" si="65"/>
        <v>0</v>
      </c>
      <c r="Y178" s="115">
        <f t="shared" si="65"/>
        <v>0</v>
      </c>
      <c r="Z178" s="115">
        <f t="shared" si="65"/>
        <v>0</v>
      </c>
      <c r="AA178" s="115">
        <f t="shared" si="65"/>
        <v>0</v>
      </c>
      <c r="AB178" s="115">
        <f t="shared" si="65"/>
        <v>0</v>
      </c>
      <c r="AC178" s="115">
        <f t="shared" si="65"/>
        <v>0</v>
      </c>
      <c r="AD178" s="115">
        <f t="shared" si="65"/>
        <v>0</v>
      </c>
      <c r="AE178" s="115">
        <f t="shared" si="65"/>
        <v>0</v>
      </c>
      <c r="AF178" s="115">
        <f t="shared" si="65"/>
        <v>0</v>
      </c>
      <c r="AG178" s="115">
        <f t="shared" si="65"/>
        <v>0</v>
      </c>
      <c r="AH178" s="115">
        <f t="shared" si="65"/>
        <v>0</v>
      </c>
      <c r="AI178" s="115">
        <f t="shared" si="65"/>
        <v>0</v>
      </c>
      <c r="AJ178" s="115">
        <f t="shared" si="65"/>
        <v>0</v>
      </c>
      <c r="AK178" s="115">
        <f t="shared" si="65"/>
        <v>0</v>
      </c>
      <c r="AL178" s="115">
        <f t="shared" si="65"/>
        <v>0</v>
      </c>
      <c r="AM178" s="115">
        <f t="shared" si="65"/>
        <v>0</v>
      </c>
      <c r="AN178" s="115">
        <f t="shared" si="65"/>
        <v>0</v>
      </c>
      <c r="AO178" s="115">
        <f t="shared" si="65"/>
        <v>0</v>
      </c>
      <c r="AP178" s="115">
        <f t="shared" si="65"/>
        <v>0</v>
      </c>
    </row>
    <row r="179" spans="1:42" x14ac:dyDescent="0.2">
      <c r="A179" s="4" t="s">
        <v>349</v>
      </c>
      <c r="B179" s="115">
        <v>0</v>
      </c>
      <c r="C179" s="115">
        <f t="shared" ref="C179:AP179" si="66">C133-C198</f>
        <v>0</v>
      </c>
      <c r="D179" s="115">
        <f t="shared" si="66"/>
        <v>0</v>
      </c>
      <c r="E179" s="115">
        <f t="shared" si="66"/>
        <v>0</v>
      </c>
      <c r="F179" s="115">
        <f t="shared" si="66"/>
        <v>0</v>
      </c>
      <c r="G179" s="115">
        <f t="shared" si="66"/>
        <v>0</v>
      </c>
      <c r="H179" s="115">
        <f t="shared" si="66"/>
        <v>0</v>
      </c>
      <c r="I179" s="115">
        <f t="shared" si="66"/>
        <v>0</v>
      </c>
      <c r="J179" s="115">
        <f t="shared" si="66"/>
        <v>0</v>
      </c>
      <c r="K179" s="115">
        <f t="shared" si="66"/>
        <v>0</v>
      </c>
      <c r="L179" s="115">
        <f t="shared" si="66"/>
        <v>0</v>
      </c>
      <c r="M179" s="115">
        <f t="shared" si="66"/>
        <v>0</v>
      </c>
      <c r="N179" s="115">
        <f t="shared" si="66"/>
        <v>0</v>
      </c>
      <c r="O179" s="115">
        <f t="shared" si="66"/>
        <v>0</v>
      </c>
      <c r="P179" s="115">
        <f t="shared" si="66"/>
        <v>0</v>
      </c>
      <c r="Q179" s="115">
        <f t="shared" si="66"/>
        <v>0</v>
      </c>
      <c r="R179" s="115">
        <f t="shared" si="66"/>
        <v>0</v>
      </c>
      <c r="S179" s="115">
        <f t="shared" si="66"/>
        <v>0</v>
      </c>
      <c r="T179" s="115">
        <f t="shared" si="66"/>
        <v>0</v>
      </c>
      <c r="U179" s="115">
        <f t="shared" si="66"/>
        <v>0</v>
      </c>
      <c r="V179" s="115">
        <f t="shared" si="66"/>
        <v>0</v>
      </c>
      <c r="W179" s="115">
        <f t="shared" si="66"/>
        <v>0</v>
      </c>
      <c r="X179" s="115">
        <f t="shared" si="66"/>
        <v>0</v>
      </c>
      <c r="Y179" s="115">
        <f t="shared" si="66"/>
        <v>0</v>
      </c>
      <c r="Z179" s="115">
        <f t="shared" si="66"/>
        <v>0</v>
      </c>
      <c r="AA179" s="115">
        <f t="shared" si="66"/>
        <v>0</v>
      </c>
      <c r="AB179" s="115">
        <f t="shared" si="66"/>
        <v>0</v>
      </c>
      <c r="AC179" s="115">
        <f t="shared" si="66"/>
        <v>0</v>
      </c>
      <c r="AD179" s="115">
        <f t="shared" si="66"/>
        <v>0</v>
      </c>
      <c r="AE179" s="115">
        <f t="shared" si="66"/>
        <v>0</v>
      </c>
      <c r="AF179" s="115">
        <f t="shared" si="66"/>
        <v>0</v>
      </c>
      <c r="AG179" s="115">
        <f t="shared" si="66"/>
        <v>0</v>
      </c>
      <c r="AH179" s="115">
        <f t="shared" si="66"/>
        <v>0</v>
      </c>
      <c r="AI179" s="115">
        <f t="shared" si="66"/>
        <v>0</v>
      </c>
      <c r="AJ179" s="115">
        <f t="shared" si="66"/>
        <v>0</v>
      </c>
      <c r="AK179" s="115">
        <f t="shared" si="66"/>
        <v>0</v>
      </c>
      <c r="AL179" s="115">
        <f t="shared" si="66"/>
        <v>0</v>
      </c>
      <c r="AM179" s="115">
        <f t="shared" si="66"/>
        <v>0</v>
      </c>
      <c r="AN179" s="115">
        <f t="shared" si="66"/>
        <v>0</v>
      </c>
      <c r="AO179" s="115">
        <f t="shared" si="66"/>
        <v>0</v>
      </c>
      <c r="AP179" s="115">
        <f t="shared" si="66"/>
        <v>0</v>
      </c>
    </row>
    <row r="180" spans="1:42" x14ac:dyDescent="0.2">
      <c r="A180" s="4" t="s">
        <v>353</v>
      </c>
      <c r="B180" s="115">
        <v>0</v>
      </c>
      <c r="C180" s="115">
        <f>-Inputs!C86</f>
        <v>0</v>
      </c>
      <c r="D180" s="115">
        <v>0</v>
      </c>
      <c r="E180" s="115">
        <v>0</v>
      </c>
      <c r="F180" s="115">
        <v>0</v>
      </c>
      <c r="G180" s="115">
        <v>0</v>
      </c>
      <c r="H180" s="115">
        <v>0</v>
      </c>
      <c r="I180" s="115">
        <v>0</v>
      </c>
      <c r="J180" s="115">
        <v>0</v>
      </c>
      <c r="K180" s="115">
        <v>0</v>
      </c>
      <c r="L180" s="115">
        <v>0</v>
      </c>
      <c r="M180" s="115">
        <v>0</v>
      </c>
      <c r="N180" s="115">
        <v>0</v>
      </c>
      <c r="O180" s="115">
        <v>0</v>
      </c>
      <c r="P180" s="115">
        <v>0</v>
      </c>
      <c r="Q180" s="115">
        <v>0</v>
      </c>
      <c r="R180" s="115">
        <v>0</v>
      </c>
      <c r="S180" s="115">
        <v>0</v>
      </c>
      <c r="T180" s="115">
        <v>0</v>
      </c>
      <c r="U180" s="115">
        <v>0</v>
      </c>
      <c r="V180" s="115">
        <v>0</v>
      </c>
      <c r="W180" s="115">
        <v>0</v>
      </c>
      <c r="X180" s="115">
        <v>0</v>
      </c>
      <c r="Y180" s="115">
        <v>0</v>
      </c>
      <c r="Z180" s="115">
        <v>0</v>
      </c>
      <c r="AA180" s="115">
        <v>0</v>
      </c>
      <c r="AB180" s="115">
        <v>0</v>
      </c>
      <c r="AC180" s="115">
        <v>0</v>
      </c>
      <c r="AD180" s="115">
        <v>0</v>
      </c>
      <c r="AE180" s="115">
        <v>0</v>
      </c>
      <c r="AF180" s="115">
        <v>0</v>
      </c>
      <c r="AG180" s="115">
        <v>0</v>
      </c>
      <c r="AH180" s="115">
        <v>0</v>
      </c>
      <c r="AI180" s="115">
        <v>0</v>
      </c>
      <c r="AJ180" s="115">
        <v>0</v>
      </c>
      <c r="AK180" s="115">
        <v>0</v>
      </c>
      <c r="AL180" s="115">
        <v>0</v>
      </c>
      <c r="AM180" s="115">
        <v>0</v>
      </c>
      <c r="AN180" s="115">
        <v>0</v>
      </c>
      <c r="AO180" s="115">
        <v>0</v>
      </c>
      <c r="AP180" s="115">
        <v>0</v>
      </c>
    </row>
    <row r="181" spans="1:42" x14ac:dyDescent="0.2">
      <c r="A181" s="27" t="s">
        <v>13</v>
      </c>
      <c r="B181" s="133">
        <f t="shared" ref="B181:AP181" si="67">SUM(B176:B180)</f>
        <v>0</v>
      </c>
      <c r="C181" s="133">
        <f t="shared" si="67"/>
        <v>0</v>
      </c>
      <c r="D181" s="133">
        <f t="shared" si="67"/>
        <v>0</v>
      </c>
      <c r="E181" s="133">
        <f t="shared" si="67"/>
        <v>0</v>
      </c>
      <c r="F181" s="133">
        <f t="shared" si="67"/>
        <v>0</v>
      </c>
      <c r="G181" s="133">
        <f t="shared" si="67"/>
        <v>0</v>
      </c>
      <c r="H181" s="133">
        <f t="shared" si="67"/>
        <v>0</v>
      </c>
      <c r="I181" s="133">
        <f t="shared" si="67"/>
        <v>0</v>
      </c>
      <c r="J181" s="133">
        <f t="shared" si="67"/>
        <v>0</v>
      </c>
      <c r="K181" s="133">
        <f t="shared" si="67"/>
        <v>0</v>
      </c>
      <c r="L181" s="133">
        <f t="shared" si="67"/>
        <v>0</v>
      </c>
      <c r="M181" s="133">
        <f t="shared" si="67"/>
        <v>0</v>
      </c>
      <c r="N181" s="133">
        <f t="shared" si="67"/>
        <v>0</v>
      </c>
      <c r="O181" s="133">
        <f t="shared" si="67"/>
        <v>0</v>
      </c>
      <c r="P181" s="133">
        <f t="shared" si="67"/>
        <v>0</v>
      </c>
      <c r="Q181" s="133">
        <f t="shared" si="67"/>
        <v>0</v>
      </c>
      <c r="R181" s="133">
        <f t="shared" si="67"/>
        <v>0</v>
      </c>
      <c r="S181" s="133">
        <f t="shared" si="67"/>
        <v>0</v>
      </c>
      <c r="T181" s="133">
        <f t="shared" si="67"/>
        <v>0</v>
      </c>
      <c r="U181" s="133">
        <f t="shared" si="67"/>
        <v>0</v>
      </c>
      <c r="V181" s="133">
        <f t="shared" si="67"/>
        <v>0</v>
      </c>
      <c r="W181" s="133">
        <f t="shared" si="67"/>
        <v>0</v>
      </c>
      <c r="X181" s="133">
        <f t="shared" si="67"/>
        <v>0</v>
      </c>
      <c r="Y181" s="133">
        <f t="shared" si="67"/>
        <v>0</v>
      </c>
      <c r="Z181" s="133">
        <f t="shared" si="67"/>
        <v>0</v>
      </c>
      <c r="AA181" s="133">
        <f t="shared" si="67"/>
        <v>0</v>
      </c>
      <c r="AB181" s="133">
        <f t="shared" si="67"/>
        <v>0</v>
      </c>
      <c r="AC181" s="133">
        <f t="shared" si="67"/>
        <v>0</v>
      </c>
      <c r="AD181" s="133">
        <f t="shared" si="67"/>
        <v>0</v>
      </c>
      <c r="AE181" s="133">
        <f t="shared" si="67"/>
        <v>0</v>
      </c>
      <c r="AF181" s="133">
        <f t="shared" si="67"/>
        <v>0</v>
      </c>
      <c r="AG181" s="133">
        <f t="shared" si="67"/>
        <v>0</v>
      </c>
      <c r="AH181" s="133">
        <f t="shared" si="67"/>
        <v>0</v>
      </c>
      <c r="AI181" s="133">
        <f t="shared" si="67"/>
        <v>0</v>
      </c>
      <c r="AJ181" s="133">
        <f t="shared" si="67"/>
        <v>0</v>
      </c>
      <c r="AK181" s="133">
        <f t="shared" si="67"/>
        <v>0</v>
      </c>
      <c r="AL181" s="133">
        <f t="shared" si="67"/>
        <v>0</v>
      </c>
      <c r="AM181" s="133">
        <f t="shared" si="67"/>
        <v>0</v>
      </c>
      <c r="AN181" s="133">
        <f t="shared" si="67"/>
        <v>0</v>
      </c>
      <c r="AO181" s="133">
        <f t="shared" si="67"/>
        <v>0</v>
      </c>
      <c r="AP181" s="133">
        <f t="shared" si="67"/>
        <v>0</v>
      </c>
    </row>
    <row r="182" spans="1:42" x14ac:dyDescent="0.2">
      <c r="B182" s="104"/>
    </row>
    <row r="183" spans="1:42" x14ac:dyDescent="0.2">
      <c r="A183" s="4" t="s">
        <v>344</v>
      </c>
      <c r="B183" s="289">
        <v>0</v>
      </c>
      <c r="C183" s="289" t="str">
        <f>IF(ISERROR(IRR($B181:C181)),"NaN",ROUND(IRR($B181:C181)*100,4))</f>
        <v>NaN</v>
      </c>
      <c r="D183" s="289" t="str">
        <f>IF(ISERROR(IRR($B181:D181)),"NaN",ROUND(IRR($B181:D181)*100,4))</f>
        <v>NaN</v>
      </c>
      <c r="E183" s="289" t="str">
        <f>IF(ISERROR(IRR($B181:E181)),"NaN",ROUND(IRR($B181:E181)*100,4))</f>
        <v>NaN</v>
      </c>
      <c r="F183" s="289" t="str">
        <f>IF(ISERROR(IRR($B181:F181)),"NaN",ROUND(IRR($B181:F181)*100,4))</f>
        <v>NaN</v>
      </c>
      <c r="G183" s="289" t="str">
        <f>IF(ISERROR(IRR($B181:G181)),"NaN",ROUND(IRR($B181:G181)*100,4))</f>
        <v>NaN</v>
      </c>
      <c r="H183" s="289" t="str">
        <f>IF(ISERROR(IRR($B181:H181)),"NaN",ROUND(IRR($B181:H181)*100,4))</f>
        <v>NaN</v>
      </c>
      <c r="I183" s="289" t="str">
        <f>IF(ISERROR(IRR($B181:I181)),"NaN",ROUND(IRR($B181:I181)*100,4))</f>
        <v>NaN</v>
      </c>
      <c r="J183" s="289" t="str">
        <f>IF(ISERROR(IRR($B181:J181)),"NaN",ROUND(IRR($B181:J181)*100,4))</f>
        <v>NaN</v>
      </c>
      <c r="K183" s="289" t="str">
        <f>IF(ISERROR(IRR($B181:K181)),"NaN",ROUND(IRR($B181:K181)*100,4))</f>
        <v>NaN</v>
      </c>
      <c r="L183" s="289" t="str">
        <f>IF(ISERROR(IRR($B181:L181)),"NaN",ROUND(IRR($B181:L181)*100,4))</f>
        <v>NaN</v>
      </c>
      <c r="M183" s="289" t="str">
        <f>IF(ISERROR(IRR($B181:M181)),"NaN",ROUND(IRR($B181:M181)*100,4))</f>
        <v>NaN</v>
      </c>
      <c r="N183" s="289" t="str">
        <f>IF(ISERROR(IRR($B181:N181)),"NaN",ROUND(IRR($B181:N181)*100,4))</f>
        <v>NaN</v>
      </c>
      <c r="O183" s="289" t="str">
        <f>IF(ISERROR(IRR($B181:O181)),"NaN",ROUND(IRR($B181:O181)*100,4))</f>
        <v>NaN</v>
      </c>
      <c r="P183" s="289" t="str">
        <f>IF(ISERROR(IRR($B181:P181)),"NaN",ROUND(IRR($B181:P181)*100,4))</f>
        <v>NaN</v>
      </c>
      <c r="Q183" s="289" t="str">
        <f>IF(ISERROR(IRR($B181:Q181)),"NaN",ROUND(IRR($B181:Q181)*100,4))</f>
        <v>NaN</v>
      </c>
      <c r="R183" s="289" t="str">
        <f>IF(ISERROR(IRR($B181:R181)),"NaN",ROUND(IRR($B181:R181)*100,4))</f>
        <v>NaN</v>
      </c>
      <c r="S183" s="289" t="str">
        <f>IF(ISERROR(IRR($B181:S181)),"NaN",ROUND(IRR($B181:S181)*100,4))</f>
        <v>NaN</v>
      </c>
      <c r="T183" s="289" t="str">
        <f>IF(ISERROR(IRR($B181:T181)),"NaN",ROUND(IRR($B181:T181)*100,4))</f>
        <v>NaN</v>
      </c>
      <c r="U183" s="289" t="str">
        <f>IF(ISERROR(IRR($B181:U181)),"NaN",ROUND(IRR($B181:U181)*100,4))</f>
        <v>NaN</v>
      </c>
      <c r="V183" s="289" t="str">
        <f>IF(ISERROR(IRR($B181:V181)),"NaN",ROUND(IRR($B181:V181)*100,4))</f>
        <v>NaN</v>
      </c>
      <c r="W183" s="289" t="str">
        <f>IF(ISERROR(IRR($B181:W181)),"NaN",ROUND(IRR($B181:W181)*100,4))</f>
        <v>NaN</v>
      </c>
      <c r="X183" s="289" t="str">
        <f>IF(ISERROR(IRR($B181:X181)),"NaN",ROUND(IRR($B181:X181)*100,4))</f>
        <v>NaN</v>
      </c>
      <c r="Y183" s="289" t="str">
        <f>IF(ISERROR(IRR($B181:Y181)),"NaN",ROUND(IRR($B181:Y181)*100,4))</f>
        <v>NaN</v>
      </c>
      <c r="Z183" s="289" t="str">
        <f>IF(ISERROR(IRR($B181:Z181)),"NaN",ROUND(IRR($B181:Z181)*100,4))</f>
        <v>NaN</v>
      </c>
      <c r="AA183" s="289" t="str">
        <f>IF(ISERROR(IRR($B181:AA181)),"NaN",ROUND(IRR($B181:AA181)*100,4))</f>
        <v>NaN</v>
      </c>
      <c r="AB183" s="289" t="str">
        <f>IF(ISERROR(IRR($B181:AB181)),"NaN",ROUND(IRR($B181:AB181)*100,4))</f>
        <v>NaN</v>
      </c>
      <c r="AC183" s="289" t="str">
        <f>IF(ISERROR(IRR($B181:AC181)),"NaN",ROUND(IRR($B181:AC181)*100,4))</f>
        <v>NaN</v>
      </c>
      <c r="AD183" s="289" t="str">
        <f>IF(ISERROR(IRR($B181:AD181)),"NaN",ROUND(IRR($B181:AD181)*100,4))</f>
        <v>NaN</v>
      </c>
      <c r="AE183" s="289" t="str">
        <f>IF(ISERROR(IRR($B181:AE181)),"NaN",ROUND(IRR($B181:AE181)*100,4))</f>
        <v>NaN</v>
      </c>
      <c r="AF183" s="289" t="str">
        <f>IF(ISERROR(IRR($B181:AF181)),"NaN",ROUND(IRR($B181:AF181)*100,4))</f>
        <v>NaN</v>
      </c>
      <c r="AG183" s="289" t="str">
        <f>IF(ISERROR(IRR($B181:AG181)),"NaN",ROUND(IRR($B181:AG181)*100,4))</f>
        <v>NaN</v>
      </c>
      <c r="AH183" s="289" t="str">
        <f>IF(ISERROR(IRR($B181:AH181)),"NaN",ROUND(IRR($B181:AH181)*100,4))</f>
        <v>NaN</v>
      </c>
      <c r="AI183" s="289" t="str">
        <f>IF(ISERROR(IRR($B181:AI181)),"NaN",ROUND(IRR($B181:AI181)*100,4))</f>
        <v>NaN</v>
      </c>
      <c r="AJ183" s="289" t="str">
        <f>IF(ISERROR(IRR($B181:AJ181)),"NaN",ROUND(IRR($B181:AJ181)*100,4))</f>
        <v>NaN</v>
      </c>
      <c r="AK183" s="289" t="str">
        <f>IF(ISERROR(IRR($B181:AK181)),"NaN",ROUND(IRR($B181:AK181)*100,4))</f>
        <v>NaN</v>
      </c>
      <c r="AL183" s="289" t="str">
        <f>IF(ISERROR(IRR($B181:AL181)),"NaN",ROUND(IRR($B181:AL181)*100,4))</f>
        <v>NaN</v>
      </c>
      <c r="AM183" s="289" t="str">
        <f>IF(ISERROR(IRR($B181:AM181)),"NaN",ROUND(IRR($B181:AM181)*100,4))</f>
        <v>NaN</v>
      </c>
      <c r="AN183" s="289" t="str">
        <f>IF(ISERROR(IRR($B181:AN181)),"NaN",ROUND(IRR($B181:AN181)*100,4))</f>
        <v>NaN</v>
      </c>
      <c r="AO183" s="289" t="str">
        <f>IF(ISERROR(IRR($B181:AO181)),"NaN",ROUND(IRR($B181:AO181)*100,4))</f>
        <v>NaN</v>
      </c>
      <c r="AP183" s="289" t="str">
        <f>IF(ISERROR(IRR($B181:AP181)),"NaN",ROUND(IRR($B181:AP181)*100,4))</f>
        <v>NaN</v>
      </c>
    </row>
    <row r="184" spans="1:42" x14ac:dyDescent="0.2">
      <c r="A184" s="4" t="s">
        <v>8</v>
      </c>
      <c r="B184" s="289">
        <v>0</v>
      </c>
      <c r="C184" s="289">
        <f>MAX($B$183:C183)</f>
        <v>0</v>
      </c>
      <c r="D184" s="289">
        <f>MAX($B$183:D183)</f>
        <v>0</v>
      </c>
      <c r="E184" s="289">
        <f>MAX($B$183:E183)</f>
        <v>0</v>
      </c>
      <c r="F184" s="289">
        <f>MAX($B$183:F183)</f>
        <v>0</v>
      </c>
      <c r="G184" s="289">
        <f>MAX($B$183:G183)</f>
        <v>0</v>
      </c>
      <c r="H184" s="289">
        <f>MAX($B$183:H183)</f>
        <v>0</v>
      </c>
      <c r="I184" s="289">
        <f>MAX($B$183:I183)</f>
        <v>0</v>
      </c>
      <c r="J184" s="289">
        <f>MAX($B$183:J183)</f>
        <v>0</v>
      </c>
      <c r="K184" s="289">
        <f>MAX($B$183:K183)</f>
        <v>0</v>
      </c>
      <c r="L184" s="289">
        <f>MAX($B$183:L183)</f>
        <v>0</v>
      </c>
      <c r="M184" s="289">
        <f>MAX($B$183:M183)</f>
        <v>0</v>
      </c>
      <c r="N184" s="289">
        <f>MAX($B$183:N183)</f>
        <v>0</v>
      </c>
      <c r="O184" s="289">
        <f>MAX($B$183:O183)</f>
        <v>0</v>
      </c>
      <c r="P184" s="289">
        <f>MAX($B$183:P183)</f>
        <v>0</v>
      </c>
      <c r="Q184" s="289">
        <f>MAX($B$183:Q183)</f>
        <v>0</v>
      </c>
      <c r="R184" s="289">
        <f>MAX($B$183:R183)</f>
        <v>0</v>
      </c>
      <c r="S184" s="289">
        <f>MAX($B$183:S183)</f>
        <v>0</v>
      </c>
      <c r="T184" s="289">
        <f>MAX($B$183:T183)</f>
        <v>0</v>
      </c>
      <c r="U184" s="289">
        <f>MAX($B$183:U183)</f>
        <v>0</v>
      </c>
      <c r="V184" s="289">
        <f>MAX($B$183:V183)</f>
        <v>0</v>
      </c>
      <c r="W184" s="289">
        <f>MAX($B$183:W183)</f>
        <v>0</v>
      </c>
      <c r="X184" s="289">
        <f>MAX($B$183:X183)</f>
        <v>0</v>
      </c>
      <c r="Y184" s="289">
        <f>MAX($B$183:Y183)</f>
        <v>0</v>
      </c>
      <c r="Z184" s="289">
        <f>MAX($B$183:Z183)</f>
        <v>0</v>
      </c>
      <c r="AA184" s="289">
        <f>MAX($B$183:AA183)</f>
        <v>0</v>
      </c>
      <c r="AB184" s="289">
        <f>MAX($B$183:AB183)</f>
        <v>0</v>
      </c>
      <c r="AC184" s="289">
        <f>MAX($B$183:AC183)</f>
        <v>0</v>
      </c>
      <c r="AD184" s="289">
        <f>MAX($B$183:AD183)</f>
        <v>0</v>
      </c>
      <c r="AE184" s="289">
        <f>MAX($B$183:AE183)</f>
        <v>0</v>
      </c>
      <c r="AF184" s="289">
        <f>MAX($B$183:AF183)</f>
        <v>0</v>
      </c>
      <c r="AG184" s="289">
        <f>MAX($B$183:AG183)</f>
        <v>0</v>
      </c>
      <c r="AH184" s="289">
        <f>MAX($B$183:AH183)</f>
        <v>0</v>
      </c>
      <c r="AI184" s="289">
        <f>MAX($B$183:AI183)</f>
        <v>0</v>
      </c>
      <c r="AJ184" s="289">
        <f>MAX($B$183:AJ183)</f>
        <v>0</v>
      </c>
      <c r="AK184" s="289">
        <f>MAX($B$183:AK183)</f>
        <v>0</v>
      </c>
      <c r="AL184" s="289">
        <f>MAX($B$183:AL183)</f>
        <v>0</v>
      </c>
      <c r="AM184" s="289">
        <f>MAX($B$183:AM183)</f>
        <v>0</v>
      </c>
      <c r="AN184" s="289">
        <f>MAX($B$183:AN183)</f>
        <v>0</v>
      </c>
      <c r="AO184" s="289">
        <f>MAX($B$183:AO183)</f>
        <v>0</v>
      </c>
      <c r="AP184" s="289">
        <f>MAX($B$183:AP183)</f>
        <v>0</v>
      </c>
    </row>
    <row r="185" spans="1:42" x14ac:dyDescent="0.2">
      <c r="B185" s="104"/>
    </row>
    <row r="186" spans="1:42" x14ac:dyDescent="0.2">
      <c r="A186" s="4" t="s">
        <v>345</v>
      </c>
      <c r="B186" s="174">
        <f>B181+NPV(NominalDiscountRate/100,C181:AP181)</f>
        <v>0</v>
      </c>
    </row>
    <row r="187" spans="1:42" x14ac:dyDescent="0.2">
      <c r="B187" s="104"/>
    </row>
    <row r="188" spans="1:42" x14ac:dyDescent="0.2">
      <c r="A188" s="80" t="s">
        <v>335</v>
      </c>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row>
    <row r="189" spans="1:42" x14ac:dyDescent="0.2">
      <c r="A189" s="19" t="s">
        <v>338</v>
      </c>
      <c r="B189" s="104"/>
    </row>
    <row r="190" spans="1:42" x14ac:dyDescent="0.2">
      <c r="A190" s="4" t="s">
        <v>340</v>
      </c>
      <c r="B190" s="115">
        <f>-B111*tax_investor_equity_percent/100</f>
        <v>0</v>
      </c>
      <c r="C190" s="115">
        <v>0</v>
      </c>
      <c r="D190" s="115">
        <v>0</v>
      </c>
      <c r="E190" s="115">
        <v>0</v>
      </c>
      <c r="F190" s="115">
        <v>0</v>
      </c>
      <c r="G190" s="115">
        <v>0</v>
      </c>
      <c r="H190" s="115">
        <v>0</v>
      </c>
      <c r="I190" s="115">
        <v>0</v>
      </c>
      <c r="J190" s="115">
        <v>0</v>
      </c>
      <c r="K190" s="115">
        <v>0</v>
      </c>
      <c r="L190" s="115">
        <v>0</v>
      </c>
      <c r="M190" s="115">
        <v>0</v>
      </c>
      <c r="N190" s="115">
        <v>0</v>
      </c>
      <c r="O190" s="115">
        <v>0</v>
      </c>
      <c r="P190" s="115">
        <v>0</v>
      </c>
      <c r="Q190" s="115">
        <v>0</v>
      </c>
      <c r="R190" s="115">
        <v>0</v>
      </c>
      <c r="S190" s="115">
        <v>0</v>
      </c>
      <c r="T190" s="115">
        <v>0</v>
      </c>
      <c r="U190" s="115">
        <v>0</v>
      </c>
      <c r="V190" s="115">
        <v>0</v>
      </c>
      <c r="W190" s="115">
        <v>0</v>
      </c>
      <c r="X190" s="115">
        <v>0</v>
      </c>
      <c r="Y190" s="115">
        <v>0</v>
      </c>
      <c r="Z190" s="115">
        <v>0</v>
      </c>
      <c r="AA190" s="115">
        <v>0</v>
      </c>
      <c r="AB190" s="115">
        <v>0</v>
      </c>
      <c r="AC190" s="115">
        <v>0</v>
      </c>
      <c r="AD190" s="115">
        <v>0</v>
      </c>
      <c r="AE190" s="115">
        <v>0</v>
      </c>
      <c r="AF190" s="115">
        <v>0</v>
      </c>
      <c r="AG190" s="115">
        <v>0</v>
      </c>
      <c r="AH190" s="115">
        <v>0</v>
      </c>
      <c r="AI190" s="115">
        <v>0</v>
      </c>
      <c r="AJ190" s="115">
        <v>0</v>
      </c>
      <c r="AK190" s="115">
        <v>0</v>
      </c>
      <c r="AL190" s="115">
        <v>0</v>
      </c>
      <c r="AM190" s="115">
        <v>0</v>
      </c>
      <c r="AN190" s="115">
        <v>0</v>
      </c>
      <c r="AO190" s="115">
        <v>0</v>
      </c>
      <c r="AP190" s="115">
        <v>0</v>
      </c>
    </row>
    <row r="191" spans="1:42" x14ac:dyDescent="0.2">
      <c r="A191" s="4" t="s">
        <v>354</v>
      </c>
      <c r="B191" s="115">
        <v>0</v>
      </c>
      <c r="C191" s="115">
        <f t="shared" ref="C191:AP191" si="68">IF(B$2&lt;flip_actual_year,tax_investor_preflip_cash_percent,tax_investor_postflip_cash_percent)/100*(C118+C166)</f>
        <v>0</v>
      </c>
      <c r="D191" s="115">
        <f t="shared" si="68"/>
        <v>0</v>
      </c>
      <c r="E191" s="115">
        <f t="shared" si="68"/>
        <v>0</v>
      </c>
      <c r="F191" s="115">
        <f t="shared" si="68"/>
        <v>0</v>
      </c>
      <c r="G191" s="115">
        <f t="shared" si="68"/>
        <v>0</v>
      </c>
      <c r="H191" s="115">
        <f t="shared" si="68"/>
        <v>0</v>
      </c>
      <c r="I191" s="115">
        <f t="shared" si="68"/>
        <v>0</v>
      </c>
      <c r="J191" s="115">
        <f t="shared" si="68"/>
        <v>0</v>
      </c>
      <c r="K191" s="115">
        <f t="shared" si="68"/>
        <v>0</v>
      </c>
      <c r="L191" s="115">
        <f t="shared" si="68"/>
        <v>0</v>
      </c>
      <c r="M191" s="115">
        <f t="shared" si="68"/>
        <v>0</v>
      </c>
      <c r="N191" s="115">
        <f t="shared" si="68"/>
        <v>0</v>
      </c>
      <c r="O191" s="115">
        <f t="shared" si="68"/>
        <v>0</v>
      </c>
      <c r="P191" s="115">
        <f t="shared" si="68"/>
        <v>0</v>
      </c>
      <c r="Q191" s="115">
        <f t="shared" si="68"/>
        <v>0</v>
      </c>
      <c r="R191" s="115">
        <f t="shared" si="68"/>
        <v>0</v>
      </c>
      <c r="S191" s="115">
        <f t="shared" si="68"/>
        <v>0</v>
      </c>
      <c r="T191" s="115">
        <f t="shared" si="68"/>
        <v>0</v>
      </c>
      <c r="U191" s="115">
        <f t="shared" si="68"/>
        <v>0</v>
      </c>
      <c r="V191" s="115">
        <f t="shared" si="68"/>
        <v>0</v>
      </c>
      <c r="W191" s="115">
        <f t="shared" si="68"/>
        <v>0</v>
      </c>
      <c r="X191" s="115">
        <f t="shared" si="68"/>
        <v>0</v>
      </c>
      <c r="Y191" s="115">
        <f t="shared" si="68"/>
        <v>0</v>
      </c>
      <c r="Z191" s="115">
        <f t="shared" si="68"/>
        <v>0</v>
      </c>
      <c r="AA191" s="115">
        <f t="shared" si="68"/>
        <v>0</v>
      </c>
      <c r="AB191" s="115">
        <f t="shared" si="68"/>
        <v>0</v>
      </c>
      <c r="AC191" s="115">
        <f t="shared" si="68"/>
        <v>0</v>
      </c>
      <c r="AD191" s="115">
        <f t="shared" si="68"/>
        <v>0</v>
      </c>
      <c r="AE191" s="115">
        <f t="shared" si="68"/>
        <v>0</v>
      </c>
      <c r="AF191" s="115">
        <f t="shared" si="68"/>
        <v>0</v>
      </c>
      <c r="AG191" s="115">
        <f t="shared" si="68"/>
        <v>0</v>
      </c>
      <c r="AH191" s="115">
        <f t="shared" si="68"/>
        <v>0</v>
      </c>
      <c r="AI191" s="115">
        <f t="shared" si="68"/>
        <v>0</v>
      </c>
      <c r="AJ191" s="115">
        <f t="shared" si="68"/>
        <v>0</v>
      </c>
      <c r="AK191" s="115">
        <f t="shared" si="68"/>
        <v>0</v>
      </c>
      <c r="AL191" s="115">
        <f t="shared" si="68"/>
        <v>0</v>
      </c>
      <c r="AM191" s="115">
        <f t="shared" si="68"/>
        <v>0</v>
      </c>
      <c r="AN191" s="115">
        <f t="shared" si="68"/>
        <v>0</v>
      </c>
      <c r="AO191" s="115">
        <f t="shared" si="68"/>
        <v>0</v>
      </c>
      <c r="AP191" s="115">
        <f t="shared" si="68"/>
        <v>0</v>
      </c>
    </row>
    <row r="192" spans="1:42" x14ac:dyDescent="0.2">
      <c r="A192" s="27" t="s">
        <v>13</v>
      </c>
      <c r="B192" s="133">
        <f>SUM(B190:B191)</f>
        <v>0</v>
      </c>
      <c r="C192" s="133">
        <f t="shared" ref="C192:AP192" si="69">SUM(C190:C191)</f>
        <v>0</v>
      </c>
      <c r="D192" s="133">
        <f t="shared" si="69"/>
        <v>0</v>
      </c>
      <c r="E192" s="133">
        <f t="shared" si="69"/>
        <v>0</v>
      </c>
      <c r="F192" s="133">
        <f t="shared" si="69"/>
        <v>0</v>
      </c>
      <c r="G192" s="133">
        <f t="shared" si="69"/>
        <v>0</v>
      </c>
      <c r="H192" s="133">
        <f t="shared" si="69"/>
        <v>0</v>
      </c>
      <c r="I192" s="133">
        <f t="shared" si="69"/>
        <v>0</v>
      </c>
      <c r="J192" s="133">
        <f t="shared" si="69"/>
        <v>0</v>
      </c>
      <c r="K192" s="133">
        <f t="shared" si="69"/>
        <v>0</v>
      </c>
      <c r="L192" s="133">
        <f t="shared" si="69"/>
        <v>0</v>
      </c>
      <c r="M192" s="133">
        <f t="shared" si="69"/>
        <v>0</v>
      </c>
      <c r="N192" s="133">
        <f t="shared" si="69"/>
        <v>0</v>
      </c>
      <c r="O192" s="133">
        <f t="shared" si="69"/>
        <v>0</v>
      </c>
      <c r="P192" s="133">
        <f t="shared" si="69"/>
        <v>0</v>
      </c>
      <c r="Q192" s="133">
        <f t="shared" si="69"/>
        <v>0</v>
      </c>
      <c r="R192" s="133">
        <f t="shared" si="69"/>
        <v>0</v>
      </c>
      <c r="S192" s="133">
        <f t="shared" si="69"/>
        <v>0</v>
      </c>
      <c r="T192" s="133">
        <f t="shared" si="69"/>
        <v>0</v>
      </c>
      <c r="U192" s="133">
        <f t="shared" si="69"/>
        <v>0</v>
      </c>
      <c r="V192" s="133">
        <f t="shared" si="69"/>
        <v>0</v>
      </c>
      <c r="W192" s="133">
        <f t="shared" si="69"/>
        <v>0</v>
      </c>
      <c r="X192" s="133">
        <f t="shared" si="69"/>
        <v>0</v>
      </c>
      <c r="Y192" s="133">
        <f t="shared" si="69"/>
        <v>0</v>
      </c>
      <c r="Z192" s="133">
        <f t="shared" si="69"/>
        <v>0</v>
      </c>
      <c r="AA192" s="133">
        <f t="shared" si="69"/>
        <v>0</v>
      </c>
      <c r="AB192" s="133">
        <f t="shared" si="69"/>
        <v>0</v>
      </c>
      <c r="AC192" s="133">
        <f t="shared" si="69"/>
        <v>0</v>
      </c>
      <c r="AD192" s="133">
        <f t="shared" si="69"/>
        <v>0</v>
      </c>
      <c r="AE192" s="133">
        <f t="shared" si="69"/>
        <v>0</v>
      </c>
      <c r="AF192" s="133">
        <f t="shared" si="69"/>
        <v>0</v>
      </c>
      <c r="AG192" s="133">
        <f t="shared" si="69"/>
        <v>0</v>
      </c>
      <c r="AH192" s="133">
        <f t="shared" si="69"/>
        <v>0</v>
      </c>
      <c r="AI192" s="133">
        <f t="shared" si="69"/>
        <v>0</v>
      </c>
      <c r="AJ192" s="133">
        <f t="shared" si="69"/>
        <v>0</v>
      </c>
      <c r="AK192" s="133">
        <f t="shared" si="69"/>
        <v>0</v>
      </c>
      <c r="AL192" s="133">
        <f t="shared" si="69"/>
        <v>0</v>
      </c>
      <c r="AM192" s="133">
        <f t="shared" si="69"/>
        <v>0</v>
      </c>
      <c r="AN192" s="133">
        <f t="shared" si="69"/>
        <v>0</v>
      </c>
      <c r="AO192" s="133">
        <f t="shared" si="69"/>
        <v>0</v>
      </c>
      <c r="AP192" s="133">
        <f t="shared" si="69"/>
        <v>0</v>
      </c>
    </row>
    <row r="193" spans="1:42" x14ac:dyDescent="0.2">
      <c r="B193" s="104"/>
    </row>
    <row r="194" spans="1:42" x14ac:dyDescent="0.2">
      <c r="A194" s="19" t="s">
        <v>339</v>
      </c>
      <c r="B194" s="104"/>
    </row>
    <row r="195" spans="1:42" x14ac:dyDescent="0.2">
      <c r="A195" s="4" t="s">
        <v>355</v>
      </c>
      <c r="B195" s="115">
        <f>B192</f>
        <v>0</v>
      </c>
      <c r="C195" s="115">
        <f t="shared" ref="C195" si="70">C192</f>
        <v>0</v>
      </c>
      <c r="D195" s="115">
        <f t="shared" ref="D195:AP195" si="71">D192</f>
        <v>0</v>
      </c>
      <c r="E195" s="115">
        <f t="shared" si="71"/>
        <v>0</v>
      </c>
      <c r="F195" s="115">
        <f t="shared" si="71"/>
        <v>0</v>
      </c>
      <c r="G195" s="115">
        <f t="shared" si="71"/>
        <v>0</v>
      </c>
      <c r="H195" s="115">
        <f t="shared" si="71"/>
        <v>0</v>
      </c>
      <c r="I195" s="115">
        <f t="shared" si="71"/>
        <v>0</v>
      </c>
      <c r="J195" s="115">
        <f t="shared" si="71"/>
        <v>0</v>
      </c>
      <c r="K195" s="115">
        <f t="shared" si="71"/>
        <v>0</v>
      </c>
      <c r="L195" s="115">
        <f t="shared" si="71"/>
        <v>0</v>
      </c>
      <c r="M195" s="115">
        <f t="shared" si="71"/>
        <v>0</v>
      </c>
      <c r="N195" s="115">
        <f t="shared" si="71"/>
        <v>0</v>
      </c>
      <c r="O195" s="115">
        <f t="shared" si="71"/>
        <v>0</v>
      </c>
      <c r="P195" s="115">
        <f t="shared" si="71"/>
        <v>0</v>
      </c>
      <c r="Q195" s="115">
        <f t="shared" si="71"/>
        <v>0</v>
      </c>
      <c r="R195" s="115">
        <f t="shared" si="71"/>
        <v>0</v>
      </c>
      <c r="S195" s="115">
        <f t="shared" si="71"/>
        <v>0</v>
      </c>
      <c r="T195" s="115">
        <f t="shared" si="71"/>
        <v>0</v>
      </c>
      <c r="U195" s="115">
        <f t="shared" si="71"/>
        <v>0</v>
      </c>
      <c r="V195" s="115">
        <f t="shared" si="71"/>
        <v>0</v>
      </c>
      <c r="W195" s="115">
        <f t="shared" si="71"/>
        <v>0</v>
      </c>
      <c r="X195" s="115">
        <f t="shared" si="71"/>
        <v>0</v>
      </c>
      <c r="Y195" s="115">
        <f t="shared" si="71"/>
        <v>0</v>
      </c>
      <c r="Z195" s="115">
        <f t="shared" si="71"/>
        <v>0</v>
      </c>
      <c r="AA195" s="115">
        <f t="shared" si="71"/>
        <v>0</v>
      </c>
      <c r="AB195" s="115">
        <f t="shared" si="71"/>
        <v>0</v>
      </c>
      <c r="AC195" s="115">
        <f t="shared" si="71"/>
        <v>0</v>
      </c>
      <c r="AD195" s="115">
        <f t="shared" si="71"/>
        <v>0</v>
      </c>
      <c r="AE195" s="115">
        <f t="shared" si="71"/>
        <v>0</v>
      </c>
      <c r="AF195" s="115">
        <f t="shared" si="71"/>
        <v>0</v>
      </c>
      <c r="AG195" s="115">
        <f t="shared" si="71"/>
        <v>0</v>
      </c>
      <c r="AH195" s="115">
        <f t="shared" si="71"/>
        <v>0</v>
      </c>
      <c r="AI195" s="115">
        <f t="shared" si="71"/>
        <v>0</v>
      </c>
      <c r="AJ195" s="115">
        <f t="shared" si="71"/>
        <v>0</v>
      </c>
      <c r="AK195" s="115">
        <f t="shared" si="71"/>
        <v>0</v>
      </c>
      <c r="AL195" s="115">
        <f t="shared" si="71"/>
        <v>0</v>
      </c>
      <c r="AM195" s="115">
        <f t="shared" si="71"/>
        <v>0</v>
      </c>
      <c r="AN195" s="115">
        <f t="shared" si="71"/>
        <v>0</v>
      </c>
      <c r="AO195" s="115">
        <f t="shared" si="71"/>
        <v>0</v>
      </c>
      <c r="AP195" s="115">
        <f t="shared" si="71"/>
        <v>0</v>
      </c>
    </row>
    <row r="196" spans="1:42" x14ac:dyDescent="0.2">
      <c r="A196" s="4" t="s">
        <v>346</v>
      </c>
      <c r="B196" s="115">
        <v>0</v>
      </c>
      <c r="C196" s="115">
        <f t="shared" ref="C196:AP196" si="72">C125*IF(B$2&lt;flip_actual_year,tax_investor_preflip_tax_percent,tax_investor_postflip_cash_percent)/100</f>
        <v>0</v>
      </c>
      <c r="D196" s="115">
        <f t="shared" si="72"/>
        <v>0</v>
      </c>
      <c r="E196" s="115">
        <f t="shared" si="72"/>
        <v>0</v>
      </c>
      <c r="F196" s="115">
        <f t="shared" si="72"/>
        <v>0</v>
      </c>
      <c r="G196" s="115">
        <f t="shared" si="72"/>
        <v>0</v>
      </c>
      <c r="H196" s="115">
        <f t="shared" si="72"/>
        <v>0</v>
      </c>
      <c r="I196" s="115">
        <f t="shared" si="72"/>
        <v>0</v>
      </c>
      <c r="J196" s="115">
        <f t="shared" si="72"/>
        <v>0</v>
      </c>
      <c r="K196" s="115">
        <f t="shared" si="72"/>
        <v>0</v>
      </c>
      <c r="L196" s="115">
        <f t="shared" si="72"/>
        <v>0</v>
      </c>
      <c r="M196" s="115">
        <f t="shared" si="72"/>
        <v>0</v>
      </c>
      <c r="N196" s="115">
        <f t="shared" si="72"/>
        <v>0</v>
      </c>
      <c r="O196" s="115">
        <f t="shared" si="72"/>
        <v>0</v>
      </c>
      <c r="P196" s="115">
        <f t="shared" si="72"/>
        <v>0</v>
      </c>
      <c r="Q196" s="115">
        <f t="shared" si="72"/>
        <v>0</v>
      </c>
      <c r="R196" s="115">
        <f t="shared" si="72"/>
        <v>0</v>
      </c>
      <c r="S196" s="115">
        <f t="shared" si="72"/>
        <v>0</v>
      </c>
      <c r="T196" s="115">
        <f t="shared" si="72"/>
        <v>0</v>
      </c>
      <c r="U196" s="115">
        <f t="shared" si="72"/>
        <v>0</v>
      </c>
      <c r="V196" s="115">
        <f t="shared" si="72"/>
        <v>0</v>
      </c>
      <c r="W196" s="115">
        <f t="shared" si="72"/>
        <v>0</v>
      </c>
      <c r="X196" s="115">
        <f t="shared" si="72"/>
        <v>0</v>
      </c>
      <c r="Y196" s="115">
        <f t="shared" si="72"/>
        <v>0</v>
      </c>
      <c r="Z196" s="115">
        <f t="shared" si="72"/>
        <v>0</v>
      </c>
      <c r="AA196" s="115">
        <f t="shared" si="72"/>
        <v>0</v>
      </c>
      <c r="AB196" s="115">
        <f t="shared" si="72"/>
        <v>0</v>
      </c>
      <c r="AC196" s="115">
        <f t="shared" si="72"/>
        <v>0</v>
      </c>
      <c r="AD196" s="115">
        <f t="shared" si="72"/>
        <v>0</v>
      </c>
      <c r="AE196" s="115">
        <f t="shared" si="72"/>
        <v>0</v>
      </c>
      <c r="AF196" s="115">
        <f t="shared" si="72"/>
        <v>0</v>
      </c>
      <c r="AG196" s="115">
        <f t="shared" si="72"/>
        <v>0</v>
      </c>
      <c r="AH196" s="115">
        <f t="shared" si="72"/>
        <v>0</v>
      </c>
      <c r="AI196" s="115">
        <f t="shared" si="72"/>
        <v>0</v>
      </c>
      <c r="AJ196" s="115">
        <f t="shared" si="72"/>
        <v>0</v>
      </c>
      <c r="AK196" s="115">
        <f t="shared" si="72"/>
        <v>0</v>
      </c>
      <c r="AL196" s="115">
        <f t="shared" si="72"/>
        <v>0</v>
      </c>
      <c r="AM196" s="115">
        <f t="shared" si="72"/>
        <v>0</v>
      </c>
      <c r="AN196" s="115">
        <f t="shared" si="72"/>
        <v>0</v>
      </c>
      <c r="AO196" s="115">
        <f t="shared" si="72"/>
        <v>0</v>
      </c>
      <c r="AP196" s="115">
        <f t="shared" si="72"/>
        <v>0</v>
      </c>
    </row>
    <row r="197" spans="1:42" x14ac:dyDescent="0.2">
      <c r="A197" s="4" t="s">
        <v>347</v>
      </c>
      <c r="B197" s="115">
        <v>0</v>
      </c>
      <c r="C197" s="115">
        <f t="shared" ref="C197:AP197" si="73">C129*IF(B$2&lt;flip_actual_year,tax_investor_preflip_tax_percent,tax_investor_postflip_cash_percent)/100</f>
        <v>0</v>
      </c>
      <c r="D197" s="115">
        <f t="shared" si="73"/>
        <v>0</v>
      </c>
      <c r="E197" s="115">
        <f t="shared" si="73"/>
        <v>0</v>
      </c>
      <c r="F197" s="115">
        <f t="shared" si="73"/>
        <v>0</v>
      </c>
      <c r="G197" s="115">
        <f t="shared" si="73"/>
        <v>0</v>
      </c>
      <c r="H197" s="115">
        <f t="shared" si="73"/>
        <v>0</v>
      </c>
      <c r="I197" s="115">
        <f t="shared" si="73"/>
        <v>0</v>
      </c>
      <c r="J197" s="115">
        <f t="shared" si="73"/>
        <v>0</v>
      </c>
      <c r="K197" s="115">
        <f t="shared" si="73"/>
        <v>0</v>
      </c>
      <c r="L197" s="115">
        <f t="shared" si="73"/>
        <v>0</v>
      </c>
      <c r="M197" s="115">
        <f t="shared" si="73"/>
        <v>0</v>
      </c>
      <c r="N197" s="115">
        <f t="shared" si="73"/>
        <v>0</v>
      </c>
      <c r="O197" s="115">
        <f t="shared" si="73"/>
        <v>0</v>
      </c>
      <c r="P197" s="115">
        <f t="shared" si="73"/>
        <v>0</v>
      </c>
      <c r="Q197" s="115">
        <f t="shared" si="73"/>
        <v>0</v>
      </c>
      <c r="R197" s="115">
        <f t="shared" si="73"/>
        <v>0</v>
      </c>
      <c r="S197" s="115">
        <f t="shared" si="73"/>
        <v>0</v>
      </c>
      <c r="T197" s="115">
        <f t="shared" si="73"/>
        <v>0</v>
      </c>
      <c r="U197" s="115">
        <f t="shared" si="73"/>
        <v>0</v>
      </c>
      <c r="V197" s="115">
        <f t="shared" si="73"/>
        <v>0</v>
      </c>
      <c r="W197" s="115">
        <f t="shared" si="73"/>
        <v>0</v>
      </c>
      <c r="X197" s="115">
        <f t="shared" si="73"/>
        <v>0</v>
      </c>
      <c r="Y197" s="115">
        <f t="shared" si="73"/>
        <v>0</v>
      </c>
      <c r="Z197" s="115">
        <f t="shared" si="73"/>
        <v>0</v>
      </c>
      <c r="AA197" s="115">
        <f t="shared" si="73"/>
        <v>0</v>
      </c>
      <c r="AB197" s="115">
        <f t="shared" si="73"/>
        <v>0</v>
      </c>
      <c r="AC197" s="115">
        <f t="shared" si="73"/>
        <v>0</v>
      </c>
      <c r="AD197" s="115">
        <f t="shared" si="73"/>
        <v>0</v>
      </c>
      <c r="AE197" s="115">
        <f t="shared" si="73"/>
        <v>0</v>
      </c>
      <c r="AF197" s="115">
        <f t="shared" si="73"/>
        <v>0</v>
      </c>
      <c r="AG197" s="115">
        <f t="shared" si="73"/>
        <v>0</v>
      </c>
      <c r="AH197" s="115">
        <f t="shared" si="73"/>
        <v>0</v>
      </c>
      <c r="AI197" s="115">
        <f t="shared" si="73"/>
        <v>0</v>
      </c>
      <c r="AJ197" s="115">
        <f t="shared" si="73"/>
        <v>0</v>
      </c>
      <c r="AK197" s="115">
        <f t="shared" si="73"/>
        <v>0</v>
      </c>
      <c r="AL197" s="115">
        <f t="shared" si="73"/>
        <v>0</v>
      </c>
      <c r="AM197" s="115">
        <f t="shared" si="73"/>
        <v>0</v>
      </c>
      <c r="AN197" s="115">
        <f t="shared" si="73"/>
        <v>0</v>
      </c>
      <c r="AO197" s="115">
        <f t="shared" si="73"/>
        <v>0</v>
      </c>
      <c r="AP197" s="115">
        <f t="shared" si="73"/>
        <v>0</v>
      </c>
    </row>
    <row r="198" spans="1:42" x14ac:dyDescent="0.2">
      <c r="A198" s="4" t="s">
        <v>348</v>
      </c>
      <c r="B198" s="115">
        <v>0</v>
      </c>
      <c r="C198" s="115">
        <f t="shared" ref="C198:AP198" si="74">C133*IF(B$2&lt;flip_actual_year,tax_investor_preflip_tax_percent,tax_investor_postflip_cash_percent)/100</f>
        <v>0</v>
      </c>
      <c r="D198" s="115">
        <f t="shared" si="74"/>
        <v>0</v>
      </c>
      <c r="E198" s="115">
        <f t="shared" si="74"/>
        <v>0</v>
      </c>
      <c r="F198" s="115">
        <f t="shared" si="74"/>
        <v>0</v>
      </c>
      <c r="G198" s="115">
        <f t="shared" si="74"/>
        <v>0</v>
      </c>
      <c r="H198" s="115">
        <f t="shared" si="74"/>
        <v>0</v>
      </c>
      <c r="I198" s="115">
        <f t="shared" si="74"/>
        <v>0</v>
      </c>
      <c r="J198" s="115">
        <f t="shared" si="74"/>
        <v>0</v>
      </c>
      <c r="K198" s="115">
        <f t="shared" si="74"/>
        <v>0</v>
      </c>
      <c r="L198" s="115">
        <f t="shared" si="74"/>
        <v>0</v>
      </c>
      <c r="M198" s="115">
        <f t="shared" si="74"/>
        <v>0</v>
      </c>
      <c r="N198" s="115">
        <f t="shared" si="74"/>
        <v>0</v>
      </c>
      <c r="O198" s="115">
        <f t="shared" si="74"/>
        <v>0</v>
      </c>
      <c r="P198" s="115">
        <f t="shared" si="74"/>
        <v>0</v>
      </c>
      <c r="Q198" s="115">
        <f t="shared" si="74"/>
        <v>0</v>
      </c>
      <c r="R198" s="115">
        <f t="shared" si="74"/>
        <v>0</v>
      </c>
      <c r="S198" s="115">
        <f t="shared" si="74"/>
        <v>0</v>
      </c>
      <c r="T198" s="115">
        <f t="shared" si="74"/>
        <v>0</v>
      </c>
      <c r="U198" s="115">
        <f t="shared" si="74"/>
        <v>0</v>
      </c>
      <c r="V198" s="115">
        <f t="shared" si="74"/>
        <v>0</v>
      </c>
      <c r="W198" s="115">
        <f t="shared" si="74"/>
        <v>0</v>
      </c>
      <c r="X198" s="115">
        <f t="shared" si="74"/>
        <v>0</v>
      </c>
      <c r="Y198" s="115">
        <f t="shared" si="74"/>
        <v>0</v>
      </c>
      <c r="Z198" s="115">
        <f t="shared" si="74"/>
        <v>0</v>
      </c>
      <c r="AA198" s="115">
        <f t="shared" si="74"/>
        <v>0</v>
      </c>
      <c r="AB198" s="115">
        <f t="shared" si="74"/>
        <v>0</v>
      </c>
      <c r="AC198" s="115">
        <f t="shared" si="74"/>
        <v>0</v>
      </c>
      <c r="AD198" s="115">
        <f t="shared" si="74"/>
        <v>0</v>
      </c>
      <c r="AE198" s="115">
        <f t="shared" si="74"/>
        <v>0</v>
      </c>
      <c r="AF198" s="115">
        <f t="shared" si="74"/>
        <v>0</v>
      </c>
      <c r="AG198" s="115">
        <f t="shared" si="74"/>
        <v>0</v>
      </c>
      <c r="AH198" s="115">
        <f t="shared" si="74"/>
        <v>0</v>
      </c>
      <c r="AI198" s="115">
        <f t="shared" si="74"/>
        <v>0</v>
      </c>
      <c r="AJ198" s="115">
        <f t="shared" si="74"/>
        <v>0</v>
      </c>
      <c r="AK198" s="115">
        <f t="shared" si="74"/>
        <v>0</v>
      </c>
      <c r="AL198" s="115">
        <f t="shared" si="74"/>
        <v>0</v>
      </c>
      <c r="AM198" s="115">
        <f t="shared" si="74"/>
        <v>0</v>
      </c>
      <c r="AN198" s="115">
        <f t="shared" si="74"/>
        <v>0</v>
      </c>
      <c r="AO198" s="115">
        <f t="shared" si="74"/>
        <v>0</v>
      </c>
      <c r="AP198" s="115">
        <f t="shared" si="74"/>
        <v>0</v>
      </c>
    </row>
    <row r="199" spans="1:42" x14ac:dyDescent="0.2">
      <c r="A199" s="27" t="s">
        <v>13</v>
      </c>
      <c r="B199" s="133">
        <f>SUM(B195:B198)</f>
        <v>0</v>
      </c>
      <c r="C199" s="133">
        <f t="shared" ref="C199:AP199" si="75">SUM(C195:C198)</f>
        <v>0</v>
      </c>
      <c r="D199" s="133">
        <f t="shared" si="75"/>
        <v>0</v>
      </c>
      <c r="E199" s="133">
        <f t="shared" si="75"/>
        <v>0</v>
      </c>
      <c r="F199" s="133">
        <f t="shared" si="75"/>
        <v>0</v>
      </c>
      <c r="G199" s="133">
        <f t="shared" si="75"/>
        <v>0</v>
      </c>
      <c r="H199" s="133">
        <f t="shared" si="75"/>
        <v>0</v>
      </c>
      <c r="I199" s="133">
        <f t="shared" si="75"/>
        <v>0</v>
      </c>
      <c r="J199" s="133">
        <f t="shared" si="75"/>
        <v>0</v>
      </c>
      <c r="K199" s="133">
        <f t="shared" si="75"/>
        <v>0</v>
      </c>
      <c r="L199" s="133">
        <f t="shared" si="75"/>
        <v>0</v>
      </c>
      <c r="M199" s="133">
        <f t="shared" si="75"/>
        <v>0</v>
      </c>
      <c r="N199" s="133">
        <f t="shared" si="75"/>
        <v>0</v>
      </c>
      <c r="O199" s="133">
        <f t="shared" si="75"/>
        <v>0</v>
      </c>
      <c r="P199" s="133">
        <f t="shared" si="75"/>
        <v>0</v>
      </c>
      <c r="Q199" s="133">
        <f t="shared" si="75"/>
        <v>0</v>
      </c>
      <c r="R199" s="133">
        <f t="shared" si="75"/>
        <v>0</v>
      </c>
      <c r="S199" s="133">
        <f t="shared" si="75"/>
        <v>0</v>
      </c>
      <c r="T199" s="133">
        <f t="shared" si="75"/>
        <v>0</v>
      </c>
      <c r="U199" s="133">
        <f t="shared" si="75"/>
        <v>0</v>
      </c>
      <c r="V199" s="133">
        <f t="shared" si="75"/>
        <v>0</v>
      </c>
      <c r="W199" s="133">
        <f t="shared" si="75"/>
        <v>0</v>
      </c>
      <c r="X199" s="133">
        <f t="shared" si="75"/>
        <v>0</v>
      </c>
      <c r="Y199" s="133">
        <f t="shared" si="75"/>
        <v>0</v>
      </c>
      <c r="Z199" s="133">
        <f t="shared" si="75"/>
        <v>0</v>
      </c>
      <c r="AA199" s="133">
        <f t="shared" si="75"/>
        <v>0</v>
      </c>
      <c r="AB199" s="133">
        <f t="shared" si="75"/>
        <v>0</v>
      </c>
      <c r="AC199" s="133">
        <f t="shared" si="75"/>
        <v>0</v>
      </c>
      <c r="AD199" s="133">
        <f t="shared" si="75"/>
        <v>0</v>
      </c>
      <c r="AE199" s="133">
        <f t="shared" si="75"/>
        <v>0</v>
      </c>
      <c r="AF199" s="133">
        <f t="shared" si="75"/>
        <v>0</v>
      </c>
      <c r="AG199" s="133">
        <f t="shared" si="75"/>
        <v>0</v>
      </c>
      <c r="AH199" s="133">
        <f t="shared" si="75"/>
        <v>0</v>
      </c>
      <c r="AI199" s="133">
        <f t="shared" si="75"/>
        <v>0</v>
      </c>
      <c r="AJ199" s="133">
        <f t="shared" si="75"/>
        <v>0</v>
      </c>
      <c r="AK199" s="133">
        <f t="shared" si="75"/>
        <v>0</v>
      </c>
      <c r="AL199" s="133">
        <f t="shared" si="75"/>
        <v>0</v>
      </c>
      <c r="AM199" s="133">
        <f t="shared" si="75"/>
        <v>0</v>
      </c>
      <c r="AN199" s="133">
        <f t="shared" si="75"/>
        <v>0</v>
      </c>
      <c r="AO199" s="133">
        <f t="shared" si="75"/>
        <v>0</v>
      </c>
      <c r="AP199" s="133">
        <f t="shared" si="75"/>
        <v>0</v>
      </c>
    </row>
    <row r="200" spans="1:42" x14ac:dyDescent="0.2">
      <c r="B200" s="104"/>
    </row>
    <row r="201" spans="1:42" x14ac:dyDescent="0.2">
      <c r="A201" s="4" t="s">
        <v>350</v>
      </c>
      <c r="B201" s="197">
        <v>0</v>
      </c>
      <c r="C201" s="197" t="str">
        <f>IF(ISERROR(IRR($B199:C199)),"NaN",ROUND(IRR($B199:C199)*100,4))</f>
        <v>NaN</v>
      </c>
      <c r="D201" s="197" t="str">
        <f>IF(ISERROR(IRR($B199:D199)),"NaN",ROUND(IRR($B199:D199)*100,4))</f>
        <v>NaN</v>
      </c>
      <c r="E201" s="197" t="str">
        <f>IF(ISERROR(IRR($B199:E199)),"NaN",ROUND(IRR($B199:E199)*100,4))</f>
        <v>NaN</v>
      </c>
      <c r="F201" s="197" t="str">
        <f>IF(ISERROR(IRR($B199:F199)),"NaN",ROUND(IRR($B199:F199)*100,4))</f>
        <v>NaN</v>
      </c>
      <c r="G201" s="197" t="str">
        <f>IF(ISERROR(IRR($B199:G199)),"NaN",ROUND(IRR($B199:G199)*100,4))</f>
        <v>NaN</v>
      </c>
      <c r="H201" s="197" t="str">
        <f>IF(ISERROR(IRR($B199:H199)),"NaN",ROUND(IRR($B199:H199)*100,4))</f>
        <v>NaN</v>
      </c>
      <c r="I201" s="197" t="str">
        <f>IF(ISERROR(IRR($B199:I199)),"NaN",ROUND(IRR($B199:I199)*100,4))</f>
        <v>NaN</v>
      </c>
      <c r="J201" s="197" t="str">
        <f>IF(ISERROR(IRR($B199:J199)),"NaN",ROUND(IRR($B199:J199)*100,4))</f>
        <v>NaN</v>
      </c>
      <c r="K201" s="197" t="str">
        <f>IF(ISERROR(IRR($B199:K199)),"NaN",ROUND(IRR($B199:K199)*100,4))</f>
        <v>NaN</v>
      </c>
      <c r="L201" s="197" t="str">
        <f>IF(ISERROR(IRR($B199:L199)),"NaN",ROUND(IRR($B199:L199)*100,4))</f>
        <v>NaN</v>
      </c>
      <c r="M201" s="197" t="str">
        <f>IF(ISERROR(IRR($B199:M199)),"NaN",ROUND(IRR($B199:M199)*100,4))</f>
        <v>NaN</v>
      </c>
      <c r="N201" s="197" t="str">
        <f>IF(ISERROR(IRR($B199:N199)),"NaN",ROUND(IRR($B199:N199)*100,4))</f>
        <v>NaN</v>
      </c>
      <c r="O201" s="197" t="str">
        <f>IF(ISERROR(IRR($B199:O199)),"NaN",ROUND(IRR($B199:O199)*100,4))</f>
        <v>NaN</v>
      </c>
      <c r="P201" s="197" t="str">
        <f>IF(ISERROR(IRR($B199:P199)),"NaN",ROUND(IRR($B199:P199)*100,4))</f>
        <v>NaN</v>
      </c>
      <c r="Q201" s="197" t="str">
        <f>IF(ISERROR(IRR($B199:Q199)),"NaN",ROUND(IRR($B199:Q199)*100,4))</f>
        <v>NaN</v>
      </c>
      <c r="R201" s="197" t="str">
        <f>IF(ISERROR(IRR($B199:R199)),"NaN",ROUND(IRR($B199:R199)*100,4))</f>
        <v>NaN</v>
      </c>
      <c r="S201" s="197" t="str">
        <f>IF(ISERROR(IRR($B199:S199)),"NaN",ROUND(IRR($B199:S199)*100,4))</f>
        <v>NaN</v>
      </c>
      <c r="T201" s="197" t="str">
        <f>IF(ISERROR(IRR($B199:T199)),"NaN",ROUND(IRR($B199:T199)*100,4))</f>
        <v>NaN</v>
      </c>
      <c r="U201" s="197" t="str">
        <f>IF(ISERROR(IRR($B199:U199)),"NaN",ROUND(IRR($B199:U199)*100,4))</f>
        <v>NaN</v>
      </c>
      <c r="V201" s="197" t="str">
        <f>IF(ISERROR(IRR($B199:V199)),"NaN",ROUND(IRR($B199:V199)*100,4))</f>
        <v>NaN</v>
      </c>
      <c r="W201" s="197" t="str">
        <f>IF(ISERROR(IRR($B199:W199)),"NaN",ROUND(IRR($B199:W199)*100,4))</f>
        <v>NaN</v>
      </c>
      <c r="X201" s="197" t="str">
        <f>IF(ISERROR(IRR($B199:X199)),"NaN",ROUND(IRR($B199:X199)*100,4))</f>
        <v>NaN</v>
      </c>
      <c r="Y201" s="197" t="str">
        <f>IF(ISERROR(IRR($B199:Y199)),"NaN",ROUND(IRR($B199:Y199)*100,4))</f>
        <v>NaN</v>
      </c>
      <c r="Z201" s="197" t="str">
        <f>IF(ISERROR(IRR($B199:Z199)),"NaN",ROUND(IRR($B199:Z199)*100,4))</f>
        <v>NaN</v>
      </c>
      <c r="AA201" s="197" t="str">
        <f>IF(ISERROR(IRR($B199:AA199)),"NaN",ROUND(IRR($B199:AA199)*100,4))</f>
        <v>NaN</v>
      </c>
      <c r="AB201" s="197" t="str">
        <f>IF(ISERROR(IRR($B199:AB199)),"NaN",ROUND(IRR($B199:AB199)*100,4))</f>
        <v>NaN</v>
      </c>
      <c r="AC201" s="197" t="str">
        <f>IF(ISERROR(IRR($B199:AC199)),"NaN",ROUND(IRR($B199:AC199)*100,4))</f>
        <v>NaN</v>
      </c>
      <c r="AD201" s="197" t="str">
        <f>IF(ISERROR(IRR($B199:AD199)),"NaN",ROUND(IRR($B199:AD199)*100,4))</f>
        <v>NaN</v>
      </c>
      <c r="AE201" s="197" t="str">
        <f>IF(ISERROR(IRR($B199:AE199)),"NaN",ROUND(IRR($B199:AE199)*100,4))</f>
        <v>NaN</v>
      </c>
      <c r="AF201" s="197" t="str">
        <f>IF(ISERROR(IRR($B199:AF199)),"NaN",ROUND(IRR($B199:AF199)*100,4))</f>
        <v>NaN</v>
      </c>
      <c r="AG201" s="197" t="str">
        <f>IF(ISERROR(IRR($B199:AG199)),"NaN",ROUND(IRR($B199:AG199)*100,4))</f>
        <v>NaN</v>
      </c>
      <c r="AH201" s="197" t="str">
        <f>IF(ISERROR(IRR($B199:AH199)),"NaN",ROUND(IRR($B199:AH199)*100,4))</f>
        <v>NaN</v>
      </c>
      <c r="AI201" s="197" t="str">
        <f>IF(ISERROR(IRR($B199:AI199)),"NaN",ROUND(IRR($B199:AI199)*100,4))</f>
        <v>NaN</v>
      </c>
      <c r="AJ201" s="197" t="str">
        <f>IF(ISERROR(IRR($B199:AJ199)),"NaN",ROUND(IRR($B199:AJ199)*100,4))</f>
        <v>NaN</v>
      </c>
      <c r="AK201" s="197" t="str">
        <f>IF(ISERROR(IRR($B199:AK199)),"NaN",ROUND(IRR($B199:AK199)*100,4))</f>
        <v>NaN</v>
      </c>
      <c r="AL201" s="197" t="str">
        <f>IF(ISERROR(IRR($B199:AL199)),"NaN",ROUND(IRR($B199:AL199)*100,4))</f>
        <v>NaN</v>
      </c>
      <c r="AM201" s="197" t="str">
        <f>IF(ISERROR(IRR($B199:AM199)),"NaN",ROUND(IRR($B199:AM199)*100,4))</f>
        <v>NaN</v>
      </c>
      <c r="AN201" s="197" t="str">
        <f>IF(ISERROR(IRR($B199:AN199)),"NaN",ROUND(IRR($B199:AN199)*100,4))</f>
        <v>NaN</v>
      </c>
      <c r="AO201" s="197" t="str">
        <f>IF(ISERROR(IRR($B199:AO199)),"NaN",ROUND(IRR($B199:AO199)*100,4))</f>
        <v>NaN</v>
      </c>
      <c r="AP201" s="197" t="str">
        <f>IF(ISERROR(IRR($B199:AP199)),"NaN",ROUND(IRR($B199:AP199)*100,4))</f>
        <v>NaN</v>
      </c>
    </row>
    <row r="202" spans="1:42" x14ac:dyDescent="0.2">
      <c r="A202" s="4" t="s">
        <v>8</v>
      </c>
      <c r="B202" s="197">
        <v>0</v>
      </c>
      <c r="C202" s="197">
        <f>MAX($B$201:C201)</f>
        <v>0</v>
      </c>
      <c r="D202" s="197">
        <f>MAX($B$201:D201)</f>
        <v>0</v>
      </c>
      <c r="E202" s="197">
        <f>MAX($B$201:E201)</f>
        <v>0</v>
      </c>
      <c r="F202" s="197">
        <f>MAX($B$201:F201)</f>
        <v>0</v>
      </c>
      <c r="G202" s="197">
        <f>MAX($B$201:G201)</f>
        <v>0</v>
      </c>
      <c r="H202" s="197">
        <f>MAX($B$201:H201)</f>
        <v>0</v>
      </c>
      <c r="I202" s="197">
        <f>MAX($B$201:I201)</f>
        <v>0</v>
      </c>
      <c r="J202" s="197">
        <f>MAX($B$201:J201)</f>
        <v>0</v>
      </c>
      <c r="K202" s="197">
        <f>MAX($B$201:K201)</f>
        <v>0</v>
      </c>
      <c r="L202" s="197">
        <f>MAX($B$201:L201)</f>
        <v>0</v>
      </c>
      <c r="M202" s="197">
        <f>MAX($B$201:M201)</f>
        <v>0</v>
      </c>
      <c r="N202" s="197">
        <f>MAX($B$201:N201)</f>
        <v>0</v>
      </c>
      <c r="O202" s="197">
        <f>MAX($B$201:O201)</f>
        <v>0</v>
      </c>
      <c r="P202" s="197">
        <f>MAX($B$201:P201)</f>
        <v>0</v>
      </c>
      <c r="Q202" s="197">
        <f>MAX($B$201:Q201)</f>
        <v>0</v>
      </c>
      <c r="R202" s="197">
        <f>MAX($B$201:R201)</f>
        <v>0</v>
      </c>
      <c r="S202" s="197">
        <f>MAX($B$201:S201)</f>
        <v>0</v>
      </c>
      <c r="T202" s="197">
        <f>MAX($B$201:T201)</f>
        <v>0</v>
      </c>
      <c r="U202" s="197">
        <f>MAX($B$201:U201)</f>
        <v>0</v>
      </c>
      <c r="V202" s="197">
        <f>MAX($B$201:V201)</f>
        <v>0</v>
      </c>
      <c r="W202" s="197">
        <f>MAX($B$201:W201)</f>
        <v>0</v>
      </c>
      <c r="X202" s="197">
        <f>MAX($B$201:X201)</f>
        <v>0</v>
      </c>
      <c r="Y202" s="197">
        <f>MAX($B$201:Y201)</f>
        <v>0</v>
      </c>
      <c r="Z202" s="197">
        <f>MAX($B$201:Z201)</f>
        <v>0</v>
      </c>
      <c r="AA202" s="197">
        <f>MAX($B$201:AA201)</f>
        <v>0</v>
      </c>
      <c r="AB202" s="197">
        <f>MAX($B$201:AB201)</f>
        <v>0</v>
      </c>
      <c r="AC202" s="197">
        <f>MAX($B$201:AC201)</f>
        <v>0</v>
      </c>
      <c r="AD202" s="197">
        <f>MAX($B$201:AD201)</f>
        <v>0</v>
      </c>
      <c r="AE202" s="197">
        <f>MAX($B$201:AE201)</f>
        <v>0</v>
      </c>
      <c r="AF202" s="197">
        <f>MAX($B$201:AF201)</f>
        <v>0</v>
      </c>
      <c r="AG202" s="197">
        <f>MAX($B$201:AG201)</f>
        <v>0</v>
      </c>
      <c r="AH202" s="197">
        <f>MAX($B$201:AH201)</f>
        <v>0</v>
      </c>
      <c r="AI202" s="197">
        <f>MAX($B$201:AI201)</f>
        <v>0</v>
      </c>
      <c r="AJ202" s="197">
        <f>MAX($B$201:AJ201)</f>
        <v>0</v>
      </c>
      <c r="AK202" s="197">
        <f>MAX($B$201:AK201)</f>
        <v>0</v>
      </c>
      <c r="AL202" s="197">
        <f>MAX($B$201:AL201)</f>
        <v>0</v>
      </c>
      <c r="AM202" s="197">
        <f>MAX($B$201:AM201)</f>
        <v>0</v>
      </c>
      <c r="AN202" s="197">
        <f>MAX($B$201:AN201)</f>
        <v>0</v>
      </c>
      <c r="AO202" s="197">
        <f>MAX($B$201:AO201)</f>
        <v>0</v>
      </c>
      <c r="AP202" s="197">
        <f>MAX($B$201:AP201)</f>
        <v>0</v>
      </c>
    </row>
    <row r="203" spans="1:42" x14ac:dyDescent="0.2">
      <c r="A203" s="4" t="s">
        <v>356</v>
      </c>
      <c r="B203" s="149">
        <f>SUM(C203:AP203)</f>
        <v>0</v>
      </c>
      <c r="C203" s="146">
        <f t="shared" ref="C203:AP203" si="76">IF(IRRTarget="N/A",IF(C$2=flip_target_year,C$2,0),IF(AND(B202&lt;IRRTarget,C202&gt;=IRRTarget),C$2,0))</f>
        <v>0</v>
      </c>
      <c r="D203" s="146">
        <f t="shared" si="76"/>
        <v>0</v>
      </c>
      <c r="E203" s="146">
        <f t="shared" si="76"/>
        <v>0</v>
      </c>
      <c r="F203" s="146">
        <f t="shared" si="76"/>
        <v>0</v>
      </c>
      <c r="G203" s="146">
        <f t="shared" si="76"/>
        <v>0</v>
      </c>
      <c r="H203" s="146">
        <f t="shared" si="76"/>
        <v>0</v>
      </c>
      <c r="I203" s="146">
        <f t="shared" si="76"/>
        <v>0</v>
      </c>
      <c r="J203" s="146">
        <f t="shared" si="76"/>
        <v>0</v>
      </c>
      <c r="K203" s="146">
        <f t="shared" si="76"/>
        <v>0</v>
      </c>
      <c r="L203" s="146">
        <f t="shared" si="76"/>
        <v>0</v>
      </c>
      <c r="M203" s="146">
        <f t="shared" si="76"/>
        <v>0</v>
      </c>
      <c r="N203" s="146">
        <f t="shared" si="76"/>
        <v>0</v>
      </c>
      <c r="O203" s="146">
        <f t="shared" si="76"/>
        <v>0</v>
      </c>
      <c r="P203" s="146">
        <f t="shared" si="76"/>
        <v>0</v>
      </c>
      <c r="Q203" s="146">
        <f t="shared" si="76"/>
        <v>0</v>
      </c>
      <c r="R203" s="146">
        <f t="shared" si="76"/>
        <v>0</v>
      </c>
      <c r="S203" s="146">
        <f t="shared" si="76"/>
        <v>0</v>
      </c>
      <c r="T203" s="146">
        <f t="shared" si="76"/>
        <v>0</v>
      </c>
      <c r="U203" s="146">
        <f t="shared" si="76"/>
        <v>0</v>
      </c>
      <c r="V203" s="146">
        <f t="shared" si="76"/>
        <v>0</v>
      </c>
      <c r="W203" s="146">
        <f t="shared" si="76"/>
        <v>0</v>
      </c>
      <c r="X203" s="146">
        <f t="shared" si="76"/>
        <v>0</v>
      </c>
      <c r="Y203" s="146">
        <f t="shared" si="76"/>
        <v>0</v>
      </c>
      <c r="Z203" s="146">
        <f t="shared" si="76"/>
        <v>0</v>
      </c>
      <c r="AA203" s="146">
        <f t="shared" si="76"/>
        <v>0</v>
      </c>
      <c r="AB203" s="146">
        <f t="shared" si="76"/>
        <v>0</v>
      </c>
      <c r="AC203" s="146">
        <f t="shared" si="76"/>
        <v>0</v>
      </c>
      <c r="AD203" s="146">
        <f t="shared" si="76"/>
        <v>0</v>
      </c>
      <c r="AE203" s="146">
        <f t="shared" si="76"/>
        <v>0</v>
      </c>
      <c r="AF203" s="146">
        <f t="shared" si="76"/>
        <v>0</v>
      </c>
      <c r="AG203" s="146">
        <f t="shared" si="76"/>
        <v>0</v>
      </c>
      <c r="AH203" s="146">
        <f t="shared" si="76"/>
        <v>0</v>
      </c>
      <c r="AI203" s="146">
        <f t="shared" si="76"/>
        <v>0</v>
      </c>
      <c r="AJ203" s="146">
        <f t="shared" si="76"/>
        <v>0</v>
      </c>
      <c r="AK203" s="146">
        <f t="shared" si="76"/>
        <v>0</v>
      </c>
      <c r="AL203" s="146">
        <f t="shared" si="76"/>
        <v>0</v>
      </c>
      <c r="AM203" s="146">
        <f t="shared" si="76"/>
        <v>0</v>
      </c>
      <c r="AN203" s="146">
        <f t="shared" si="76"/>
        <v>0</v>
      </c>
      <c r="AO203" s="146">
        <f t="shared" si="76"/>
        <v>0</v>
      </c>
      <c r="AP203" s="146">
        <f t="shared" si="76"/>
        <v>0</v>
      </c>
    </row>
    <row r="204" spans="1:42" x14ac:dyDescent="0.2">
      <c r="B204" s="104"/>
    </row>
    <row r="205" spans="1:42" x14ac:dyDescent="0.2">
      <c r="A205" s="4" t="s">
        <v>351</v>
      </c>
      <c r="B205" s="174">
        <f>B199+NPV(NominalDiscountRate/100,C199:AP199)</f>
        <v>0</v>
      </c>
    </row>
    <row r="207" spans="1:42" x14ac:dyDescent="0.2">
      <c r="A207" s="80" t="s">
        <v>30</v>
      </c>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row>
    <row r="208" spans="1:42" x14ac:dyDescent="0.2">
      <c r="A208" s="19" t="s">
        <v>43</v>
      </c>
    </row>
    <row r="209" spans="1:42" x14ac:dyDescent="0.2">
      <c r="A209" s="84" t="s">
        <v>31</v>
      </c>
      <c r="C209" s="115">
        <f t="shared" ref="C209:AP209" si="77">C65</f>
        <v>0</v>
      </c>
      <c r="D209" s="115">
        <f t="shared" si="77"/>
        <v>0</v>
      </c>
      <c r="E209" s="115">
        <f t="shared" si="77"/>
        <v>0</v>
      </c>
      <c r="F209" s="115">
        <f t="shared" si="77"/>
        <v>0</v>
      </c>
      <c r="G209" s="115">
        <f t="shared" si="77"/>
        <v>0</v>
      </c>
      <c r="H209" s="115">
        <f t="shared" si="77"/>
        <v>0</v>
      </c>
      <c r="I209" s="115">
        <f t="shared" si="77"/>
        <v>0</v>
      </c>
      <c r="J209" s="115">
        <f t="shared" si="77"/>
        <v>0</v>
      </c>
      <c r="K209" s="115">
        <f t="shared" si="77"/>
        <v>0</v>
      </c>
      <c r="L209" s="115">
        <f t="shared" si="77"/>
        <v>0</v>
      </c>
      <c r="M209" s="115">
        <f t="shared" si="77"/>
        <v>0</v>
      </c>
      <c r="N209" s="115">
        <f t="shared" si="77"/>
        <v>0</v>
      </c>
      <c r="O209" s="115">
        <f t="shared" si="77"/>
        <v>0</v>
      </c>
      <c r="P209" s="115">
        <f t="shared" si="77"/>
        <v>0</v>
      </c>
      <c r="Q209" s="115">
        <f t="shared" si="77"/>
        <v>0</v>
      </c>
      <c r="R209" s="115">
        <f t="shared" si="77"/>
        <v>0</v>
      </c>
      <c r="S209" s="115">
        <f t="shared" si="77"/>
        <v>0</v>
      </c>
      <c r="T209" s="115">
        <f t="shared" si="77"/>
        <v>0</v>
      </c>
      <c r="U209" s="115">
        <f t="shared" si="77"/>
        <v>0</v>
      </c>
      <c r="V209" s="115">
        <f t="shared" si="77"/>
        <v>0</v>
      </c>
      <c r="W209" s="115">
        <f t="shared" si="77"/>
        <v>0</v>
      </c>
      <c r="X209" s="115">
        <f t="shared" si="77"/>
        <v>0</v>
      </c>
      <c r="Y209" s="115">
        <f t="shared" si="77"/>
        <v>0</v>
      </c>
      <c r="Z209" s="115">
        <f t="shared" si="77"/>
        <v>0</v>
      </c>
      <c r="AA209" s="115">
        <f t="shared" si="77"/>
        <v>0</v>
      </c>
      <c r="AB209" s="115">
        <f t="shared" si="77"/>
        <v>0</v>
      </c>
      <c r="AC209" s="115">
        <f t="shared" si="77"/>
        <v>0</v>
      </c>
      <c r="AD209" s="115">
        <f t="shared" si="77"/>
        <v>0</v>
      </c>
      <c r="AE209" s="115">
        <f t="shared" si="77"/>
        <v>0</v>
      </c>
      <c r="AF209" s="115">
        <f t="shared" si="77"/>
        <v>0</v>
      </c>
      <c r="AG209" s="115">
        <f t="shared" si="77"/>
        <v>0</v>
      </c>
      <c r="AH209" s="115">
        <f t="shared" si="77"/>
        <v>0</v>
      </c>
      <c r="AI209" s="115">
        <f t="shared" si="77"/>
        <v>0</v>
      </c>
      <c r="AJ209" s="115">
        <f t="shared" si="77"/>
        <v>0</v>
      </c>
      <c r="AK209" s="115">
        <f t="shared" si="77"/>
        <v>0</v>
      </c>
      <c r="AL209" s="115">
        <f t="shared" si="77"/>
        <v>0</v>
      </c>
      <c r="AM209" s="115">
        <f t="shared" si="77"/>
        <v>0</v>
      </c>
      <c r="AN209" s="115">
        <f t="shared" si="77"/>
        <v>0</v>
      </c>
      <c r="AO209" s="115">
        <f t="shared" si="77"/>
        <v>0</v>
      </c>
      <c r="AP209" s="115">
        <f t="shared" si="77"/>
        <v>0</v>
      </c>
    </row>
    <row r="210" spans="1:42" x14ac:dyDescent="0.2">
      <c r="A210" s="84" t="s">
        <v>39</v>
      </c>
      <c r="C210" s="115">
        <f t="shared" ref="C210:AP210" si="78">C784</f>
        <v>0</v>
      </c>
      <c r="D210" s="115">
        <f t="shared" si="78"/>
        <v>0</v>
      </c>
      <c r="E210" s="115">
        <f t="shared" si="78"/>
        <v>0</v>
      </c>
      <c r="F210" s="115">
        <f t="shared" si="78"/>
        <v>0</v>
      </c>
      <c r="G210" s="115">
        <f t="shared" si="78"/>
        <v>0</v>
      </c>
      <c r="H210" s="115">
        <f t="shared" si="78"/>
        <v>0</v>
      </c>
      <c r="I210" s="115">
        <f t="shared" si="78"/>
        <v>0</v>
      </c>
      <c r="J210" s="115">
        <f t="shared" si="78"/>
        <v>0</v>
      </c>
      <c r="K210" s="115">
        <f t="shared" si="78"/>
        <v>0</v>
      </c>
      <c r="L210" s="115">
        <f t="shared" si="78"/>
        <v>0</v>
      </c>
      <c r="M210" s="115">
        <f t="shared" si="78"/>
        <v>0</v>
      </c>
      <c r="N210" s="115">
        <f t="shared" si="78"/>
        <v>0</v>
      </c>
      <c r="O210" s="115">
        <f t="shared" si="78"/>
        <v>0</v>
      </c>
      <c r="P210" s="115">
        <f t="shared" si="78"/>
        <v>0</v>
      </c>
      <c r="Q210" s="115">
        <f t="shared" si="78"/>
        <v>0</v>
      </c>
      <c r="R210" s="115">
        <f t="shared" si="78"/>
        <v>0</v>
      </c>
      <c r="S210" s="115">
        <f t="shared" si="78"/>
        <v>0</v>
      </c>
      <c r="T210" s="115">
        <f t="shared" si="78"/>
        <v>0</v>
      </c>
      <c r="U210" s="115">
        <f t="shared" si="78"/>
        <v>0</v>
      </c>
      <c r="V210" s="115">
        <f t="shared" si="78"/>
        <v>0</v>
      </c>
      <c r="W210" s="115">
        <f t="shared" si="78"/>
        <v>0</v>
      </c>
      <c r="X210" s="115">
        <f t="shared" si="78"/>
        <v>0</v>
      </c>
      <c r="Y210" s="115">
        <f t="shared" si="78"/>
        <v>0</v>
      </c>
      <c r="Z210" s="115">
        <f t="shared" si="78"/>
        <v>0</v>
      </c>
      <c r="AA210" s="115">
        <f t="shared" si="78"/>
        <v>0</v>
      </c>
      <c r="AB210" s="115">
        <f t="shared" si="78"/>
        <v>0</v>
      </c>
      <c r="AC210" s="115">
        <f t="shared" si="78"/>
        <v>0</v>
      </c>
      <c r="AD210" s="115">
        <f t="shared" si="78"/>
        <v>0</v>
      </c>
      <c r="AE210" s="115">
        <f t="shared" si="78"/>
        <v>0</v>
      </c>
      <c r="AF210" s="115">
        <f t="shared" si="78"/>
        <v>0</v>
      </c>
      <c r="AG210" s="115">
        <f t="shared" si="78"/>
        <v>0</v>
      </c>
      <c r="AH210" s="115">
        <f t="shared" si="78"/>
        <v>0</v>
      </c>
      <c r="AI210" s="115">
        <f t="shared" si="78"/>
        <v>0</v>
      </c>
      <c r="AJ210" s="115">
        <f t="shared" si="78"/>
        <v>0</v>
      </c>
      <c r="AK210" s="115">
        <f t="shared" si="78"/>
        <v>0</v>
      </c>
      <c r="AL210" s="115">
        <f t="shared" si="78"/>
        <v>0</v>
      </c>
      <c r="AM210" s="115">
        <f t="shared" si="78"/>
        <v>0</v>
      </c>
      <c r="AN210" s="115">
        <f t="shared" si="78"/>
        <v>0</v>
      </c>
      <c r="AO210" s="115">
        <f t="shared" si="78"/>
        <v>0</v>
      </c>
      <c r="AP210" s="115">
        <f t="shared" si="78"/>
        <v>0</v>
      </c>
    </row>
    <row r="211" spans="1:42" x14ac:dyDescent="0.2">
      <c r="A211" s="84" t="s">
        <v>32</v>
      </c>
      <c r="C211" s="115">
        <f t="shared" ref="C211:AP211" si="79">-C643</f>
        <v>0</v>
      </c>
      <c r="D211" s="115">
        <f t="shared" si="79"/>
        <v>0</v>
      </c>
      <c r="E211" s="115">
        <f t="shared" si="79"/>
        <v>0</v>
      </c>
      <c r="F211" s="115">
        <f t="shared" si="79"/>
        <v>0</v>
      </c>
      <c r="G211" s="115">
        <f t="shared" si="79"/>
        <v>0</v>
      </c>
      <c r="H211" s="115">
        <f t="shared" si="79"/>
        <v>0</v>
      </c>
      <c r="I211" s="115">
        <f t="shared" si="79"/>
        <v>0</v>
      </c>
      <c r="J211" s="115">
        <f t="shared" si="79"/>
        <v>0</v>
      </c>
      <c r="K211" s="115">
        <f t="shared" si="79"/>
        <v>0</v>
      </c>
      <c r="L211" s="115">
        <f t="shared" si="79"/>
        <v>0</v>
      </c>
      <c r="M211" s="115">
        <f t="shared" si="79"/>
        <v>0</v>
      </c>
      <c r="N211" s="115">
        <f t="shared" si="79"/>
        <v>0</v>
      </c>
      <c r="O211" s="115">
        <f t="shared" si="79"/>
        <v>0</v>
      </c>
      <c r="P211" s="115">
        <f t="shared" si="79"/>
        <v>0</v>
      </c>
      <c r="Q211" s="115">
        <f t="shared" si="79"/>
        <v>0</v>
      </c>
      <c r="R211" s="115">
        <f t="shared" si="79"/>
        <v>0</v>
      </c>
      <c r="S211" s="115">
        <f t="shared" si="79"/>
        <v>0</v>
      </c>
      <c r="T211" s="115">
        <f t="shared" si="79"/>
        <v>0</v>
      </c>
      <c r="U211" s="115">
        <f t="shared" si="79"/>
        <v>0</v>
      </c>
      <c r="V211" s="115">
        <f t="shared" si="79"/>
        <v>0</v>
      </c>
      <c r="W211" s="115">
        <f t="shared" si="79"/>
        <v>0</v>
      </c>
      <c r="X211" s="115">
        <f t="shared" si="79"/>
        <v>0</v>
      </c>
      <c r="Y211" s="115">
        <f t="shared" si="79"/>
        <v>0</v>
      </c>
      <c r="Z211" s="115">
        <f t="shared" si="79"/>
        <v>0</v>
      </c>
      <c r="AA211" s="115">
        <f t="shared" si="79"/>
        <v>0</v>
      </c>
      <c r="AB211" s="115">
        <f t="shared" si="79"/>
        <v>0</v>
      </c>
      <c r="AC211" s="115">
        <f t="shared" si="79"/>
        <v>0</v>
      </c>
      <c r="AD211" s="115">
        <f t="shared" si="79"/>
        <v>0</v>
      </c>
      <c r="AE211" s="115">
        <f t="shared" si="79"/>
        <v>0</v>
      </c>
      <c r="AF211" s="115">
        <f t="shared" si="79"/>
        <v>0</v>
      </c>
      <c r="AG211" s="115">
        <f t="shared" si="79"/>
        <v>0</v>
      </c>
      <c r="AH211" s="115">
        <f t="shared" si="79"/>
        <v>0</v>
      </c>
      <c r="AI211" s="115">
        <f t="shared" si="79"/>
        <v>0</v>
      </c>
      <c r="AJ211" s="115">
        <f t="shared" si="79"/>
        <v>0</v>
      </c>
      <c r="AK211" s="115">
        <f t="shared" si="79"/>
        <v>0</v>
      </c>
      <c r="AL211" s="115">
        <f t="shared" si="79"/>
        <v>0</v>
      </c>
      <c r="AM211" s="115">
        <f t="shared" si="79"/>
        <v>0</v>
      </c>
      <c r="AN211" s="115">
        <f t="shared" si="79"/>
        <v>0</v>
      </c>
      <c r="AO211" s="115">
        <f t="shared" si="79"/>
        <v>0</v>
      </c>
      <c r="AP211" s="115">
        <f t="shared" si="79"/>
        <v>0</v>
      </c>
    </row>
    <row r="212" spans="1:42" x14ac:dyDescent="0.2">
      <c r="A212" s="84" t="s">
        <v>35</v>
      </c>
      <c r="C212" s="116">
        <f t="shared" ref="C212:AP212" si="80">IF(C$2&lt;=analysis_period,-C349-C379-C405-C431,0)</f>
        <v>0</v>
      </c>
      <c r="D212" s="116">
        <f t="shared" si="80"/>
        <v>0</v>
      </c>
      <c r="E212" s="116">
        <f t="shared" si="80"/>
        <v>0</v>
      </c>
      <c r="F212" s="116">
        <f t="shared" si="80"/>
        <v>0</v>
      </c>
      <c r="G212" s="116">
        <f t="shared" si="80"/>
        <v>0</v>
      </c>
      <c r="H212" s="116">
        <f t="shared" si="80"/>
        <v>0</v>
      </c>
      <c r="I212" s="116">
        <f t="shared" si="80"/>
        <v>0</v>
      </c>
      <c r="J212" s="116">
        <f t="shared" si="80"/>
        <v>0</v>
      </c>
      <c r="K212" s="116">
        <f t="shared" si="80"/>
        <v>0</v>
      </c>
      <c r="L212" s="116">
        <f t="shared" si="80"/>
        <v>0</v>
      </c>
      <c r="M212" s="116">
        <f t="shared" si="80"/>
        <v>0</v>
      </c>
      <c r="N212" s="116">
        <f t="shared" si="80"/>
        <v>0</v>
      </c>
      <c r="O212" s="116">
        <f t="shared" si="80"/>
        <v>0</v>
      </c>
      <c r="P212" s="116">
        <f t="shared" si="80"/>
        <v>0</v>
      </c>
      <c r="Q212" s="116">
        <f t="shared" si="80"/>
        <v>0</v>
      </c>
      <c r="R212" s="116">
        <f t="shared" si="80"/>
        <v>0</v>
      </c>
      <c r="S212" s="116">
        <f t="shared" si="80"/>
        <v>0</v>
      </c>
      <c r="T212" s="116">
        <f t="shared" si="80"/>
        <v>0</v>
      </c>
      <c r="U212" s="116">
        <f t="shared" si="80"/>
        <v>0</v>
      </c>
      <c r="V212" s="116">
        <f t="shared" si="80"/>
        <v>0</v>
      </c>
      <c r="W212" s="116">
        <f t="shared" si="80"/>
        <v>0</v>
      </c>
      <c r="X212" s="116">
        <f t="shared" si="80"/>
        <v>0</v>
      </c>
      <c r="Y212" s="116">
        <f t="shared" si="80"/>
        <v>0</v>
      </c>
      <c r="Z212" s="116">
        <f t="shared" si="80"/>
        <v>0</v>
      </c>
      <c r="AA212" s="116">
        <f t="shared" si="80"/>
        <v>0</v>
      </c>
      <c r="AB212" s="116">
        <f t="shared" si="80"/>
        <v>0</v>
      </c>
      <c r="AC212" s="116">
        <f t="shared" si="80"/>
        <v>0</v>
      </c>
      <c r="AD212" s="116">
        <f t="shared" si="80"/>
        <v>0</v>
      </c>
      <c r="AE212" s="116">
        <f t="shared" si="80"/>
        <v>0</v>
      </c>
      <c r="AF212" s="116">
        <f t="shared" si="80"/>
        <v>0</v>
      </c>
      <c r="AG212" s="116">
        <f t="shared" si="80"/>
        <v>0</v>
      </c>
      <c r="AH212" s="116">
        <f t="shared" si="80"/>
        <v>0</v>
      </c>
      <c r="AI212" s="116">
        <f t="shared" si="80"/>
        <v>0</v>
      </c>
      <c r="AJ212" s="116">
        <f t="shared" si="80"/>
        <v>0</v>
      </c>
      <c r="AK212" s="116">
        <f t="shared" si="80"/>
        <v>0</v>
      </c>
      <c r="AL212" s="116">
        <f t="shared" si="80"/>
        <v>0</v>
      </c>
      <c r="AM212" s="116">
        <f t="shared" si="80"/>
        <v>0</v>
      </c>
      <c r="AN212" s="116">
        <f t="shared" si="80"/>
        <v>0</v>
      </c>
      <c r="AO212" s="116">
        <f t="shared" si="80"/>
        <v>0</v>
      </c>
      <c r="AP212" s="116">
        <f t="shared" si="80"/>
        <v>0</v>
      </c>
    </row>
    <row r="213" spans="1:42" x14ac:dyDescent="0.2">
      <c r="A213" s="84" t="s">
        <v>167</v>
      </c>
      <c r="C213" s="115">
        <f t="shared" ref="C213:AP213" si="81">SUM(C209:C212)</f>
        <v>0</v>
      </c>
      <c r="D213" s="115">
        <f t="shared" si="81"/>
        <v>0</v>
      </c>
      <c r="E213" s="115">
        <f t="shared" si="81"/>
        <v>0</v>
      </c>
      <c r="F213" s="115">
        <f t="shared" si="81"/>
        <v>0</v>
      </c>
      <c r="G213" s="115">
        <f t="shared" si="81"/>
        <v>0</v>
      </c>
      <c r="H213" s="115">
        <f t="shared" si="81"/>
        <v>0</v>
      </c>
      <c r="I213" s="115">
        <f t="shared" si="81"/>
        <v>0</v>
      </c>
      <c r="J213" s="115">
        <f t="shared" si="81"/>
        <v>0</v>
      </c>
      <c r="K213" s="115">
        <f t="shared" si="81"/>
        <v>0</v>
      </c>
      <c r="L213" s="115">
        <f t="shared" si="81"/>
        <v>0</v>
      </c>
      <c r="M213" s="115">
        <f t="shared" si="81"/>
        <v>0</v>
      </c>
      <c r="N213" s="115">
        <f t="shared" si="81"/>
        <v>0</v>
      </c>
      <c r="O213" s="115">
        <f t="shared" si="81"/>
        <v>0</v>
      </c>
      <c r="P213" s="115">
        <f t="shared" si="81"/>
        <v>0</v>
      </c>
      <c r="Q213" s="115">
        <f t="shared" si="81"/>
        <v>0</v>
      </c>
      <c r="R213" s="115">
        <f t="shared" si="81"/>
        <v>0</v>
      </c>
      <c r="S213" s="115">
        <f t="shared" si="81"/>
        <v>0</v>
      </c>
      <c r="T213" s="115">
        <f t="shared" si="81"/>
        <v>0</v>
      </c>
      <c r="U213" s="115">
        <f t="shared" si="81"/>
        <v>0</v>
      </c>
      <c r="V213" s="115">
        <f t="shared" si="81"/>
        <v>0</v>
      </c>
      <c r="W213" s="115">
        <f t="shared" si="81"/>
        <v>0</v>
      </c>
      <c r="X213" s="115">
        <f t="shared" si="81"/>
        <v>0</v>
      </c>
      <c r="Y213" s="115">
        <f t="shared" si="81"/>
        <v>0</v>
      </c>
      <c r="Z213" s="115">
        <f t="shared" si="81"/>
        <v>0</v>
      </c>
      <c r="AA213" s="115">
        <f t="shared" si="81"/>
        <v>0</v>
      </c>
      <c r="AB213" s="115">
        <f t="shared" si="81"/>
        <v>0</v>
      </c>
      <c r="AC213" s="115">
        <f t="shared" si="81"/>
        <v>0</v>
      </c>
      <c r="AD213" s="115">
        <f t="shared" si="81"/>
        <v>0</v>
      </c>
      <c r="AE213" s="115">
        <f t="shared" si="81"/>
        <v>0</v>
      </c>
      <c r="AF213" s="115">
        <f t="shared" si="81"/>
        <v>0</v>
      </c>
      <c r="AG213" s="115">
        <f t="shared" si="81"/>
        <v>0</v>
      </c>
      <c r="AH213" s="115">
        <f t="shared" si="81"/>
        <v>0</v>
      </c>
      <c r="AI213" s="115">
        <f t="shared" si="81"/>
        <v>0</v>
      </c>
      <c r="AJ213" s="115">
        <f t="shared" si="81"/>
        <v>0</v>
      </c>
      <c r="AK213" s="115">
        <f t="shared" si="81"/>
        <v>0</v>
      </c>
      <c r="AL213" s="115">
        <f t="shared" si="81"/>
        <v>0</v>
      </c>
      <c r="AM213" s="115">
        <f t="shared" si="81"/>
        <v>0</v>
      </c>
      <c r="AN213" s="115">
        <f t="shared" si="81"/>
        <v>0</v>
      </c>
      <c r="AO213" s="115">
        <f t="shared" si="81"/>
        <v>0</v>
      </c>
      <c r="AP213" s="115">
        <f t="shared" si="81"/>
        <v>0</v>
      </c>
    </row>
    <row r="214" spans="1:42" x14ac:dyDescent="0.2">
      <c r="A214" s="84" t="str">
        <f>Inputs!B126</f>
        <v>Investment Based Incentive (IBI)</v>
      </c>
    </row>
    <row r="215" spans="1:42" x14ac:dyDescent="0.2">
      <c r="A215" s="85" t="str">
        <f>Inputs!B127</f>
        <v>As fixed amount</v>
      </c>
    </row>
    <row r="216" spans="1:42" x14ac:dyDescent="0.2">
      <c r="A216" s="78" t="s">
        <v>4</v>
      </c>
      <c r="C216" s="115">
        <f>IF(ibi_fed_amount_tax_sta="Yes",C601,0)</f>
        <v>0</v>
      </c>
    </row>
    <row r="217" spans="1:42" x14ac:dyDescent="0.2">
      <c r="A217" s="78" t="s">
        <v>5</v>
      </c>
      <c r="C217" s="115">
        <f>IF(ibi_sta_amount_tax_sta="Yes",C602,0)</f>
        <v>0</v>
      </c>
    </row>
    <row r="218" spans="1:42" x14ac:dyDescent="0.2">
      <c r="A218" s="78" t="s">
        <v>165</v>
      </c>
      <c r="C218" s="115">
        <f>IF(ibi_uti_amount_tax_sta="Yes",C603,0)</f>
        <v>0</v>
      </c>
    </row>
    <row r="219" spans="1:42" x14ac:dyDescent="0.2">
      <c r="A219" s="78" t="s">
        <v>166</v>
      </c>
      <c r="C219" s="116">
        <f>IF(ibi_oth_amount_tax_sta="Yes",C604,0)</f>
        <v>0</v>
      </c>
    </row>
    <row r="220" spans="1:42" x14ac:dyDescent="0.2">
      <c r="A220" s="78" t="s">
        <v>13</v>
      </c>
      <c r="C220" s="115">
        <f>SUM(C216:C219)</f>
        <v>0</v>
      </c>
    </row>
    <row r="221" spans="1:42" x14ac:dyDescent="0.2">
      <c r="A221" s="85" t="str">
        <f>Inputs!B132</f>
        <v>As percentage</v>
      </c>
      <c r="C221" s="14"/>
    </row>
    <row r="222" spans="1:42" x14ac:dyDescent="0.2">
      <c r="A222" s="78" t="s">
        <v>4</v>
      </c>
      <c r="C222" s="115">
        <f>IF(ibi_fed_percent_tax_sta="Yes",C607,0)</f>
        <v>0</v>
      </c>
    </row>
    <row r="223" spans="1:42" x14ac:dyDescent="0.2">
      <c r="A223" s="78" t="s">
        <v>5</v>
      </c>
      <c r="C223" s="115">
        <f>IF(ibi_sta_percent_tax_sta="Yes",C608,0)</f>
        <v>0</v>
      </c>
    </row>
    <row r="224" spans="1:42" x14ac:dyDescent="0.2">
      <c r="A224" s="78" t="s">
        <v>165</v>
      </c>
      <c r="C224" s="115">
        <f>IF(ibi_uti_percent_tax_sta="Yes",C609,0)</f>
        <v>0</v>
      </c>
    </row>
    <row r="225" spans="1:42" x14ac:dyDescent="0.2">
      <c r="A225" s="78" t="s">
        <v>166</v>
      </c>
      <c r="C225" s="116">
        <f>IF(ibi_oth_percent_tax_sta="Yes",C610,0)</f>
        <v>0</v>
      </c>
    </row>
    <row r="226" spans="1:42" x14ac:dyDescent="0.2">
      <c r="A226" s="78" t="s">
        <v>13</v>
      </c>
      <c r="C226" s="115">
        <f>SUM(C222:C225)</f>
        <v>0</v>
      </c>
    </row>
    <row r="227" spans="1:42" x14ac:dyDescent="0.2">
      <c r="A227" s="84" t="str">
        <f>Inputs!B137</f>
        <v>Capacity Based Incentive (CBI)</v>
      </c>
    </row>
    <row r="228" spans="1:42" x14ac:dyDescent="0.2">
      <c r="A228" s="85" t="s">
        <v>4</v>
      </c>
      <c r="C228" s="115">
        <f>IF(cbi_fed_tax_sta="Yes",C614,0)</f>
        <v>0</v>
      </c>
    </row>
    <row r="229" spans="1:42" x14ac:dyDescent="0.2">
      <c r="A229" s="85" t="s">
        <v>5</v>
      </c>
      <c r="C229" s="115">
        <f>IF(cbi_sta_tax_sta="Yes",C615,0)</f>
        <v>0</v>
      </c>
    </row>
    <row r="230" spans="1:42" x14ac:dyDescent="0.2">
      <c r="A230" s="85" t="s">
        <v>165</v>
      </c>
      <c r="C230" s="115">
        <f>IF(cbi_uti_tax_sta="Yes",C616,0)</f>
        <v>0</v>
      </c>
    </row>
    <row r="231" spans="1:42" x14ac:dyDescent="0.2">
      <c r="A231" s="85" t="s">
        <v>166</v>
      </c>
      <c r="C231" s="116">
        <f>IF(cbi_oth_tax_sta="Yes",C617,0)</f>
        <v>0</v>
      </c>
    </row>
    <row r="232" spans="1:42" x14ac:dyDescent="0.2">
      <c r="A232" s="85" t="s">
        <v>13</v>
      </c>
      <c r="C232" s="115">
        <f>SUM(C228:C231)</f>
        <v>0</v>
      </c>
    </row>
    <row r="233" spans="1:42" x14ac:dyDescent="0.2">
      <c r="A233" s="84" t="str">
        <f>Inputs!B142</f>
        <v>Production Based Incentive (PBI)</v>
      </c>
      <c r="C233" s="14"/>
    </row>
    <row r="234" spans="1:42" x14ac:dyDescent="0.2">
      <c r="A234" s="85" t="s">
        <v>4</v>
      </c>
      <c r="C234" s="115">
        <f t="shared" ref="C234:AP234" si="82">IF(AND(pbi_fed_tax_sta="Yes",pbi_fed_for_ds="No"),C624,0)</f>
        <v>0</v>
      </c>
      <c r="D234" s="115">
        <f t="shared" si="82"/>
        <v>0</v>
      </c>
      <c r="E234" s="115">
        <f t="shared" si="82"/>
        <v>0</v>
      </c>
      <c r="F234" s="115">
        <f t="shared" si="82"/>
        <v>0</v>
      </c>
      <c r="G234" s="115">
        <f t="shared" si="82"/>
        <v>0</v>
      </c>
      <c r="H234" s="115">
        <f t="shared" si="82"/>
        <v>0</v>
      </c>
      <c r="I234" s="115">
        <f t="shared" si="82"/>
        <v>0</v>
      </c>
      <c r="J234" s="115">
        <f t="shared" si="82"/>
        <v>0</v>
      </c>
      <c r="K234" s="115">
        <f t="shared" si="82"/>
        <v>0</v>
      </c>
      <c r="L234" s="115">
        <f t="shared" si="82"/>
        <v>0</v>
      </c>
      <c r="M234" s="115">
        <f t="shared" si="82"/>
        <v>0</v>
      </c>
      <c r="N234" s="115">
        <f t="shared" si="82"/>
        <v>0</v>
      </c>
      <c r="O234" s="115">
        <f t="shared" si="82"/>
        <v>0</v>
      </c>
      <c r="P234" s="115">
        <f t="shared" si="82"/>
        <v>0</v>
      </c>
      <c r="Q234" s="115">
        <f t="shared" si="82"/>
        <v>0</v>
      </c>
      <c r="R234" s="115">
        <f t="shared" si="82"/>
        <v>0</v>
      </c>
      <c r="S234" s="115">
        <f t="shared" si="82"/>
        <v>0</v>
      </c>
      <c r="T234" s="115">
        <f t="shared" si="82"/>
        <v>0</v>
      </c>
      <c r="U234" s="115">
        <f t="shared" si="82"/>
        <v>0</v>
      </c>
      <c r="V234" s="115">
        <f t="shared" si="82"/>
        <v>0</v>
      </c>
      <c r="W234" s="115">
        <f t="shared" si="82"/>
        <v>0</v>
      </c>
      <c r="X234" s="115">
        <f t="shared" si="82"/>
        <v>0</v>
      </c>
      <c r="Y234" s="115">
        <f t="shared" si="82"/>
        <v>0</v>
      </c>
      <c r="Z234" s="115">
        <f t="shared" si="82"/>
        <v>0</v>
      </c>
      <c r="AA234" s="115">
        <f t="shared" si="82"/>
        <v>0</v>
      </c>
      <c r="AB234" s="115">
        <f t="shared" si="82"/>
        <v>0</v>
      </c>
      <c r="AC234" s="115">
        <f t="shared" si="82"/>
        <v>0</v>
      </c>
      <c r="AD234" s="115">
        <f t="shared" si="82"/>
        <v>0</v>
      </c>
      <c r="AE234" s="115">
        <f t="shared" si="82"/>
        <v>0</v>
      </c>
      <c r="AF234" s="115">
        <f t="shared" si="82"/>
        <v>0</v>
      </c>
      <c r="AG234" s="115">
        <f t="shared" si="82"/>
        <v>0</v>
      </c>
      <c r="AH234" s="115">
        <f t="shared" si="82"/>
        <v>0</v>
      </c>
      <c r="AI234" s="115">
        <f t="shared" si="82"/>
        <v>0</v>
      </c>
      <c r="AJ234" s="115">
        <f t="shared" si="82"/>
        <v>0</v>
      </c>
      <c r="AK234" s="115">
        <f t="shared" si="82"/>
        <v>0</v>
      </c>
      <c r="AL234" s="115">
        <f t="shared" si="82"/>
        <v>0</v>
      </c>
      <c r="AM234" s="115">
        <f t="shared" si="82"/>
        <v>0</v>
      </c>
      <c r="AN234" s="115">
        <f t="shared" si="82"/>
        <v>0</v>
      </c>
      <c r="AO234" s="115">
        <f t="shared" si="82"/>
        <v>0</v>
      </c>
      <c r="AP234" s="115">
        <f t="shared" si="82"/>
        <v>0</v>
      </c>
    </row>
    <row r="235" spans="1:42" x14ac:dyDescent="0.2">
      <c r="A235" s="85" t="s">
        <v>5</v>
      </c>
      <c r="C235" s="115">
        <f t="shared" ref="C235:AP235" si="83">IF(AND(pbi_sta_tax_sta="Yes",pbi_sta_for_ds="No"),C628,0)</f>
        <v>0</v>
      </c>
      <c r="D235" s="115">
        <f t="shared" si="83"/>
        <v>0</v>
      </c>
      <c r="E235" s="115">
        <f t="shared" si="83"/>
        <v>0</v>
      </c>
      <c r="F235" s="115">
        <f t="shared" si="83"/>
        <v>0</v>
      </c>
      <c r="G235" s="115">
        <f t="shared" si="83"/>
        <v>0</v>
      </c>
      <c r="H235" s="115">
        <f t="shared" si="83"/>
        <v>0</v>
      </c>
      <c r="I235" s="115">
        <f t="shared" si="83"/>
        <v>0</v>
      </c>
      <c r="J235" s="115">
        <f t="shared" si="83"/>
        <v>0</v>
      </c>
      <c r="K235" s="115">
        <f t="shared" si="83"/>
        <v>0</v>
      </c>
      <c r="L235" s="115">
        <f t="shared" si="83"/>
        <v>0</v>
      </c>
      <c r="M235" s="115">
        <f t="shared" si="83"/>
        <v>0</v>
      </c>
      <c r="N235" s="115">
        <f t="shared" si="83"/>
        <v>0</v>
      </c>
      <c r="O235" s="115">
        <f t="shared" si="83"/>
        <v>0</v>
      </c>
      <c r="P235" s="115">
        <f t="shared" si="83"/>
        <v>0</v>
      </c>
      <c r="Q235" s="115">
        <f t="shared" si="83"/>
        <v>0</v>
      </c>
      <c r="R235" s="115">
        <f t="shared" si="83"/>
        <v>0</v>
      </c>
      <c r="S235" s="115">
        <f t="shared" si="83"/>
        <v>0</v>
      </c>
      <c r="T235" s="115">
        <f t="shared" si="83"/>
        <v>0</v>
      </c>
      <c r="U235" s="115">
        <f t="shared" si="83"/>
        <v>0</v>
      </c>
      <c r="V235" s="115">
        <f t="shared" si="83"/>
        <v>0</v>
      </c>
      <c r="W235" s="115">
        <f t="shared" si="83"/>
        <v>0</v>
      </c>
      <c r="X235" s="115">
        <f t="shared" si="83"/>
        <v>0</v>
      </c>
      <c r="Y235" s="115">
        <f t="shared" si="83"/>
        <v>0</v>
      </c>
      <c r="Z235" s="115">
        <f t="shared" si="83"/>
        <v>0</v>
      </c>
      <c r="AA235" s="115">
        <f t="shared" si="83"/>
        <v>0</v>
      </c>
      <c r="AB235" s="115">
        <f t="shared" si="83"/>
        <v>0</v>
      </c>
      <c r="AC235" s="115">
        <f t="shared" si="83"/>
        <v>0</v>
      </c>
      <c r="AD235" s="115">
        <f t="shared" si="83"/>
        <v>0</v>
      </c>
      <c r="AE235" s="115">
        <f t="shared" si="83"/>
        <v>0</v>
      </c>
      <c r="AF235" s="115">
        <f t="shared" si="83"/>
        <v>0</v>
      </c>
      <c r="AG235" s="115">
        <f t="shared" si="83"/>
        <v>0</v>
      </c>
      <c r="AH235" s="115">
        <f t="shared" si="83"/>
        <v>0</v>
      </c>
      <c r="AI235" s="115">
        <f t="shared" si="83"/>
        <v>0</v>
      </c>
      <c r="AJ235" s="115">
        <f t="shared" si="83"/>
        <v>0</v>
      </c>
      <c r="AK235" s="115">
        <f t="shared" si="83"/>
        <v>0</v>
      </c>
      <c r="AL235" s="115">
        <f t="shared" si="83"/>
        <v>0</v>
      </c>
      <c r="AM235" s="115">
        <f t="shared" si="83"/>
        <v>0</v>
      </c>
      <c r="AN235" s="115">
        <f t="shared" si="83"/>
        <v>0</v>
      </c>
      <c r="AO235" s="115">
        <f t="shared" si="83"/>
        <v>0</v>
      </c>
      <c r="AP235" s="115">
        <f t="shared" si="83"/>
        <v>0</v>
      </c>
    </row>
    <row r="236" spans="1:42" x14ac:dyDescent="0.2">
      <c r="A236" s="85" t="s">
        <v>165</v>
      </c>
      <c r="C236" s="115">
        <f t="shared" ref="C236:AP236" si="84">IF(AND(pbi_uti_tax_sta="Yes",pbi_uti_for_ds="No"),C632,0)</f>
        <v>0</v>
      </c>
      <c r="D236" s="115">
        <f t="shared" si="84"/>
        <v>0</v>
      </c>
      <c r="E236" s="115">
        <f t="shared" si="84"/>
        <v>0</v>
      </c>
      <c r="F236" s="115">
        <f t="shared" si="84"/>
        <v>0</v>
      </c>
      <c r="G236" s="115">
        <f t="shared" si="84"/>
        <v>0</v>
      </c>
      <c r="H236" s="115">
        <f t="shared" si="84"/>
        <v>0</v>
      </c>
      <c r="I236" s="115">
        <f t="shared" si="84"/>
        <v>0</v>
      </c>
      <c r="J236" s="115">
        <f t="shared" si="84"/>
        <v>0</v>
      </c>
      <c r="K236" s="115">
        <f t="shared" si="84"/>
        <v>0</v>
      </c>
      <c r="L236" s="115">
        <f t="shared" si="84"/>
        <v>0</v>
      </c>
      <c r="M236" s="115">
        <f t="shared" si="84"/>
        <v>0</v>
      </c>
      <c r="N236" s="115">
        <f t="shared" si="84"/>
        <v>0</v>
      </c>
      <c r="O236" s="115">
        <f t="shared" si="84"/>
        <v>0</v>
      </c>
      <c r="P236" s="115">
        <f t="shared" si="84"/>
        <v>0</v>
      </c>
      <c r="Q236" s="115">
        <f t="shared" si="84"/>
        <v>0</v>
      </c>
      <c r="R236" s="115">
        <f t="shared" si="84"/>
        <v>0</v>
      </c>
      <c r="S236" s="115">
        <f t="shared" si="84"/>
        <v>0</v>
      </c>
      <c r="T236" s="115">
        <f t="shared" si="84"/>
        <v>0</v>
      </c>
      <c r="U236" s="115">
        <f t="shared" si="84"/>
        <v>0</v>
      </c>
      <c r="V236" s="115">
        <f t="shared" si="84"/>
        <v>0</v>
      </c>
      <c r="W236" s="115">
        <f t="shared" si="84"/>
        <v>0</v>
      </c>
      <c r="X236" s="115">
        <f t="shared" si="84"/>
        <v>0</v>
      </c>
      <c r="Y236" s="115">
        <f t="shared" si="84"/>
        <v>0</v>
      </c>
      <c r="Z236" s="115">
        <f t="shared" si="84"/>
        <v>0</v>
      </c>
      <c r="AA236" s="115">
        <f t="shared" si="84"/>
        <v>0</v>
      </c>
      <c r="AB236" s="115">
        <f t="shared" si="84"/>
        <v>0</v>
      </c>
      <c r="AC236" s="115">
        <f t="shared" si="84"/>
        <v>0</v>
      </c>
      <c r="AD236" s="115">
        <f t="shared" si="84"/>
        <v>0</v>
      </c>
      <c r="AE236" s="115">
        <f t="shared" si="84"/>
        <v>0</v>
      </c>
      <c r="AF236" s="115">
        <f t="shared" si="84"/>
        <v>0</v>
      </c>
      <c r="AG236" s="115">
        <f t="shared" si="84"/>
        <v>0</v>
      </c>
      <c r="AH236" s="115">
        <f t="shared" si="84"/>
        <v>0</v>
      </c>
      <c r="AI236" s="115">
        <f t="shared" si="84"/>
        <v>0</v>
      </c>
      <c r="AJ236" s="115">
        <f t="shared" si="84"/>
        <v>0</v>
      </c>
      <c r="AK236" s="115">
        <f t="shared" si="84"/>
        <v>0</v>
      </c>
      <c r="AL236" s="115">
        <f t="shared" si="84"/>
        <v>0</v>
      </c>
      <c r="AM236" s="115">
        <f t="shared" si="84"/>
        <v>0</v>
      </c>
      <c r="AN236" s="115">
        <f t="shared" si="84"/>
        <v>0</v>
      </c>
      <c r="AO236" s="115">
        <f t="shared" si="84"/>
        <v>0</v>
      </c>
      <c r="AP236" s="115">
        <f t="shared" si="84"/>
        <v>0</v>
      </c>
    </row>
    <row r="237" spans="1:42" x14ac:dyDescent="0.2">
      <c r="A237" s="85" t="s">
        <v>166</v>
      </c>
      <c r="C237" s="116">
        <f t="shared" ref="C237:AP237" si="85">IF(AND(pbi_oth_tax_sta="Yes",pbi_oth_for_ds="No"),C636,0)</f>
        <v>0</v>
      </c>
      <c r="D237" s="116">
        <f t="shared" si="85"/>
        <v>0</v>
      </c>
      <c r="E237" s="116">
        <f t="shared" si="85"/>
        <v>0</v>
      </c>
      <c r="F237" s="116">
        <f t="shared" si="85"/>
        <v>0</v>
      </c>
      <c r="G237" s="116">
        <f t="shared" si="85"/>
        <v>0</v>
      </c>
      <c r="H237" s="116">
        <f t="shared" si="85"/>
        <v>0</v>
      </c>
      <c r="I237" s="116">
        <f t="shared" si="85"/>
        <v>0</v>
      </c>
      <c r="J237" s="116">
        <f t="shared" si="85"/>
        <v>0</v>
      </c>
      <c r="K237" s="116">
        <f t="shared" si="85"/>
        <v>0</v>
      </c>
      <c r="L237" s="116">
        <f t="shared" si="85"/>
        <v>0</v>
      </c>
      <c r="M237" s="116">
        <f t="shared" si="85"/>
        <v>0</v>
      </c>
      <c r="N237" s="116">
        <f t="shared" si="85"/>
        <v>0</v>
      </c>
      <c r="O237" s="116">
        <f t="shared" si="85"/>
        <v>0</v>
      </c>
      <c r="P237" s="116">
        <f t="shared" si="85"/>
        <v>0</v>
      </c>
      <c r="Q237" s="116">
        <f t="shared" si="85"/>
        <v>0</v>
      </c>
      <c r="R237" s="116">
        <f t="shared" si="85"/>
        <v>0</v>
      </c>
      <c r="S237" s="116">
        <f t="shared" si="85"/>
        <v>0</v>
      </c>
      <c r="T237" s="116">
        <f t="shared" si="85"/>
        <v>0</v>
      </c>
      <c r="U237" s="116">
        <f t="shared" si="85"/>
        <v>0</v>
      </c>
      <c r="V237" s="116">
        <f t="shared" si="85"/>
        <v>0</v>
      </c>
      <c r="W237" s="116">
        <f t="shared" si="85"/>
        <v>0</v>
      </c>
      <c r="X237" s="116">
        <f t="shared" si="85"/>
        <v>0</v>
      </c>
      <c r="Y237" s="116">
        <f t="shared" si="85"/>
        <v>0</v>
      </c>
      <c r="Z237" s="116">
        <f t="shared" si="85"/>
        <v>0</v>
      </c>
      <c r="AA237" s="116">
        <f t="shared" si="85"/>
        <v>0</v>
      </c>
      <c r="AB237" s="116">
        <f t="shared" si="85"/>
        <v>0</v>
      </c>
      <c r="AC237" s="116">
        <f t="shared" si="85"/>
        <v>0</v>
      </c>
      <c r="AD237" s="116">
        <f t="shared" si="85"/>
        <v>0</v>
      </c>
      <c r="AE237" s="116">
        <f t="shared" si="85"/>
        <v>0</v>
      </c>
      <c r="AF237" s="116">
        <f t="shared" si="85"/>
        <v>0</v>
      </c>
      <c r="AG237" s="116">
        <f t="shared" si="85"/>
        <v>0</v>
      </c>
      <c r="AH237" s="116">
        <f t="shared" si="85"/>
        <v>0</v>
      </c>
      <c r="AI237" s="116">
        <f t="shared" si="85"/>
        <v>0</v>
      </c>
      <c r="AJ237" s="116">
        <f t="shared" si="85"/>
        <v>0</v>
      </c>
      <c r="AK237" s="116">
        <f t="shared" si="85"/>
        <v>0</v>
      </c>
      <c r="AL237" s="116">
        <f t="shared" si="85"/>
        <v>0</v>
      </c>
      <c r="AM237" s="116">
        <f t="shared" si="85"/>
        <v>0</v>
      </c>
      <c r="AN237" s="116">
        <f t="shared" si="85"/>
        <v>0</v>
      </c>
      <c r="AO237" s="116">
        <f t="shared" si="85"/>
        <v>0</v>
      </c>
      <c r="AP237" s="116">
        <f t="shared" si="85"/>
        <v>0</v>
      </c>
    </row>
    <row r="238" spans="1:42" x14ac:dyDescent="0.2">
      <c r="A238" s="85" t="s">
        <v>13</v>
      </c>
      <c r="C238" s="142">
        <f>SUM(C234:C237)</f>
        <v>0</v>
      </c>
      <c r="D238" s="142">
        <f t="shared" ref="D238:AL238" si="86">SUM(D234:D237)</f>
        <v>0</v>
      </c>
      <c r="E238" s="142">
        <f t="shared" si="86"/>
        <v>0</v>
      </c>
      <c r="F238" s="142">
        <f t="shared" si="86"/>
        <v>0</v>
      </c>
      <c r="G238" s="142">
        <f t="shared" si="86"/>
        <v>0</v>
      </c>
      <c r="H238" s="142">
        <f t="shared" si="86"/>
        <v>0</v>
      </c>
      <c r="I238" s="142">
        <f t="shared" si="86"/>
        <v>0</v>
      </c>
      <c r="J238" s="142">
        <f t="shared" si="86"/>
        <v>0</v>
      </c>
      <c r="K238" s="142">
        <f t="shared" si="86"/>
        <v>0</v>
      </c>
      <c r="L238" s="142">
        <f t="shared" si="86"/>
        <v>0</v>
      </c>
      <c r="M238" s="142">
        <f t="shared" si="86"/>
        <v>0</v>
      </c>
      <c r="N238" s="142">
        <f t="shared" si="86"/>
        <v>0</v>
      </c>
      <c r="O238" s="142">
        <f t="shared" si="86"/>
        <v>0</v>
      </c>
      <c r="P238" s="142">
        <f t="shared" si="86"/>
        <v>0</v>
      </c>
      <c r="Q238" s="142">
        <f t="shared" si="86"/>
        <v>0</v>
      </c>
      <c r="R238" s="142">
        <f t="shared" si="86"/>
        <v>0</v>
      </c>
      <c r="S238" s="142">
        <f t="shared" si="86"/>
        <v>0</v>
      </c>
      <c r="T238" s="142">
        <f t="shared" si="86"/>
        <v>0</v>
      </c>
      <c r="U238" s="142">
        <f t="shared" si="86"/>
        <v>0</v>
      </c>
      <c r="V238" s="142">
        <f t="shared" si="86"/>
        <v>0</v>
      </c>
      <c r="W238" s="142">
        <f t="shared" si="86"/>
        <v>0</v>
      </c>
      <c r="X238" s="142">
        <f t="shared" si="86"/>
        <v>0</v>
      </c>
      <c r="Y238" s="142">
        <f t="shared" si="86"/>
        <v>0</v>
      </c>
      <c r="Z238" s="142">
        <f t="shared" si="86"/>
        <v>0</v>
      </c>
      <c r="AA238" s="142">
        <f t="shared" si="86"/>
        <v>0</v>
      </c>
      <c r="AB238" s="142">
        <f t="shared" si="86"/>
        <v>0</v>
      </c>
      <c r="AC238" s="142">
        <f t="shared" si="86"/>
        <v>0</v>
      </c>
      <c r="AD238" s="142">
        <f t="shared" si="86"/>
        <v>0</v>
      </c>
      <c r="AE238" s="142">
        <f t="shared" si="86"/>
        <v>0</v>
      </c>
      <c r="AF238" s="142">
        <f t="shared" si="86"/>
        <v>0</v>
      </c>
      <c r="AG238" s="142">
        <f t="shared" si="86"/>
        <v>0</v>
      </c>
      <c r="AH238" s="142">
        <f t="shared" si="86"/>
        <v>0</v>
      </c>
      <c r="AI238" s="142">
        <f t="shared" si="86"/>
        <v>0</v>
      </c>
      <c r="AJ238" s="142">
        <f t="shared" si="86"/>
        <v>0</v>
      </c>
      <c r="AK238" s="142">
        <f t="shared" si="86"/>
        <v>0</v>
      </c>
      <c r="AL238" s="142">
        <f t="shared" si="86"/>
        <v>0</v>
      </c>
      <c r="AM238" s="142">
        <f>SUM(AM234:AM237)</f>
        <v>0</v>
      </c>
      <c r="AN238" s="142">
        <f t="shared" ref="AN238:AP238" si="87">SUM(AN234:AN237)</f>
        <v>0</v>
      </c>
      <c r="AO238" s="142">
        <f t="shared" si="87"/>
        <v>0</v>
      </c>
      <c r="AP238" s="142">
        <f t="shared" si="87"/>
        <v>0</v>
      </c>
    </row>
    <row r="239" spans="1:42" x14ac:dyDescent="0.2">
      <c r="A239" s="84" t="s">
        <v>41</v>
      </c>
      <c r="C239" s="115">
        <f>C220+C226+C232+C238</f>
        <v>0</v>
      </c>
      <c r="D239" s="115">
        <f>D220+D226+D232+D238</f>
        <v>0</v>
      </c>
      <c r="E239" s="115">
        <f t="shared" ref="E239:AP239" si="88">E220+E226+E232+E238</f>
        <v>0</v>
      </c>
      <c r="F239" s="115">
        <f t="shared" si="88"/>
        <v>0</v>
      </c>
      <c r="G239" s="115">
        <f t="shared" si="88"/>
        <v>0</v>
      </c>
      <c r="H239" s="115">
        <f t="shared" si="88"/>
        <v>0</v>
      </c>
      <c r="I239" s="115">
        <f t="shared" si="88"/>
        <v>0</v>
      </c>
      <c r="J239" s="115">
        <f t="shared" si="88"/>
        <v>0</v>
      </c>
      <c r="K239" s="115">
        <f t="shared" si="88"/>
        <v>0</v>
      </c>
      <c r="L239" s="115">
        <f t="shared" si="88"/>
        <v>0</v>
      </c>
      <c r="M239" s="115">
        <f t="shared" si="88"/>
        <v>0</v>
      </c>
      <c r="N239" s="115">
        <f t="shared" si="88"/>
        <v>0</v>
      </c>
      <c r="O239" s="115">
        <f t="shared" si="88"/>
        <v>0</v>
      </c>
      <c r="P239" s="115">
        <f t="shared" si="88"/>
        <v>0</v>
      </c>
      <c r="Q239" s="115">
        <f t="shared" si="88"/>
        <v>0</v>
      </c>
      <c r="R239" s="115">
        <f t="shared" si="88"/>
        <v>0</v>
      </c>
      <c r="S239" s="115">
        <f t="shared" si="88"/>
        <v>0</v>
      </c>
      <c r="T239" s="115">
        <f t="shared" si="88"/>
        <v>0</v>
      </c>
      <c r="U239" s="115">
        <f t="shared" si="88"/>
        <v>0</v>
      </c>
      <c r="V239" s="115">
        <f t="shared" si="88"/>
        <v>0</v>
      </c>
      <c r="W239" s="115">
        <f t="shared" si="88"/>
        <v>0</v>
      </c>
      <c r="X239" s="115">
        <f t="shared" si="88"/>
        <v>0</v>
      </c>
      <c r="Y239" s="115">
        <f t="shared" si="88"/>
        <v>0</v>
      </c>
      <c r="Z239" s="115">
        <f t="shared" si="88"/>
        <v>0</v>
      </c>
      <c r="AA239" s="115">
        <f t="shared" si="88"/>
        <v>0</v>
      </c>
      <c r="AB239" s="115">
        <f t="shared" si="88"/>
        <v>0</v>
      </c>
      <c r="AC239" s="115">
        <f t="shared" si="88"/>
        <v>0</v>
      </c>
      <c r="AD239" s="115">
        <f t="shared" si="88"/>
        <v>0</v>
      </c>
      <c r="AE239" s="115">
        <f t="shared" si="88"/>
        <v>0</v>
      </c>
      <c r="AF239" s="115">
        <f t="shared" si="88"/>
        <v>0</v>
      </c>
      <c r="AG239" s="115">
        <f t="shared" si="88"/>
        <v>0</v>
      </c>
      <c r="AH239" s="115">
        <f t="shared" si="88"/>
        <v>0</v>
      </c>
      <c r="AI239" s="115">
        <f t="shared" si="88"/>
        <v>0</v>
      </c>
      <c r="AJ239" s="115">
        <f t="shared" si="88"/>
        <v>0</v>
      </c>
      <c r="AK239" s="115">
        <f t="shared" si="88"/>
        <v>0</v>
      </c>
      <c r="AL239" s="115">
        <f t="shared" si="88"/>
        <v>0</v>
      </c>
      <c r="AM239" s="115">
        <f t="shared" si="88"/>
        <v>0</v>
      </c>
      <c r="AN239" s="115">
        <f t="shared" si="88"/>
        <v>0</v>
      </c>
      <c r="AO239" s="115">
        <f t="shared" si="88"/>
        <v>0</v>
      </c>
      <c r="AP239" s="115">
        <f t="shared" si="88"/>
        <v>0</v>
      </c>
    </row>
    <row r="240" spans="1:42" x14ac:dyDescent="0.2">
      <c r="A240" s="85"/>
    </row>
    <row r="241" spans="1:42" x14ac:dyDescent="0.2">
      <c r="A241" s="84" t="s">
        <v>168</v>
      </c>
      <c r="C241" s="152">
        <f>C213+C239</f>
        <v>0</v>
      </c>
      <c r="D241" s="152">
        <f t="shared" ref="D241:AP241" si="89">D213+D239</f>
        <v>0</v>
      </c>
      <c r="E241" s="152">
        <f t="shared" si="89"/>
        <v>0</v>
      </c>
      <c r="F241" s="152">
        <f t="shared" si="89"/>
        <v>0</v>
      </c>
      <c r="G241" s="152">
        <f t="shared" si="89"/>
        <v>0</v>
      </c>
      <c r="H241" s="152">
        <f t="shared" si="89"/>
        <v>0</v>
      </c>
      <c r="I241" s="152">
        <f t="shared" si="89"/>
        <v>0</v>
      </c>
      <c r="J241" s="152">
        <f t="shared" si="89"/>
        <v>0</v>
      </c>
      <c r="K241" s="152">
        <f t="shared" si="89"/>
        <v>0</v>
      </c>
      <c r="L241" s="152">
        <f t="shared" si="89"/>
        <v>0</v>
      </c>
      <c r="M241" s="152">
        <f t="shared" si="89"/>
        <v>0</v>
      </c>
      <c r="N241" s="152">
        <f t="shared" si="89"/>
        <v>0</v>
      </c>
      <c r="O241" s="152">
        <f t="shared" si="89"/>
        <v>0</v>
      </c>
      <c r="P241" s="152">
        <f t="shared" si="89"/>
        <v>0</v>
      </c>
      <c r="Q241" s="152">
        <f t="shared" si="89"/>
        <v>0</v>
      </c>
      <c r="R241" s="152">
        <f t="shared" si="89"/>
        <v>0</v>
      </c>
      <c r="S241" s="152">
        <f t="shared" si="89"/>
        <v>0</v>
      </c>
      <c r="T241" s="152">
        <f t="shared" si="89"/>
        <v>0</v>
      </c>
      <c r="U241" s="152">
        <f t="shared" si="89"/>
        <v>0</v>
      </c>
      <c r="V241" s="152">
        <f t="shared" si="89"/>
        <v>0</v>
      </c>
      <c r="W241" s="152">
        <f t="shared" si="89"/>
        <v>0</v>
      </c>
      <c r="X241" s="152">
        <f t="shared" si="89"/>
        <v>0</v>
      </c>
      <c r="Y241" s="152">
        <f t="shared" si="89"/>
        <v>0</v>
      </c>
      <c r="Z241" s="152">
        <f t="shared" si="89"/>
        <v>0</v>
      </c>
      <c r="AA241" s="152">
        <f t="shared" si="89"/>
        <v>0</v>
      </c>
      <c r="AB241" s="152">
        <f t="shared" si="89"/>
        <v>0</v>
      </c>
      <c r="AC241" s="152">
        <f t="shared" si="89"/>
        <v>0</v>
      </c>
      <c r="AD241" s="152">
        <f t="shared" si="89"/>
        <v>0</v>
      </c>
      <c r="AE241" s="152">
        <f t="shared" si="89"/>
        <v>0</v>
      </c>
      <c r="AF241" s="152">
        <f t="shared" si="89"/>
        <v>0</v>
      </c>
      <c r="AG241" s="152">
        <f t="shared" si="89"/>
        <v>0</v>
      </c>
      <c r="AH241" s="152">
        <f t="shared" si="89"/>
        <v>0</v>
      </c>
      <c r="AI241" s="152">
        <f t="shared" si="89"/>
        <v>0</v>
      </c>
      <c r="AJ241" s="152">
        <f t="shared" si="89"/>
        <v>0</v>
      </c>
      <c r="AK241" s="152">
        <f t="shared" si="89"/>
        <v>0</v>
      </c>
      <c r="AL241" s="152">
        <f t="shared" si="89"/>
        <v>0</v>
      </c>
      <c r="AM241" s="152">
        <f t="shared" si="89"/>
        <v>0</v>
      </c>
      <c r="AN241" s="152">
        <f t="shared" si="89"/>
        <v>0</v>
      </c>
      <c r="AO241" s="152">
        <f t="shared" si="89"/>
        <v>0</v>
      </c>
      <c r="AP241" s="152">
        <f t="shared" si="89"/>
        <v>0</v>
      </c>
    </row>
    <row r="242" spans="1:42" x14ac:dyDescent="0.2">
      <c r="A242" s="84" t="s">
        <v>264</v>
      </c>
      <c r="B242" s="4">
        <f t="array" ref="B242:AP242">Inputs!C179:AQ179</f>
        <v>0</v>
      </c>
      <c r="C242" s="152">
        <v>0</v>
      </c>
      <c r="D242" s="152">
        <v>0</v>
      </c>
      <c r="E242" s="152">
        <v>0</v>
      </c>
      <c r="F242" s="152">
        <v>0</v>
      </c>
      <c r="G242" s="152">
        <v>0</v>
      </c>
      <c r="H242" s="152">
        <v>0</v>
      </c>
      <c r="I242" s="152">
        <v>0</v>
      </c>
      <c r="J242" s="152">
        <v>0</v>
      </c>
      <c r="K242" s="152">
        <v>0</v>
      </c>
      <c r="L242" s="152">
        <v>0</v>
      </c>
      <c r="M242" s="152">
        <v>0</v>
      </c>
      <c r="N242" s="152">
        <v>0</v>
      </c>
      <c r="O242" s="152">
        <v>0</v>
      </c>
      <c r="P242" s="152">
        <v>0</v>
      </c>
      <c r="Q242" s="152">
        <v>0</v>
      </c>
      <c r="R242" s="152">
        <v>0</v>
      </c>
      <c r="S242" s="152">
        <v>0</v>
      </c>
      <c r="T242" s="152">
        <v>0</v>
      </c>
      <c r="U242" s="152">
        <v>0</v>
      </c>
      <c r="V242" s="152">
        <v>0</v>
      </c>
      <c r="W242" s="152">
        <v>0</v>
      </c>
      <c r="X242" s="152">
        <v>0</v>
      </c>
      <c r="Y242" s="152">
        <v>0</v>
      </c>
      <c r="Z242" s="152">
        <v>0</v>
      </c>
      <c r="AA242" s="152">
        <v>0</v>
      </c>
      <c r="AB242" s="152">
        <v>0</v>
      </c>
      <c r="AC242" s="152">
        <v>0</v>
      </c>
      <c r="AD242" s="152">
        <v>0</v>
      </c>
      <c r="AE242" s="152">
        <v>0</v>
      </c>
      <c r="AF242" s="152">
        <v>0</v>
      </c>
      <c r="AG242" s="152">
        <v>0</v>
      </c>
      <c r="AH242" s="152">
        <v>0</v>
      </c>
      <c r="AI242" s="152">
        <v>0</v>
      </c>
      <c r="AJ242" s="152">
        <v>0</v>
      </c>
      <c r="AK242" s="152">
        <v>0</v>
      </c>
      <c r="AL242" s="152">
        <v>0</v>
      </c>
      <c r="AM242" s="152">
        <v>0</v>
      </c>
      <c r="AN242" s="152">
        <v>0</v>
      </c>
      <c r="AO242" s="152">
        <v>0</v>
      </c>
      <c r="AP242" s="152">
        <v>0</v>
      </c>
    </row>
    <row r="243" spans="1:42" x14ac:dyDescent="0.2">
      <c r="A243" s="17" t="s">
        <v>40</v>
      </c>
      <c r="C243" s="155">
        <f>C241*-C242/100</f>
        <v>0</v>
      </c>
      <c r="D243" s="155">
        <f t="shared" ref="D243:AP243" si="90">D241*-D242/100</f>
        <v>0</v>
      </c>
      <c r="E243" s="155">
        <f t="shared" si="90"/>
        <v>0</v>
      </c>
      <c r="F243" s="155">
        <f t="shared" si="90"/>
        <v>0</v>
      </c>
      <c r="G243" s="155">
        <f t="shared" si="90"/>
        <v>0</v>
      </c>
      <c r="H243" s="155">
        <f t="shared" si="90"/>
        <v>0</v>
      </c>
      <c r="I243" s="155">
        <f t="shared" si="90"/>
        <v>0</v>
      </c>
      <c r="J243" s="155">
        <f t="shared" si="90"/>
        <v>0</v>
      </c>
      <c r="K243" s="155">
        <f t="shared" si="90"/>
        <v>0</v>
      </c>
      <c r="L243" s="155">
        <f t="shared" si="90"/>
        <v>0</v>
      </c>
      <c r="M243" s="155">
        <f t="shared" si="90"/>
        <v>0</v>
      </c>
      <c r="N243" s="155">
        <f t="shared" si="90"/>
        <v>0</v>
      </c>
      <c r="O243" s="155">
        <f t="shared" si="90"/>
        <v>0</v>
      </c>
      <c r="P243" s="155">
        <f t="shared" si="90"/>
        <v>0</v>
      </c>
      <c r="Q243" s="155">
        <f t="shared" si="90"/>
        <v>0</v>
      </c>
      <c r="R243" s="155">
        <f t="shared" si="90"/>
        <v>0</v>
      </c>
      <c r="S243" s="155">
        <f t="shared" si="90"/>
        <v>0</v>
      </c>
      <c r="T243" s="155">
        <f t="shared" si="90"/>
        <v>0</v>
      </c>
      <c r="U243" s="155">
        <f t="shared" si="90"/>
        <v>0</v>
      </c>
      <c r="V243" s="155">
        <f t="shared" si="90"/>
        <v>0</v>
      </c>
      <c r="W243" s="155">
        <f t="shared" si="90"/>
        <v>0</v>
      </c>
      <c r="X243" s="155">
        <f t="shared" si="90"/>
        <v>0</v>
      </c>
      <c r="Y243" s="155">
        <f t="shared" si="90"/>
        <v>0</v>
      </c>
      <c r="Z243" s="155">
        <f t="shared" si="90"/>
        <v>0</v>
      </c>
      <c r="AA243" s="155">
        <f t="shared" si="90"/>
        <v>0</v>
      </c>
      <c r="AB243" s="155">
        <f t="shared" si="90"/>
        <v>0</v>
      </c>
      <c r="AC243" s="155">
        <f t="shared" si="90"/>
        <v>0</v>
      </c>
      <c r="AD243" s="155">
        <f t="shared" si="90"/>
        <v>0</v>
      </c>
      <c r="AE243" s="155">
        <f t="shared" si="90"/>
        <v>0</v>
      </c>
      <c r="AF243" s="155">
        <f t="shared" si="90"/>
        <v>0</v>
      </c>
      <c r="AG243" s="155">
        <f t="shared" si="90"/>
        <v>0</v>
      </c>
      <c r="AH243" s="155">
        <f t="shared" si="90"/>
        <v>0</v>
      </c>
      <c r="AI243" s="155">
        <f t="shared" si="90"/>
        <v>0</v>
      </c>
      <c r="AJ243" s="155">
        <f t="shared" si="90"/>
        <v>0</v>
      </c>
      <c r="AK243" s="155">
        <f t="shared" si="90"/>
        <v>0</v>
      </c>
      <c r="AL243" s="155">
        <f t="shared" si="90"/>
        <v>0</v>
      </c>
      <c r="AM243" s="155">
        <f t="shared" si="90"/>
        <v>0</v>
      </c>
      <c r="AN243" s="155">
        <f t="shared" si="90"/>
        <v>0</v>
      </c>
      <c r="AO243" s="155">
        <f t="shared" si="90"/>
        <v>0</v>
      </c>
      <c r="AP243" s="155">
        <f t="shared" si="90"/>
        <v>0</v>
      </c>
    </row>
    <row r="245" spans="1:42" x14ac:dyDescent="0.2">
      <c r="A245" s="19" t="s">
        <v>34</v>
      </c>
    </row>
    <row r="246" spans="1:42" x14ac:dyDescent="0.2">
      <c r="A246" s="84" t="s">
        <v>31</v>
      </c>
      <c r="C246" s="152">
        <f>C$65</f>
        <v>0</v>
      </c>
      <c r="D246" s="152">
        <f t="shared" ref="D246:AP246" si="91">D$65</f>
        <v>0</v>
      </c>
      <c r="E246" s="152">
        <f t="shared" si="91"/>
        <v>0</v>
      </c>
      <c r="F246" s="152">
        <f t="shared" si="91"/>
        <v>0</v>
      </c>
      <c r="G246" s="152">
        <f t="shared" si="91"/>
        <v>0</v>
      </c>
      <c r="H246" s="152">
        <f t="shared" si="91"/>
        <v>0</v>
      </c>
      <c r="I246" s="152">
        <f t="shared" si="91"/>
        <v>0</v>
      </c>
      <c r="J246" s="152">
        <f t="shared" si="91"/>
        <v>0</v>
      </c>
      <c r="K246" s="152">
        <f t="shared" si="91"/>
        <v>0</v>
      </c>
      <c r="L246" s="152">
        <f t="shared" si="91"/>
        <v>0</v>
      </c>
      <c r="M246" s="152">
        <f t="shared" si="91"/>
        <v>0</v>
      </c>
      <c r="N246" s="152">
        <f t="shared" si="91"/>
        <v>0</v>
      </c>
      <c r="O246" s="152">
        <f t="shared" si="91"/>
        <v>0</v>
      </c>
      <c r="P246" s="152">
        <f t="shared" si="91"/>
        <v>0</v>
      </c>
      <c r="Q246" s="152">
        <f t="shared" si="91"/>
        <v>0</v>
      </c>
      <c r="R246" s="152">
        <f t="shared" si="91"/>
        <v>0</v>
      </c>
      <c r="S246" s="152">
        <f t="shared" si="91"/>
        <v>0</v>
      </c>
      <c r="T246" s="152">
        <f t="shared" si="91"/>
        <v>0</v>
      </c>
      <c r="U246" s="152">
        <f t="shared" si="91"/>
        <v>0</v>
      </c>
      <c r="V246" s="152">
        <f t="shared" si="91"/>
        <v>0</v>
      </c>
      <c r="W246" s="152">
        <f t="shared" si="91"/>
        <v>0</v>
      </c>
      <c r="X246" s="152">
        <f t="shared" si="91"/>
        <v>0</v>
      </c>
      <c r="Y246" s="152">
        <f t="shared" si="91"/>
        <v>0</v>
      </c>
      <c r="Z246" s="152">
        <f t="shared" si="91"/>
        <v>0</v>
      </c>
      <c r="AA246" s="152">
        <f t="shared" si="91"/>
        <v>0</v>
      </c>
      <c r="AB246" s="152">
        <f t="shared" si="91"/>
        <v>0</v>
      </c>
      <c r="AC246" s="152">
        <f t="shared" si="91"/>
        <v>0</v>
      </c>
      <c r="AD246" s="152">
        <f t="shared" si="91"/>
        <v>0</v>
      </c>
      <c r="AE246" s="152">
        <f t="shared" si="91"/>
        <v>0</v>
      </c>
      <c r="AF246" s="152">
        <f t="shared" si="91"/>
        <v>0</v>
      </c>
      <c r="AG246" s="152">
        <f t="shared" si="91"/>
        <v>0</v>
      </c>
      <c r="AH246" s="152">
        <f t="shared" si="91"/>
        <v>0</v>
      </c>
      <c r="AI246" s="152">
        <f t="shared" si="91"/>
        <v>0</v>
      </c>
      <c r="AJ246" s="152">
        <f t="shared" si="91"/>
        <v>0</v>
      </c>
      <c r="AK246" s="152">
        <f t="shared" si="91"/>
        <v>0</v>
      </c>
      <c r="AL246" s="152">
        <f t="shared" si="91"/>
        <v>0</v>
      </c>
      <c r="AM246" s="152">
        <f t="shared" si="91"/>
        <v>0</v>
      </c>
      <c r="AN246" s="152">
        <f t="shared" si="91"/>
        <v>0</v>
      </c>
      <c r="AO246" s="152">
        <f t="shared" si="91"/>
        <v>0</v>
      </c>
      <c r="AP246" s="152">
        <f t="shared" si="91"/>
        <v>0</v>
      </c>
    </row>
    <row r="247" spans="1:42" x14ac:dyDescent="0.2">
      <c r="A247" s="84" t="s">
        <v>39</v>
      </c>
      <c r="C247" s="152">
        <f t="shared" ref="C247:AP247" si="92">C784</f>
        <v>0</v>
      </c>
      <c r="D247" s="152">
        <f t="shared" si="92"/>
        <v>0</v>
      </c>
      <c r="E247" s="152">
        <f t="shared" si="92"/>
        <v>0</v>
      </c>
      <c r="F247" s="152">
        <f t="shared" si="92"/>
        <v>0</v>
      </c>
      <c r="G247" s="152">
        <f t="shared" si="92"/>
        <v>0</v>
      </c>
      <c r="H247" s="152">
        <f t="shared" si="92"/>
        <v>0</v>
      </c>
      <c r="I247" s="152">
        <f t="shared" si="92"/>
        <v>0</v>
      </c>
      <c r="J247" s="152">
        <f t="shared" si="92"/>
        <v>0</v>
      </c>
      <c r="K247" s="152">
        <f t="shared" si="92"/>
        <v>0</v>
      </c>
      <c r="L247" s="152">
        <f t="shared" si="92"/>
        <v>0</v>
      </c>
      <c r="M247" s="152">
        <f t="shared" si="92"/>
        <v>0</v>
      </c>
      <c r="N247" s="152">
        <f t="shared" si="92"/>
        <v>0</v>
      </c>
      <c r="O247" s="152">
        <f t="shared" si="92"/>
        <v>0</v>
      </c>
      <c r="P247" s="152">
        <f t="shared" si="92"/>
        <v>0</v>
      </c>
      <c r="Q247" s="152">
        <f t="shared" si="92"/>
        <v>0</v>
      </c>
      <c r="R247" s="152">
        <f t="shared" si="92"/>
        <v>0</v>
      </c>
      <c r="S247" s="152">
        <f t="shared" si="92"/>
        <v>0</v>
      </c>
      <c r="T247" s="152">
        <f t="shared" si="92"/>
        <v>0</v>
      </c>
      <c r="U247" s="152">
        <f t="shared" si="92"/>
        <v>0</v>
      </c>
      <c r="V247" s="152">
        <f t="shared" si="92"/>
        <v>0</v>
      </c>
      <c r="W247" s="152">
        <f t="shared" si="92"/>
        <v>0</v>
      </c>
      <c r="X247" s="152">
        <f t="shared" si="92"/>
        <v>0</v>
      </c>
      <c r="Y247" s="152">
        <f t="shared" si="92"/>
        <v>0</v>
      </c>
      <c r="Z247" s="152">
        <f t="shared" si="92"/>
        <v>0</v>
      </c>
      <c r="AA247" s="152">
        <f t="shared" si="92"/>
        <v>0</v>
      </c>
      <c r="AB247" s="152">
        <f t="shared" si="92"/>
        <v>0</v>
      </c>
      <c r="AC247" s="152">
        <f t="shared" si="92"/>
        <v>0</v>
      </c>
      <c r="AD247" s="152">
        <f t="shared" si="92"/>
        <v>0</v>
      </c>
      <c r="AE247" s="152">
        <f t="shared" si="92"/>
        <v>0</v>
      </c>
      <c r="AF247" s="152">
        <f t="shared" si="92"/>
        <v>0</v>
      </c>
      <c r="AG247" s="152">
        <f t="shared" si="92"/>
        <v>0</v>
      </c>
      <c r="AH247" s="152">
        <f t="shared" si="92"/>
        <v>0</v>
      </c>
      <c r="AI247" s="152">
        <f t="shared" si="92"/>
        <v>0</v>
      </c>
      <c r="AJ247" s="152">
        <f t="shared" si="92"/>
        <v>0</v>
      </c>
      <c r="AK247" s="152">
        <f t="shared" si="92"/>
        <v>0</v>
      </c>
      <c r="AL247" s="152">
        <f t="shared" si="92"/>
        <v>0</v>
      </c>
      <c r="AM247" s="152">
        <f t="shared" si="92"/>
        <v>0</v>
      </c>
      <c r="AN247" s="152">
        <f t="shared" si="92"/>
        <v>0</v>
      </c>
      <c r="AO247" s="152">
        <f t="shared" si="92"/>
        <v>0</v>
      </c>
      <c r="AP247" s="152">
        <f t="shared" si="92"/>
        <v>0</v>
      </c>
    </row>
    <row r="248" spans="1:42" x14ac:dyDescent="0.2">
      <c r="A248" s="84" t="s">
        <v>32</v>
      </c>
      <c r="C248" s="152">
        <f t="shared" ref="C248:AP248" si="93">-C643</f>
        <v>0</v>
      </c>
      <c r="D248" s="152">
        <f t="shared" si="93"/>
        <v>0</v>
      </c>
      <c r="E248" s="152">
        <f t="shared" si="93"/>
        <v>0</v>
      </c>
      <c r="F248" s="152">
        <f t="shared" si="93"/>
        <v>0</v>
      </c>
      <c r="G248" s="152">
        <f t="shared" si="93"/>
        <v>0</v>
      </c>
      <c r="H248" s="152">
        <f t="shared" si="93"/>
        <v>0</v>
      </c>
      <c r="I248" s="152">
        <f t="shared" si="93"/>
        <v>0</v>
      </c>
      <c r="J248" s="152">
        <f t="shared" si="93"/>
        <v>0</v>
      </c>
      <c r="K248" s="152">
        <f t="shared" si="93"/>
        <v>0</v>
      </c>
      <c r="L248" s="152">
        <f t="shared" si="93"/>
        <v>0</v>
      </c>
      <c r="M248" s="152">
        <f t="shared" si="93"/>
        <v>0</v>
      </c>
      <c r="N248" s="152">
        <f t="shared" si="93"/>
        <v>0</v>
      </c>
      <c r="O248" s="152">
        <f t="shared" si="93"/>
        <v>0</v>
      </c>
      <c r="P248" s="152">
        <f t="shared" si="93"/>
        <v>0</v>
      </c>
      <c r="Q248" s="152">
        <f t="shared" si="93"/>
        <v>0</v>
      </c>
      <c r="R248" s="152">
        <f t="shared" si="93"/>
        <v>0</v>
      </c>
      <c r="S248" s="152">
        <f t="shared" si="93"/>
        <v>0</v>
      </c>
      <c r="T248" s="152">
        <f t="shared" si="93"/>
        <v>0</v>
      </c>
      <c r="U248" s="152">
        <f t="shared" si="93"/>
        <v>0</v>
      </c>
      <c r="V248" s="152">
        <f t="shared" si="93"/>
        <v>0</v>
      </c>
      <c r="W248" s="152">
        <f t="shared" si="93"/>
        <v>0</v>
      </c>
      <c r="X248" s="152">
        <f t="shared" si="93"/>
        <v>0</v>
      </c>
      <c r="Y248" s="152">
        <f t="shared" si="93"/>
        <v>0</v>
      </c>
      <c r="Z248" s="152">
        <f t="shared" si="93"/>
        <v>0</v>
      </c>
      <c r="AA248" s="152">
        <f t="shared" si="93"/>
        <v>0</v>
      </c>
      <c r="AB248" s="152">
        <f t="shared" si="93"/>
        <v>0</v>
      </c>
      <c r="AC248" s="152">
        <f t="shared" si="93"/>
        <v>0</v>
      </c>
      <c r="AD248" s="152">
        <f t="shared" si="93"/>
        <v>0</v>
      </c>
      <c r="AE248" s="152">
        <f t="shared" si="93"/>
        <v>0</v>
      </c>
      <c r="AF248" s="152">
        <f t="shared" si="93"/>
        <v>0</v>
      </c>
      <c r="AG248" s="152">
        <f t="shared" si="93"/>
        <v>0</v>
      </c>
      <c r="AH248" s="152">
        <f t="shared" si="93"/>
        <v>0</v>
      </c>
      <c r="AI248" s="152">
        <f t="shared" si="93"/>
        <v>0</v>
      </c>
      <c r="AJ248" s="152">
        <f t="shared" si="93"/>
        <v>0</v>
      </c>
      <c r="AK248" s="152">
        <f t="shared" si="93"/>
        <v>0</v>
      </c>
      <c r="AL248" s="152">
        <f t="shared" si="93"/>
        <v>0</v>
      </c>
      <c r="AM248" s="152">
        <f t="shared" si="93"/>
        <v>0</v>
      </c>
      <c r="AN248" s="152">
        <f t="shared" si="93"/>
        <v>0</v>
      </c>
      <c r="AO248" s="152">
        <f t="shared" si="93"/>
        <v>0</v>
      </c>
      <c r="AP248" s="152">
        <f t="shared" si="93"/>
        <v>0</v>
      </c>
    </row>
    <row r="249" spans="1:42" x14ac:dyDescent="0.2">
      <c r="A249" s="84" t="s">
        <v>35</v>
      </c>
      <c r="C249" s="152">
        <f t="shared" ref="C249:AP249" si="94">IF(C$2&lt;=analysis_period,-C486-C517-C543-C569,0)</f>
        <v>0</v>
      </c>
      <c r="D249" s="152">
        <f t="shared" si="94"/>
        <v>0</v>
      </c>
      <c r="E249" s="152">
        <f t="shared" si="94"/>
        <v>0</v>
      </c>
      <c r="F249" s="152">
        <f t="shared" si="94"/>
        <v>0</v>
      </c>
      <c r="G249" s="152">
        <f t="shared" si="94"/>
        <v>0</v>
      </c>
      <c r="H249" s="152">
        <f t="shared" si="94"/>
        <v>0</v>
      </c>
      <c r="I249" s="152">
        <f t="shared" si="94"/>
        <v>0</v>
      </c>
      <c r="J249" s="152">
        <f t="shared" si="94"/>
        <v>0</v>
      </c>
      <c r="K249" s="152">
        <f t="shared" si="94"/>
        <v>0</v>
      </c>
      <c r="L249" s="152">
        <f t="shared" si="94"/>
        <v>0</v>
      </c>
      <c r="M249" s="152">
        <f t="shared" si="94"/>
        <v>0</v>
      </c>
      <c r="N249" s="152">
        <f t="shared" si="94"/>
        <v>0</v>
      </c>
      <c r="O249" s="152">
        <f t="shared" si="94"/>
        <v>0</v>
      </c>
      <c r="P249" s="152">
        <f t="shared" si="94"/>
        <v>0</v>
      </c>
      <c r="Q249" s="152">
        <f t="shared" si="94"/>
        <v>0</v>
      </c>
      <c r="R249" s="152">
        <f t="shared" si="94"/>
        <v>0</v>
      </c>
      <c r="S249" s="152">
        <f t="shared" si="94"/>
        <v>0</v>
      </c>
      <c r="T249" s="152">
        <f t="shared" si="94"/>
        <v>0</v>
      </c>
      <c r="U249" s="152">
        <f t="shared" si="94"/>
        <v>0</v>
      </c>
      <c r="V249" s="152">
        <f t="shared" si="94"/>
        <v>0</v>
      </c>
      <c r="W249" s="152">
        <f t="shared" si="94"/>
        <v>0</v>
      </c>
      <c r="X249" s="152">
        <f t="shared" si="94"/>
        <v>0</v>
      </c>
      <c r="Y249" s="152">
        <f t="shared" si="94"/>
        <v>0</v>
      </c>
      <c r="Z249" s="152">
        <f t="shared" si="94"/>
        <v>0</v>
      </c>
      <c r="AA249" s="152">
        <f t="shared" si="94"/>
        <v>0</v>
      </c>
      <c r="AB249" s="152">
        <f t="shared" si="94"/>
        <v>0</v>
      </c>
      <c r="AC249" s="152">
        <f t="shared" si="94"/>
        <v>0</v>
      </c>
      <c r="AD249" s="152">
        <f t="shared" si="94"/>
        <v>0</v>
      </c>
      <c r="AE249" s="152">
        <f t="shared" si="94"/>
        <v>0</v>
      </c>
      <c r="AF249" s="152">
        <f t="shared" si="94"/>
        <v>0</v>
      </c>
      <c r="AG249" s="152">
        <f t="shared" si="94"/>
        <v>0</v>
      </c>
      <c r="AH249" s="152">
        <f t="shared" si="94"/>
        <v>0</v>
      </c>
      <c r="AI249" s="152">
        <f t="shared" si="94"/>
        <v>0</v>
      </c>
      <c r="AJ249" s="152">
        <f t="shared" si="94"/>
        <v>0</v>
      </c>
      <c r="AK249" s="152">
        <f t="shared" si="94"/>
        <v>0</v>
      </c>
      <c r="AL249" s="152">
        <f t="shared" si="94"/>
        <v>0</v>
      </c>
      <c r="AM249" s="152">
        <f t="shared" si="94"/>
        <v>0</v>
      </c>
      <c r="AN249" s="152">
        <f t="shared" si="94"/>
        <v>0</v>
      </c>
      <c r="AO249" s="152">
        <f t="shared" si="94"/>
        <v>0</v>
      </c>
      <c r="AP249" s="152">
        <f t="shared" si="94"/>
        <v>0</v>
      </c>
    </row>
    <row r="250" spans="1:42" x14ac:dyDescent="0.2">
      <c r="A250" s="84" t="s">
        <v>40</v>
      </c>
      <c r="C250" s="152">
        <f>C243</f>
        <v>0</v>
      </c>
      <c r="D250" s="152">
        <f t="shared" ref="D250:AP250" si="95">D243</f>
        <v>0</v>
      </c>
      <c r="E250" s="152">
        <f t="shared" si="95"/>
        <v>0</v>
      </c>
      <c r="F250" s="152">
        <f t="shared" si="95"/>
        <v>0</v>
      </c>
      <c r="G250" s="152">
        <f t="shared" si="95"/>
        <v>0</v>
      </c>
      <c r="H250" s="152">
        <f t="shared" si="95"/>
        <v>0</v>
      </c>
      <c r="I250" s="152">
        <f t="shared" si="95"/>
        <v>0</v>
      </c>
      <c r="J250" s="152">
        <f t="shared" si="95"/>
        <v>0</v>
      </c>
      <c r="K250" s="152">
        <f t="shared" si="95"/>
        <v>0</v>
      </c>
      <c r="L250" s="152">
        <f t="shared" si="95"/>
        <v>0</v>
      </c>
      <c r="M250" s="152">
        <f t="shared" si="95"/>
        <v>0</v>
      </c>
      <c r="N250" s="152">
        <f t="shared" si="95"/>
        <v>0</v>
      </c>
      <c r="O250" s="152">
        <f t="shared" si="95"/>
        <v>0</v>
      </c>
      <c r="P250" s="152">
        <f t="shared" si="95"/>
        <v>0</v>
      </c>
      <c r="Q250" s="152">
        <f t="shared" si="95"/>
        <v>0</v>
      </c>
      <c r="R250" s="152">
        <f t="shared" si="95"/>
        <v>0</v>
      </c>
      <c r="S250" s="152">
        <f t="shared" si="95"/>
        <v>0</v>
      </c>
      <c r="T250" s="152">
        <f t="shared" si="95"/>
        <v>0</v>
      </c>
      <c r="U250" s="152">
        <f t="shared" si="95"/>
        <v>0</v>
      </c>
      <c r="V250" s="152">
        <f t="shared" si="95"/>
        <v>0</v>
      </c>
      <c r="W250" s="152">
        <f t="shared" si="95"/>
        <v>0</v>
      </c>
      <c r="X250" s="152">
        <f t="shared" si="95"/>
        <v>0</v>
      </c>
      <c r="Y250" s="152">
        <f t="shared" si="95"/>
        <v>0</v>
      </c>
      <c r="Z250" s="152">
        <f t="shared" si="95"/>
        <v>0</v>
      </c>
      <c r="AA250" s="152">
        <f t="shared" si="95"/>
        <v>0</v>
      </c>
      <c r="AB250" s="152">
        <f t="shared" si="95"/>
        <v>0</v>
      </c>
      <c r="AC250" s="152">
        <f t="shared" si="95"/>
        <v>0</v>
      </c>
      <c r="AD250" s="152">
        <f t="shared" si="95"/>
        <v>0</v>
      </c>
      <c r="AE250" s="152">
        <f t="shared" si="95"/>
        <v>0</v>
      </c>
      <c r="AF250" s="152">
        <f t="shared" si="95"/>
        <v>0</v>
      </c>
      <c r="AG250" s="152">
        <f t="shared" si="95"/>
        <v>0</v>
      </c>
      <c r="AH250" s="152">
        <f t="shared" si="95"/>
        <v>0</v>
      </c>
      <c r="AI250" s="152">
        <f t="shared" si="95"/>
        <v>0</v>
      </c>
      <c r="AJ250" s="152">
        <f t="shared" si="95"/>
        <v>0</v>
      </c>
      <c r="AK250" s="152">
        <f t="shared" si="95"/>
        <v>0</v>
      </c>
      <c r="AL250" s="152">
        <f t="shared" si="95"/>
        <v>0</v>
      </c>
      <c r="AM250" s="152">
        <f t="shared" si="95"/>
        <v>0</v>
      </c>
      <c r="AN250" s="152">
        <f t="shared" si="95"/>
        <v>0</v>
      </c>
      <c r="AO250" s="152">
        <f t="shared" si="95"/>
        <v>0</v>
      </c>
      <c r="AP250" s="152">
        <f t="shared" si="95"/>
        <v>0</v>
      </c>
    </row>
    <row r="251" spans="1:42" x14ac:dyDescent="0.2">
      <c r="A251" s="84" t="s">
        <v>53</v>
      </c>
      <c r="C251" s="152">
        <f t="shared" ref="C251:AP251" si="96">C123</f>
        <v>0</v>
      </c>
      <c r="D251" s="152">
        <f t="shared" si="96"/>
        <v>0</v>
      </c>
      <c r="E251" s="152">
        <f t="shared" si="96"/>
        <v>0</v>
      </c>
      <c r="F251" s="152">
        <f t="shared" si="96"/>
        <v>0</v>
      </c>
      <c r="G251" s="152">
        <f t="shared" si="96"/>
        <v>0</v>
      </c>
      <c r="H251" s="152">
        <f t="shared" si="96"/>
        <v>0</v>
      </c>
      <c r="I251" s="152">
        <f t="shared" si="96"/>
        <v>0</v>
      </c>
      <c r="J251" s="152">
        <f t="shared" si="96"/>
        <v>0</v>
      </c>
      <c r="K251" s="152">
        <f t="shared" si="96"/>
        <v>0</v>
      </c>
      <c r="L251" s="152">
        <f t="shared" si="96"/>
        <v>0</v>
      </c>
      <c r="M251" s="152">
        <f t="shared" si="96"/>
        <v>0</v>
      </c>
      <c r="N251" s="152">
        <f t="shared" si="96"/>
        <v>0</v>
      </c>
      <c r="O251" s="152">
        <f t="shared" si="96"/>
        <v>0</v>
      </c>
      <c r="P251" s="152">
        <f t="shared" si="96"/>
        <v>0</v>
      </c>
      <c r="Q251" s="152">
        <f t="shared" si="96"/>
        <v>0</v>
      </c>
      <c r="R251" s="152">
        <f t="shared" si="96"/>
        <v>0</v>
      </c>
      <c r="S251" s="152">
        <f t="shared" si="96"/>
        <v>0</v>
      </c>
      <c r="T251" s="152">
        <f t="shared" si="96"/>
        <v>0</v>
      </c>
      <c r="U251" s="152">
        <f t="shared" si="96"/>
        <v>0</v>
      </c>
      <c r="V251" s="152">
        <f t="shared" si="96"/>
        <v>0</v>
      </c>
      <c r="W251" s="152">
        <f t="shared" si="96"/>
        <v>0</v>
      </c>
      <c r="X251" s="152">
        <f t="shared" si="96"/>
        <v>0</v>
      </c>
      <c r="Y251" s="152">
        <f t="shared" si="96"/>
        <v>0</v>
      </c>
      <c r="Z251" s="152">
        <f t="shared" si="96"/>
        <v>0</v>
      </c>
      <c r="AA251" s="152">
        <f t="shared" si="96"/>
        <v>0</v>
      </c>
      <c r="AB251" s="152">
        <f t="shared" si="96"/>
        <v>0</v>
      </c>
      <c r="AC251" s="152">
        <f t="shared" si="96"/>
        <v>0</v>
      </c>
      <c r="AD251" s="152">
        <f t="shared" si="96"/>
        <v>0</v>
      </c>
      <c r="AE251" s="152">
        <f t="shared" si="96"/>
        <v>0</v>
      </c>
      <c r="AF251" s="152">
        <f t="shared" si="96"/>
        <v>0</v>
      </c>
      <c r="AG251" s="152">
        <f t="shared" si="96"/>
        <v>0</v>
      </c>
      <c r="AH251" s="152">
        <f t="shared" si="96"/>
        <v>0</v>
      </c>
      <c r="AI251" s="152">
        <f t="shared" si="96"/>
        <v>0</v>
      </c>
      <c r="AJ251" s="152">
        <f t="shared" si="96"/>
        <v>0</v>
      </c>
      <c r="AK251" s="152">
        <f t="shared" si="96"/>
        <v>0</v>
      </c>
      <c r="AL251" s="152">
        <f t="shared" si="96"/>
        <v>0</v>
      </c>
      <c r="AM251" s="152">
        <f t="shared" si="96"/>
        <v>0</v>
      </c>
      <c r="AN251" s="152">
        <f t="shared" si="96"/>
        <v>0</v>
      </c>
      <c r="AO251" s="152">
        <f t="shared" si="96"/>
        <v>0</v>
      </c>
      <c r="AP251" s="152">
        <f t="shared" si="96"/>
        <v>0</v>
      </c>
    </row>
    <row r="252" spans="1:42" x14ac:dyDescent="0.2">
      <c r="A252" s="84" t="s">
        <v>79</v>
      </c>
      <c r="C252" s="153">
        <f t="shared" ref="C252:AP252" si="97">C127</f>
        <v>0</v>
      </c>
      <c r="D252" s="153">
        <f t="shared" si="97"/>
        <v>0</v>
      </c>
      <c r="E252" s="153">
        <f t="shared" si="97"/>
        <v>0</v>
      </c>
      <c r="F252" s="153">
        <f t="shared" si="97"/>
        <v>0</v>
      </c>
      <c r="G252" s="153">
        <f t="shared" si="97"/>
        <v>0</v>
      </c>
      <c r="H252" s="153">
        <f t="shared" si="97"/>
        <v>0</v>
      </c>
      <c r="I252" s="153">
        <f t="shared" si="97"/>
        <v>0</v>
      </c>
      <c r="J252" s="153">
        <f t="shared" si="97"/>
        <v>0</v>
      </c>
      <c r="K252" s="153">
        <f t="shared" si="97"/>
        <v>0</v>
      </c>
      <c r="L252" s="153">
        <f t="shared" si="97"/>
        <v>0</v>
      </c>
      <c r="M252" s="153">
        <f t="shared" si="97"/>
        <v>0</v>
      </c>
      <c r="N252" s="153">
        <f t="shared" si="97"/>
        <v>0</v>
      </c>
      <c r="O252" s="153">
        <f t="shared" si="97"/>
        <v>0</v>
      </c>
      <c r="P252" s="153">
        <f t="shared" si="97"/>
        <v>0</v>
      </c>
      <c r="Q252" s="153">
        <f t="shared" si="97"/>
        <v>0</v>
      </c>
      <c r="R252" s="153">
        <f t="shared" si="97"/>
        <v>0</v>
      </c>
      <c r="S252" s="153">
        <f t="shared" si="97"/>
        <v>0</v>
      </c>
      <c r="T252" s="153">
        <f t="shared" si="97"/>
        <v>0</v>
      </c>
      <c r="U252" s="153">
        <f t="shared" si="97"/>
        <v>0</v>
      </c>
      <c r="V252" s="153">
        <f t="shared" si="97"/>
        <v>0</v>
      </c>
      <c r="W252" s="153">
        <f t="shared" si="97"/>
        <v>0</v>
      </c>
      <c r="X252" s="153">
        <f t="shared" si="97"/>
        <v>0</v>
      </c>
      <c r="Y252" s="153">
        <f t="shared" si="97"/>
        <v>0</v>
      </c>
      <c r="Z252" s="153">
        <f t="shared" si="97"/>
        <v>0</v>
      </c>
      <c r="AA252" s="153">
        <f t="shared" si="97"/>
        <v>0</v>
      </c>
      <c r="AB252" s="153">
        <f t="shared" si="97"/>
        <v>0</v>
      </c>
      <c r="AC252" s="153">
        <f t="shared" si="97"/>
        <v>0</v>
      </c>
      <c r="AD252" s="153">
        <f t="shared" si="97"/>
        <v>0</v>
      </c>
      <c r="AE252" s="153">
        <f t="shared" si="97"/>
        <v>0</v>
      </c>
      <c r="AF252" s="153">
        <f t="shared" si="97"/>
        <v>0</v>
      </c>
      <c r="AG252" s="153">
        <f t="shared" si="97"/>
        <v>0</v>
      </c>
      <c r="AH252" s="153">
        <f t="shared" si="97"/>
        <v>0</v>
      </c>
      <c r="AI252" s="153">
        <f t="shared" si="97"/>
        <v>0</v>
      </c>
      <c r="AJ252" s="153">
        <f t="shared" si="97"/>
        <v>0</v>
      </c>
      <c r="AK252" s="153">
        <f t="shared" si="97"/>
        <v>0</v>
      </c>
      <c r="AL252" s="153">
        <f t="shared" si="97"/>
        <v>0</v>
      </c>
      <c r="AM252" s="153">
        <f t="shared" si="97"/>
        <v>0</v>
      </c>
      <c r="AN252" s="153">
        <f t="shared" si="97"/>
        <v>0</v>
      </c>
      <c r="AO252" s="153">
        <f t="shared" si="97"/>
        <v>0</v>
      </c>
      <c r="AP252" s="153">
        <f t="shared" si="97"/>
        <v>0</v>
      </c>
    </row>
    <row r="253" spans="1:42" x14ac:dyDescent="0.2">
      <c r="A253" s="84" t="s">
        <v>33</v>
      </c>
      <c r="C253" s="152">
        <f>SUM(C246:C252)</f>
        <v>0</v>
      </c>
      <c r="D253" s="152">
        <f t="shared" ref="D253:AP253" si="98">SUM(D246:D252)</f>
        <v>0</v>
      </c>
      <c r="E253" s="152">
        <f t="shared" si="98"/>
        <v>0</v>
      </c>
      <c r="F253" s="152">
        <f t="shared" si="98"/>
        <v>0</v>
      </c>
      <c r="G253" s="152">
        <f t="shared" si="98"/>
        <v>0</v>
      </c>
      <c r="H253" s="152">
        <f t="shared" si="98"/>
        <v>0</v>
      </c>
      <c r="I253" s="152">
        <f t="shared" si="98"/>
        <v>0</v>
      </c>
      <c r="J253" s="152">
        <f t="shared" si="98"/>
        <v>0</v>
      </c>
      <c r="K253" s="152">
        <f t="shared" si="98"/>
        <v>0</v>
      </c>
      <c r="L253" s="152">
        <f t="shared" si="98"/>
        <v>0</v>
      </c>
      <c r="M253" s="152">
        <f t="shared" si="98"/>
        <v>0</v>
      </c>
      <c r="N253" s="152">
        <f t="shared" si="98"/>
        <v>0</v>
      </c>
      <c r="O253" s="152">
        <f t="shared" si="98"/>
        <v>0</v>
      </c>
      <c r="P253" s="152">
        <f t="shared" si="98"/>
        <v>0</v>
      </c>
      <c r="Q253" s="152">
        <f t="shared" si="98"/>
        <v>0</v>
      </c>
      <c r="R253" s="152">
        <f t="shared" si="98"/>
        <v>0</v>
      </c>
      <c r="S253" s="152">
        <f t="shared" si="98"/>
        <v>0</v>
      </c>
      <c r="T253" s="152">
        <f t="shared" si="98"/>
        <v>0</v>
      </c>
      <c r="U253" s="152">
        <f t="shared" si="98"/>
        <v>0</v>
      </c>
      <c r="V253" s="152">
        <f t="shared" si="98"/>
        <v>0</v>
      </c>
      <c r="W253" s="152">
        <f t="shared" si="98"/>
        <v>0</v>
      </c>
      <c r="X253" s="152">
        <f t="shared" si="98"/>
        <v>0</v>
      </c>
      <c r="Y253" s="152">
        <f t="shared" si="98"/>
        <v>0</v>
      </c>
      <c r="Z253" s="152">
        <f t="shared" si="98"/>
        <v>0</v>
      </c>
      <c r="AA253" s="152">
        <f t="shared" si="98"/>
        <v>0</v>
      </c>
      <c r="AB253" s="152">
        <f t="shared" si="98"/>
        <v>0</v>
      </c>
      <c r="AC253" s="152">
        <f t="shared" si="98"/>
        <v>0</v>
      </c>
      <c r="AD253" s="152">
        <f t="shared" si="98"/>
        <v>0</v>
      </c>
      <c r="AE253" s="152">
        <f t="shared" si="98"/>
        <v>0</v>
      </c>
      <c r="AF253" s="152">
        <f t="shared" si="98"/>
        <v>0</v>
      </c>
      <c r="AG253" s="152">
        <f t="shared" si="98"/>
        <v>0</v>
      </c>
      <c r="AH253" s="152">
        <f t="shared" si="98"/>
        <v>0</v>
      </c>
      <c r="AI253" s="152">
        <f t="shared" si="98"/>
        <v>0</v>
      </c>
      <c r="AJ253" s="152">
        <f t="shared" si="98"/>
        <v>0</v>
      </c>
      <c r="AK253" s="152">
        <f t="shared" si="98"/>
        <v>0</v>
      </c>
      <c r="AL253" s="152">
        <f t="shared" si="98"/>
        <v>0</v>
      </c>
      <c r="AM253" s="152">
        <f t="shared" si="98"/>
        <v>0</v>
      </c>
      <c r="AN253" s="152">
        <f t="shared" si="98"/>
        <v>0</v>
      </c>
      <c r="AO253" s="152">
        <f t="shared" si="98"/>
        <v>0</v>
      </c>
      <c r="AP253" s="152">
        <f t="shared" si="98"/>
        <v>0</v>
      </c>
    </row>
    <row r="254" spans="1:42" x14ac:dyDescent="0.2">
      <c r="A254" s="84" t="str">
        <f>Inputs!B126</f>
        <v>Investment Based Incentive (IBI)</v>
      </c>
    </row>
    <row r="255" spans="1:42" x14ac:dyDescent="0.2">
      <c r="A255" s="85" t="str">
        <f>Inputs!B127</f>
        <v>As fixed amount</v>
      </c>
    </row>
    <row r="256" spans="1:42" x14ac:dyDescent="0.2">
      <c r="A256" s="78" t="s">
        <v>4</v>
      </c>
      <c r="C256" s="152">
        <f>IF(ibi_fed_amount_tax_fed="Yes",C601,0)</f>
        <v>0</v>
      </c>
    </row>
    <row r="257" spans="1:42" x14ac:dyDescent="0.2">
      <c r="A257" s="78" t="s">
        <v>5</v>
      </c>
      <c r="C257" s="152">
        <f>IF(ibi_sta_amount_tax_fed="Yes",C602,0)</f>
        <v>0</v>
      </c>
    </row>
    <row r="258" spans="1:42" x14ac:dyDescent="0.2">
      <c r="A258" s="78" t="s">
        <v>165</v>
      </c>
      <c r="C258" s="152">
        <f>IF(ibi_uti_amount_tax_fed="Yes",C603,0)</f>
        <v>0</v>
      </c>
    </row>
    <row r="259" spans="1:42" x14ac:dyDescent="0.2">
      <c r="A259" s="78" t="s">
        <v>166</v>
      </c>
      <c r="C259" s="153">
        <f>IF(ibi_oth_amount_tax_fed="Yes",C604,0)</f>
        <v>0</v>
      </c>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row>
    <row r="260" spans="1:42" x14ac:dyDescent="0.2">
      <c r="A260" s="78" t="s">
        <v>13</v>
      </c>
      <c r="C260" s="152">
        <f>SUM(C256:C259)</f>
        <v>0</v>
      </c>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row>
    <row r="261" spans="1:42" x14ac:dyDescent="0.2">
      <c r="A261" s="85" t="str">
        <f>Inputs!B132</f>
        <v>As percentage</v>
      </c>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row>
    <row r="262" spans="1:42" x14ac:dyDescent="0.2">
      <c r="A262" s="78" t="s">
        <v>4</v>
      </c>
      <c r="C262" s="152">
        <f>IF(ibi_fed_percent_tax_fed="YES",C607,0)</f>
        <v>0</v>
      </c>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row>
    <row r="263" spans="1:42" x14ac:dyDescent="0.2">
      <c r="A263" s="78" t="s">
        <v>5</v>
      </c>
      <c r="C263" s="152">
        <f>IF(ibi_sta_percent_tax_fed="YES",C608,0)</f>
        <v>0</v>
      </c>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row>
    <row r="264" spans="1:42" x14ac:dyDescent="0.2">
      <c r="A264" s="78" t="s">
        <v>165</v>
      </c>
      <c r="C264" s="152">
        <f>IF(ibi_uti_percent_tax_fed="YES",C609,0)</f>
        <v>0</v>
      </c>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row>
    <row r="265" spans="1:42" x14ac:dyDescent="0.2">
      <c r="A265" s="78" t="s">
        <v>166</v>
      </c>
      <c r="C265" s="153">
        <f>IF(ibi_oth_percent_tax_fed="YES",C610,0)</f>
        <v>0</v>
      </c>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row>
    <row r="266" spans="1:42" x14ac:dyDescent="0.2">
      <c r="A266" s="78" t="s">
        <v>13</v>
      </c>
      <c r="C266" s="152">
        <f>SUM(C262:C265)</f>
        <v>0</v>
      </c>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row>
    <row r="267" spans="1:42" x14ac:dyDescent="0.2">
      <c r="A267" s="84" t="str">
        <f>Inputs!B137</f>
        <v>Capacity Based Incentive (CBI)</v>
      </c>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row>
    <row r="268" spans="1:42" x14ac:dyDescent="0.2">
      <c r="A268" s="85" t="s">
        <v>4</v>
      </c>
      <c r="C268" s="152">
        <f>IF(cbi_fed_tax_fed="Yes",C614,0)</f>
        <v>0</v>
      </c>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row>
    <row r="269" spans="1:42" x14ac:dyDescent="0.2">
      <c r="A269" s="85" t="s">
        <v>5</v>
      </c>
      <c r="C269" s="152">
        <f>IF(cbi_sta_tax_fed="Yes",C615,0)</f>
        <v>0</v>
      </c>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row>
    <row r="270" spans="1:42" x14ac:dyDescent="0.2">
      <c r="A270" s="85" t="s">
        <v>165</v>
      </c>
      <c r="C270" s="152">
        <f>IF(cbi_uti_tax_fed="Yes",C616,0)</f>
        <v>0</v>
      </c>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row>
    <row r="271" spans="1:42" x14ac:dyDescent="0.2">
      <c r="A271" s="85" t="s">
        <v>166</v>
      </c>
      <c r="C271" s="153">
        <f>IF(cbi_oth_tax_fed="Yes",C617,0)</f>
        <v>0</v>
      </c>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row>
    <row r="272" spans="1:42" x14ac:dyDescent="0.2">
      <c r="A272" s="85" t="s">
        <v>13</v>
      </c>
      <c r="C272" s="152">
        <f>SUM(C268:C271)</f>
        <v>0</v>
      </c>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row>
    <row r="273" spans="1:42" x14ac:dyDescent="0.2">
      <c r="A273" s="84" t="str">
        <f>Inputs!B142</f>
        <v>Production Based Incentive (PBI)</v>
      </c>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row>
    <row r="274" spans="1:42" x14ac:dyDescent="0.2">
      <c r="A274" s="85" t="s">
        <v>4</v>
      </c>
      <c r="C274" s="152">
        <f t="shared" ref="C274:AP274" si="99">IF(AND(pbi_fed_tax_fed="Yes",pbi_fed_for_ds="No"),C624,0)</f>
        <v>0</v>
      </c>
      <c r="D274" s="152">
        <f t="shared" si="99"/>
        <v>0</v>
      </c>
      <c r="E274" s="152">
        <f t="shared" si="99"/>
        <v>0</v>
      </c>
      <c r="F274" s="152">
        <f t="shared" si="99"/>
        <v>0</v>
      </c>
      <c r="G274" s="152">
        <f t="shared" si="99"/>
        <v>0</v>
      </c>
      <c r="H274" s="152">
        <f t="shared" si="99"/>
        <v>0</v>
      </c>
      <c r="I274" s="152">
        <f t="shared" si="99"/>
        <v>0</v>
      </c>
      <c r="J274" s="152">
        <f t="shared" si="99"/>
        <v>0</v>
      </c>
      <c r="K274" s="152">
        <f t="shared" si="99"/>
        <v>0</v>
      </c>
      <c r="L274" s="152">
        <f t="shared" si="99"/>
        <v>0</v>
      </c>
      <c r="M274" s="152">
        <f t="shared" si="99"/>
        <v>0</v>
      </c>
      <c r="N274" s="152">
        <f t="shared" si="99"/>
        <v>0</v>
      </c>
      <c r="O274" s="152">
        <f t="shared" si="99"/>
        <v>0</v>
      </c>
      <c r="P274" s="152">
        <f t="shared" si="99"/>
        <v>0</v>
      </c>
      <c r="Q274" s="152">
        <f t="shared" si="99"/>
        <v>0</v>
      </c>
      <c r="R274" s="152">
        <f t="shared" si="99"/>
        <v>0</v>
      </c>
      <c r="S274" s="152">
        <f t="shared" si="99"/>
        <v>0</v>
      </c>
      <c r="T274" s="152">
        <f t="shared" si="99"/>
        <v>0</v>
      </c>
      <c r="U274" s="152">
        <f t="shared" si="99"/>
        <v>0</v>
      </c>
      <c r="V274" s="152">
        <f t="shared" si="99"/>
        <v>0</v>
      </c>
      <c r="W274" s="152">
        <f t="shared" si="99"/>
        <v>0</v>
      </c>
      <c r="X274" s="152">
        <f t="shared" si="99"/>
        <v>0</v>
      </c>
      <c r="Y274" s="152">
        <f t="shared" si="99"/>
        <v>0</v>
      </c>
      <c r="Z274" s="152">
        <f t="shared" si="99"/>
        <v>0</v>
      </c>
      <c r="AA274" s="152">
        <f t="shared" si="99"/>
        <v>0</v>
      </c>
      <c r="AB274" s="152">
        <f t="shared" si="99"/>
        <v>0</v>
      </c>
      <c r="AC274" s="152">
        <f t="shared" si="99"/>
        <v>0</v>
      </c>
      <c r="AD274" s="152">
        <f t="shared" si="99"/>
        <v>0</v>
      </c>
      <c r="AE274" s="152">
        <f t="shared" si="99"/>
        <v>0</v>
      </c>
      <c r="AF274" s="152">
        <f t="shared" si="99"/>
        <v>0</v>
      </c>
      <c r="AG274" s="152">
        <f t="shared" si="99"/>
        <v>0</v>
      </c>
      <c r="AH274" s="152">
        <f t="shared" si="99"/>
        <v>0</v>
      </c>
      <c r="AI274" s="152">
        <f t="shared" si="99"/>
        <v>0</v>
      </c>
      <c r="AJ274" s="152">
        <f t="shared" si="99"/>
        <v>0</v>
      </c>
      <c r="AK274" s="152">
        <f t="shared" si="99"/>
        <v>0</v>
      </c>
      <c r="AL274" s="152">
        <f t="shared" si="99"/>
        <v>0</v>
      </c>
      <c r="AM274" s="152">
        <f t="shared" si="99"/>
        <v>0</v>
      </c>
      <c r="AN274" s="152">
        <f t="shared" si="99"/>
        <v>0</v>
      </c>
      <c r="AO274" s="152">
        <f t="shared" si="99"/>
        <v>0</v>
      </c>
      <c r="AP274" s="152">
        <f t="shared" si="99"/>
        <v>0</v>
      </c>
    </row>
    <row r="275" spans="1:42" x14ac:dyDescent="0.2">
      <c r="A275" s="85" t="s">
        <v>5</v>
      </c>
      <c r="C275" s="152">
        <f t="shared" ref="C275:AP275" si="100">IF(AND(pbi_sta_tax_fed="Yes",pbi_sta_for_ds="No"),C628,0)</f>
        <v>0</v>
      </c>
      <c r="D275" s="152">
        <f t="shared" si="100"/>
        <v>0</v>
      </c>
      <c r="E275" s="152">
        <f t="shared" si="100"/>
        <v>0</v>
      </c>
      <c r="F275" s="152">
        <f t="shared" si="100"/>
        <v>0</v>
      </c>
      <c r="G275" s="152">
        <f t="shared" si="100"/>
        <v>0</v>
      </c>
      <c r="H275" s="152">
        <f t="shared" si="100"/>
        <v>0</v>
      </c>
      <c r="I275" s="152">
        <f t="shared" si="100"/>
        <v>0</v>
      </c>
      <c r="J275" s="152">
        <f t="shared" si="100"/>
        <v>0</v>
      </c>
      <c r="K275" s="152">
        <f t="shared" si="100"/>
        <v>0</v>
      </c>
      <c r="L275" s="152">
        <f t="shared" si="100"/>
        <v>0</v>
      </c>
      <c r="M275" s="152">
        <f t="shared" si="100"/>
        <v>0</v>
      </c>
      <c r="N275" s="152">
        <f t="shared" si="100"/>
        <v>0</v>
      </c>
      <c r="O275" s="152">
        <f t="shared" si="100"/>
        <v>0</v>
      </c>
      <c r="P275" s="152">
        <f t="shared" si="100"/>
        <v>0</v>
      </c>
      <c r="Q275" s="152">
        <f t="shared" si="100"/>
        <v>0</v>
      </c>
      <c r="R275" s="152">
        <f t="shared" si="100"/>
        <v>0</v>
      </c>
      <c r="S275" s="152">
        <f t="shared" si="100"/>
        <v>0</v>
      </c>
      <c r="T275" s="152">
        <f t="shared" si="100"/>
        <v>0</v>
      </c>
      <c r="U275" s="152">
        <f t="shared" si="100"/>
        <v>0</v>
      </c>
      <c r="V275" s="152">
        <f t="shared" si="100"/>
        <v>0</v>
      </c>
      <c r="W275" s="152">
        <f t="shared" si="100"/>
        <v>0</v>
      </c>
      <c r="X275" s="152">
        <f t="shared" si="100"/>
        <v>0</v>
      </c>
      <c r="Y275" s="152">
        <f t="shared" si="100"/>
        <v>0</v>
      </c>
      <c r="Z275" s="152">
        <f t="shared" si="100"/>
        <v>0</v>
      </c>
      <c r="AA275" s="152">
        <f t="shared" si="100"/>
        <v>0</v>
      </c>
      <c r="AB275" s="152">
        <f t="shared" si="100"/>
        <v>0</v>
      </c>
      <c r="AC275" s="152">
        <f t="shared" si="100"/>
        <v>0</v>
      </c>
      <c r="AD275" s="152">
        <f t="shared" si="100"/>
        <v>0</v>
      </c>
      <c r="AE275" s="152">
        <f t="shared" si="100"/>
        <v>0</v>
      </c>
      <c r="AF275" s="152">
        <f t="shared" si="100"/>
        <v>0</v>
      </c>
      <c r="AG275" s="152">
        <f t="shared" si="100"/>
        <v>0</v>
      </c>
      <c r="AH275" s="152">
        <f t="shared" si="100"/>
        <v>0</v>
      </c>
      <c r="AI275" s="152">
        <f t="shared" si="100"/>
        <v>0</v>
      </c>
      <c r="AJ275" s="152">
        <f t="shared" si="100"/>
        <v>0</v>
      </c>
      <c r="AK275" s="152">
        <f t="shared" si="100"/>
        <v>0</v>
      </c>
      <c r="AL275" s="152">
        <f t="shared" si="100"/>
        <v>0</v>
      </c>
      <c r="AM275" s="152">
        <f t="shared" si="100"/>
        <v>0</v>
      </c>
      <c r="AN275" s="152">
        <f t="shared" si="100"/>
        <v>0</v>
      </c>
      <c r="AO275" s="152">
        <f t="shared" si="100"/>
        <v>0</v>
      </c>
      <c r="AP275" s="152">
        <f t="shared" si="100"/>
        <v>0</v>
      </c>
    </row>
    <row r="276" spans="1:42" x14ac:dyDescent="0.2">
      <c r="A276" s="85" t="s">
        <v>165</v>
      </c>
      <c r="C276" s="152">
        <f t="shared" ref="C276:AP276" si="101">IF(AND(pbi_uti_tax_fed="Yes",pbi_uti_for_ds="No"),C632,0)</f>
        <v>0</v>
      </c>
      <c r="D276" s="152">
        <f t="shared" si="101"/>
        <v>0</v>
      </c>
      <c r="E276" s="152">
        <f t="shared" si="101"/>
        <v>0</v>
      </c>
      <c r="F276" s="152">
        <f t="shared" si="101"/>
        <v>0</v>
      </c>
      <c r="G276" s="152">
        <f t="shared" si="101"/>
        <v>0</v>
      </c>
      <c r="H276" s="152">
        <f t="shared" si="101"/>
        <v>0</v>
      </c>
      <c r="I276" s="152">
        <f t="shared" si="101"/>
        <v>0</v>
      </c>
      <c r="J276" s="152">
        <f t="shared" si="101"/>
        <v>0</v>
      </c>
      <c r="K276" s="152">
        <f t="shared" si="101"/>
        <v>0</v>
      </c>
      <c r="L276" s="152">
        <f t="shared" si="101"/>
        <v>0</v>
      </c>
      <c r="M276" s="152">
        <f t="shared" si="101"/>
        <v>0</v>
      </c>
      <c r="N276" s="152">
        <f t="shared" si="101"/>
        <v>0</v>
      </c>
      <c r="O276" s="152">
        <f t="shared" si="101"/>
        <v>0</v>
      </c>
      <c r="P276" s="152">
        <f t="shared" si="101"/>
        <v>0</v>
      </c>
      <c r="Q276" s="152">
        <f t="shared" si="101"/>
        <v>0</v>
      </c>
      <c r="R276" s="152">
        <f t="shared" si="101"/>
        <v>0</v>
      </c>
      <c r="S276" s="152">
        <f t="shared" si="101"/>
        <v>0</v>
      </c>
      <c r="T276" s="152">
        <f t="shared" si="101"/>
        <v>0</v>
      </c>
      <c r="U276" s="152">
        <f t="shared" si="101"/>
        <v>0</v>
      </c>
      <c r="V276" s="152">
        <f t="shared" si="101"/>
        <v>0</v>
      </c>
      <c r="W276" s="152">
        <f t="shared" si="101"/>
        <v>0</v>
      </c>
      <c r="X276" s="152">
        <f t="shared" si="101"/>
        <v>0</v>
      </c>
      <c r="Y276" s="152">
        <f t="shared" si="101"/>
        <v>0</v>
      </c>
      <c r="Z276" s="152">
        <f t="shared" si="101"/>
        <v>0</v>
      </c>
      <c r="AA276" s="152">
        <f t="shared" si="101"/>
        <v>0</v>
      </c>
      <c r="AB276" s="152">
        <f t="shared" si="101"/>
        <v>0</v>
      </c>
      <c r="AC276" s="152">
        <f t="shared" si="101"/>
        <v>0</v>
      </c>
      <c r="AD276" s="152">
        <f t="shared" si="101"/>
        <v>0</v>
      </c>
      <c r="AE276" s="152">
        <f t="shared" si="101"/>
        <v>0</v>
      </c>
      <c r="AF276" s="152">
        <f t="shared" si="101"/>
        <v>0</v>
      </c>
      <c r="AG276" s="152">
        <f t="shared" si="101"/>
        <v>0</v>
      </c>
      <c r="AH276" s="152">
        <f t="shared" si="101"/>
        <v>0</v>
      </c>
      <c r="AI276" s="152">
        <f t="shared" si="101"/>
        <v>0</v>
      </c>
      <c r="AJ276" s="152">
        <f t="shared" si="101"/>
        <v>0</v>
      </c>
      <c r="AK276" s="152">
        <f t="shared" si="101"/>
        <v>0</v>
      </c>
      <c r="AL276" s="152">
        <f t="shared" si="101"/>
        <v>0</v>
      </c>
      <c r="AM276" s="152">
        <f t="shared" si="101"/>
        <v>0</v>
      </c>
      <c r="AN276" s="152">
        <f t="shared" si="101"/>
        <v>0</v>
      </c>
      <c r="AO276" s="152">
        <f t="shared" si="101"/>
        <v>0</v>
      </c>
      <c r="AP276" s="152">
        <f t="shared" si="101"/>
        <v>0</v>
      </c>
    </row>
    <row r="277" spans="1:42" x14ac:dyDescent="0.2">
      <c r="A277" s="85" t="s">
        <v>166</v>
      </c>
      <c r="C277" s="152">
        <f t="shared" ref="C277:AP277" si="102">IF(AND(pbi_oth_tax_fed="Yes",pbi_oth_for_ds="No"),C636,0)</f>
        <v>0</v>
      </c>
      <c r="D277" s="152">
        <f t="shared" si="102"/>
        <v>0</v>
      </c>
      <c r="E277" s="152">
        <f t="shared" si="102"/>
        <v>0</v>
      </c>
      <c r="F277" s="152">
        <f t="shared" si="102"/>
        <v>0</v>
      </c>
      <c r="G277" s="152">
        <f t="shared" si="102"/>
        <v>0</v>
      </c>
      <c r="H277" s="152">
        <f t="shared" si="102"/>
        <v>0</v>
      </c>
      <c r="I277" s="152">
        <f t="shared" si="102"/>
        <v>0</v>
      </c>
      <c r="J277" s="152">
        <f t="shared" si="102"/>
        <v>0</v>
      </c>
      <c r="K277" s="152">
        <f t="shared" si="102"/>
        <v>0</v>
      </c>
      <c r="L277" s="152">
        <f t="shared" si="102"/>
        <v>0</v>
      </c>
      <c r="M277" s="152">
        <f t="shared" si="102"/>
        <v>0</v>
      </c>
      <c r="N277" s="152">
        <f t="shared" si="102"/>
        <v>0</v>
      </c>
      <c r="O277" s="152">
        <f t="shared" si="102"/>
        <v>0</v>
      </c>
      <c r="P277" s="152">
        <f t="shared" si="102"/>
        <v>0</v>
      </c>
      <c r="Q277" s="152">
        <f t="shared" si="102"/>
        <v>0</v>
      </c>
      <c r="R277" s="152">
        <f t="shared" si="102"/>
        <v>0</v>
      </c>
      <c r="S277" s="152">
        <f t="shared" si="102"/>
        <v>0</v>
      </c>
      <c r="T277" s="152">
        <f t="shared" si="102"/>
        <v>0</v>
      </c>
      <c r="U277" s="152">
        <f t="shared" si="102"/>
        <v>0</v>
      </c>
      <c r="V277" s="152">
        <f t="shared" si="102"/>
        <v>0</v>
      </c>
      <c r="W277" s="152">
        <f t="shared" si="102"/>
        <v>0</v>
      </c>
      <c r="X277" s="152">
        <f t="shared" si="102"/>
        <v>0</v>
      </c>
      <c r="Y277" s="152">
        <f t="shared" si="102"/>
        <v>0</v>
      </c>
      <c r="Z277" s="152">
        <f t="shared" si="102"/>
        <v>0</v>
      </c>
      <c r="AA277" s="152">
        <f t="shared" si="102"/>
        <v>0</v>
      </c>
      <c r="AB277" s="152">
        <f t="shared" si="102"/>
        <v>0</v>
      </c>
      <c r="AC277" s="152">
        <f t="shared" si="102"/>
        <v>0</v>
      </c>
      <c r="AD277" s="152">
        <f t="shared" si="102"/>
        <v>0</v>
      </c>
      <c r="AE277" s="152">
        <f t="shared" si="102"/>
        <v>0</v>
      </c>
      <c r="AF277" s="152">
        <f t="shared" si="102"/>
        <v>0</v>
      </c>
      <c r="AG277" s="152">
        <f t="shared" si="102"/>
        <v>0</v>
      </c>
      <c r="AH277" s="152">
        <f t="shared" si="102"/>
        <v>0</v>
      </c>
      <c r="AI277" s="152">
        <f t="shared" si="102"/>
        <v>0</v>
      </c>
      <c r="AJ277" s="152">
        <f t="shared" si="102"/>
        <v>0</v>
      </c>
      <c r="AK277" s="152">
        <f t="shared" si="102"/>
        <v>0</v>
      </c>
      <c r="AL277" s="152">
        <f t="shared" si="102"/>
        <v>0</v>
      </c>
      <c r="AM277" s="152">
        <f t="shared" si="102"/>
        <v>0</v>
      </c>
      <c r="AN277" s="152">
        <f t="shared" si="102"/>
        <v>0</v>
      </c>
      <c r="AO277" s="152">
        <f t="shared" si="102"/>
        <v>0</v>
      </c>
      <c r="AP277" s="152">
        <f t="shared" si="102"/>
        <v>0</v>
      </c>
    </row>
    <row r="278" spans="1:42" x14ac:dyDescent="0.2">
      <c r="A278" s="85" t="s">
        <v>13</v>
      </c>
      <c r="C278" s="154">
        <f>SUM(C274:C277)</f>
        <v>0</v>
      </c>
      <c r="D278" s="154">
        <f t="shared" ref="D278:AP278" si="103">SUM(D274:D277)</f>
        <v>0</v>
      </c>
      <c r="E278" s="154">
        <f t="shared" si="103"/>
        <v>0</v>
      </c>
      <c r="F278" s="154">
        <f t="shared" si="103"/>
        <v>0</v>
      </c>
      <c r="G278" s="154">
        <f t="shared" si="103"/>
        <v>0</v>
      </c>
      <c r="H278" s="154">
        <f t="shared" si="103"/>
        <v>0</v>
      </c>
      <c r="I278" s="154">
        <f t="shared" si="103"/>
        <v>0</v>
      </c>
      <c r="J278" s="154">
        <f t="shared" si="103"/>
        <v>0</v>
      </c>
      <c r="K278" s="154">
        <f t="shared" si="103"/>
        <v>0</v>
      </c>
      <c r="L278" s="154">
        <f t="shared" si="103"/>
        <v>0</v>
      </c>
      <c r="M278" s="154">
        <f t="shared" si="103"/>
        <v>0</v>
      </c>
      <c r="N278" s="154">
        <f t="shared" si="103"/>
        <v>0</v>
      </c>
      <c r="O278" s="154">
        <f t="shared" si="103"/>
        <v>0</v>
      </c>
      <c r="P278" s="154">
        <f t="shared" si="103"/>
        <v>0</v>
      </c>
      <c r="Q278" s="154">
        <f t="shared" si="103"/>
        <v>0</v>
      </c>
      <c r="R278" s="154">
        <f t="shared" si="103"/>
        <v>0</v>
      </c>
      <c r="S278" s="154">
        <f t="shared" si="103"/>
        <v>0</v>
      </c>
      <c r="T278" s="154">
        <f t="shared" si="103"/>
        <v>0</v>
      </c>
      <c r="U278" s="154">
        <f t="shared" si="103"/>
        <v>0</v>
      </c>
      <c r="V278" s="154">
        <f t="shared" si="103"/>
        <v>0</v>
      </c>
      <c r="W278" s="154">
        <f t="shared" si="103"/>
        <v>0</v>
      </c>
      <c r="X278" s="154">
        <f t="shared" si="103"/>
        <v>0</v>
      </c>
      <c r="Y278" s="154">
        <f t="shared" si="103"/>
        <v>0</v>
      </c>
      <c r="Z278" s="154">
        <f t="shared" si="103"/>
        <v>0</v>
      </c>
      <c r="AA278" s="154">
        <f t="shared" si="103"/>
        <v>0</v>
      </c>
      <c r="AB278" s="154">
        <f t="shared" si="103"/>
        <v>0</v>
      </c>
      <c r="AC278" s="154">
        <f t="shared" si="103"/>
        <v>0</v>
      </c>
      <c r="AD278" s="154">
        <f t="shared" si="103"/>
        <v>0</v>
      </c>
      <c r="AE278" s="154">
        <f t="shared" si="103"/>
        <v>0</v>
      </c>
      <c r="AF278" s="154">
        <f t="shared" si="103"/>
        <v>0</v>
      </c>
      <c r="AG278" s="154">
        <f t="shared" si="103"/>
        <v>0</v>
      </c>
      <c r="AH278" s="154">
        <f t="shared" si="103"/>
        <v>0</v>
      </c>
      <c r="AI278" s="154">
        <f t="shared" si="103"/>
        <v>0</v>
      </c>
      <c r="AJ278" s="154">
        <f t="shared" si="103"/>
        <v>0</v>
      </c>
      <c r="AK278" s="154">
        <f t="shared" si="103"/>
        <v>0</v>
      </c>
      <c r="AL278" s="154">
        <f t="shared" si="103"/>
        <v>0</v>
      </c>
      <c r="AM278" s="154">
        <f t="shared" si="103"/>
        <v>0</v>
      </c>
      <c r="AN278" s="154">
        <f t="shared" si="103"/>
        <v>0</v>
      </c>
      <c r="AO278" s="154">
        <f t="shared" si="103"/>
        <v>0</v>
      </c>
      <c r="AP278" s="154">
        <f t="shared" si="103"/>
        <v>0</v>
      </c>
    </row>
    <row r="279" spans="1:42" x14ac:dyDescent="0.2">
      <c r="A279" s="84" t="s">
        <v>41</v>
      </c>
      <c r="C279" s="152">
        <f>C260+C266+C272+C278</f>
        <v>0</v>
      </c>
      <c r="D279" s="152">
        <f t="shared" ref="D279:AP279" si="104">D260+D266+D272+D278</f>
        <v>0</v>
      </c>
      <c r="E279" s="152">
        <f t="shared" si="104"/>
        <v>0</v>
      </c>
      <c r="F279" s="152">
        <f t="shared" si="104"/>
        <v>0</v>
      </c>
      <c r="G279" s="152">
        <f t="shared" si="104"/>
        <v>0</v>
      </c>
      <c r="H279" s="152">
        <f t="shared" si="104"/>
        <v>0</v>
      </c>
      <c r="I279" s="152">
        <f t="shared" si="104"/>
        <v>0</v>
      </c>
      <c r="J279" s="152">
        <f t="shared" si="104"/>
        <v>0</v>
      </c>
      <c r="K279" s="152">
        <f t="shared" si="104"/>
        <v>0</v>
      </c>
      <c r="L279" s="152">
        <f t="shared" si="104"/>
        <v>0</v>
      </c>
      <c r="M279" s="152">
        <f t="shared" si="104"/>
        <v>0</v>
      </c>
      <c r="N279" s="152">
        <f t="shared" si="104"/>
        <v>0</v>
      </c>
      <c r="O279" s="152">
        <f t="shared" si="104"/>
        <v>0</v>
      </c>
      <c r="P279" s="152">
        <f t="shared" si="104"/>
        <v>0</v>
      </c>
      <c r="Q279" s="152">
        <f t="shared" si="104"/>
        <v>0</v>
      </c>
      <c r="R279" s="152">
        <f t="shared" si="104"/>
        <v>0</v>
      </c>
      <c r="S279" s="152">
        <f t="shared" si="104"/>
        <v>0</v>
      </c>
      <c r="T279" s="152">
        <f t="shared" si="104"/>
        <v>0</v>
      </c>
      <c r="U279" s="152">
        <f t="shared" si="104"/>
        <v>0</v>
      </c>
      <c r="V279" s="152">
        <f t="shared" si="104"/>
        <v>0</v>
      </c>
      <c r="W279" s="152">
        <f t="shared" si="104"/>
        <v>0</v>
      </c>
      <c r="X279" s="152">
        <f t="shared" si="104"/>
        <v>0</v>
      </c>
      <c r="Y279" s="152">
        <f t="shared" si="104"/>
        <v>0</v>
      </c>
      <c r="Z279" s="152">
        <f t="shared" si="104"/>
        <v>0</v>
      </c>
      <c r="AA279" s="152">
        <f t="shared" si="104"/>
        <v>0</v>
      </c>
      <c r="AB279" s="152">
        <f t="shared" si="104"/>
        <v>0</v>
      </c>
      <c r="AC279" s="152">
        <f t="shared" si="104"/>
        <v>0</v>
      </c>
      <c r="AD279" s="152">
        <f t="shared" si="104"/>
        <v>0</v>
      </c>
      <c r="AE279" s="152">
        <f t="shared" si="104"/>
        <v>0</v>
      </c>
      <c r="AF279" s="152">
        <f t="shared" si="104"/>
        <v>0</v>
      </c>
      <c r="AG279" s="152">
        <f t="shared" si="104"/>
        <v>0</v>
      </c>
      <c r="AH279" s="152">
        <f t="shared" si="104"/>
        <v>0</v>
      </c>
      <c r="AI279" s="152">
        <f t="shared" si="104"/>
        <v>0</v>
      </c>
      <c r="AJ279" s="152">
        <f t="shared" si="104"/>
        <v>0</v>
      </c>
      <c r="AK279" s="152">
        <f t="shared" si="104"/>
        <v>0</v>
      </c>
      <c r="AL279" s="152">
        <f t="shared" si="104"/>
        <v>0</v>
      </c>
      <c r="AM279" s="152">
        <f t="shared" si="104"/>
        <v>0</v>
      </c>
      <c r="AN279" s="152">
        <f t="shared" si="104"/>
        <v>0</v>
      </c>
      <c r="AO279" s="152">
        <f t="shared" si="104"/>
        <v>0</v>
      </c>
      <c r="AP279" s="152">
        <f t="shared" si="104"/>
        <v>0</v>
      </c>
    </row>
    <row r="280" spans="1:42" x14ac:dyDescent="0.2">
      <c r="A280" s="85"/>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row>
    <row r="281" spans="1:42" x14ac:dyDescent="0.2">
      <c r="A281" s="84" t="s">
        <v>42</v>
      </c>
      <c r="C281" s="155">
        <f>C253+C279</f>
        <v>0</v>
      </c>
      <c r="D281" s="155">
        <f t="shared" ref="D281:AP281" si="105">D253+D279</f>
        <v>0</v>
      </c>
      <c r="E281" s="155">
        <f t="shared" si="105"/>
        <v>0</v>
      </c>
      <c r="F281" s="155">
        <f t="shared" si="105"/>
        <v>0</v>
      </c>
      <c r="G281" s="155">
        <f t="shared" si="105"/>
        <v>0</v>
      </c>
      <c r="H281" s="155">
        <f t="shared" si="105"/>
        <v>0</v>
      </c>
      <c r="I281" s="155">
        <f t="shared" si="105"/>
        <v>0</v>
      </c>
      <c r="J281" s="155">
        <f t="shared" si="105"/>
        <v>0</v>
      </c>
      <c r="K281" s="155">
        <f t="shared" si="105"/>
        <v>0</v>
      </c>
      <c r="L281" s="155">
        <f t="shared" si="105"/>
        <v>0</v>
      </c>
      <c r="M281" s="155">
        <f t="shared" si="105"/>
        <v>0</v>
      </c>
      <c r="N281" s="155">
        <f t="shared" si="105"/>
        <v>0</v>
      </c>
      <c r="O281" s="155">
        <f t="shared" si="105"/>
        <v>0</v>
      </c>
      <c r="P281" s="155">
        <f t="shared" si="105"/>
        <v>0</v>
      </c>
      <c r="Q281" s="155">
        <f t="shared" si="105"/>
        <v>0</v>
      </c>
      <c r="R281" s="155">
        <f t="shared" si="105"/>
        <v>0</v>
      </c>
      <c r="S281" s="155">
        <f t="shared" si="105"/>
        <v>0</v>
      </c>
      <c r="T281" s="155">
        <f t="shared" si="105"/>
        <v>0</v>
      </c>
      <c r="U281" s="155">
        <f t="shared" si="105"/>
        <v>0</v>
      </c>
      <c r="V281" s="155">
        <f t="shared" si="105"/>
        <v>0</v>
      </c>
      <c r="W281" s="155">
        <f t="shared" si="105"/>
        <v>0</v>
      </c>
      <c r="X281" s="155">
        <f t="shared" si="105"/>
        <v>0</v>
      </c>
      <c r="Y281" s="155">
        <f t="shared" si="105"/>
        <v>0</v>
      </c>
      <c r="Z281" s="155">
        <f t="shared" si="105"/>
        <v>0</v>
      </c>
      <c r="AA281" s="155">
        <f t="shared" si="105"/>
        <v>0</v>
      </c>
      <c r="AB281" s="155">
        <f t="shared" si="105"/>
        <v>0</v>
      </c>
      <c r="AC281" s="155">
        <f t="shared" si="105"/>
        <v>0</v>
      </c>
      <c r="AD281" s="155">
        <f t="shared" si="105"/>
        <v>0</v>
      </c>
      <c r="AE281" s="155">
        <f t="shared" si="105"/>
        <v>0</v>
      </c>
      <c r="AF281" s="155">
        <f t="shared" si="105"/>
        <v>0</v>
      </c>
      <c r="AG281" s="155">
        <f t="shared" si="105"/>
        <v>0</v>
      </c>
      <c r="AH281" s="155">
        <f t="shared" si="105"/>
        <v>0</v>
      </c>
      <c r="AI281" s="155">
        <f t="shared" si="105"/>
        <v>0</v>
      </c>
      <c r="AJ281" s="155">
        <f t="shared" si="105"/>
        <v>0</v>
      </c>
      <c r="AK281" s="155">
        <f t="shared" si="105"/>
        <v>0</v>
      </c>
      <c r="AL281" s="155">
        <f t="shared" si="105"/>
        <v>0</v>
      </c>
      <c r="AM281" s="155">
        <f t="shared" si="105"/>
        <v>0</v>
      </c>
      <c r="AN281" s="155">
        <f t="shared" si="105"/>
        <v>0</v>
      </c>
      <c r="AO281" s="155">
        <f t="shared" si="105"/>
        <v>0</v>
      </c>
      <c r="AP281" s="155">
        <f t="shared" si="105"/>
        <v>0</v>
      </c>
    </row>
    <row r="282" spans="1:42" x14ac:dyDescent="0.2">
      <c r="A282" s="84" t="s">
        <v>265</v>
      </c>
      <c r="B282" s="4">
        <f t="array" ref="B282:AP282">Inputs!C180:AQ180</f>
        <v>0</v>
      </c>
      <c r="C282" s="154">
        <v>0</v>
      </c>
      <c r="D282" s="154">
        <v>0</v>
      </c>
      <c r="E282" s="154">
        <v>0</v>
      </c>
      <c r="F282" s="154">
        <v>0</v>
      </c>
      <c r="G282" s="154">
        <v>0</v>
      </c>
      <c r="H282" s="154">
        <v>0</v>
      </c>
      <c r="I282" s="154">
        <v>0</v>
      </c>
      <c r="J282" s="154">
        <v>0</v>
      </c>
      <c r="K282" s="154">
        <v>0</v>
      </c>
      <c r="L282" s="154">
        <v>0</v>
      </c>
      <c r="M282" s="154">
        <v>0</v>
      </c>
      <c r="N282" s="154">
        <v>0</v>
      </c>
      <c r="O282" s="154">
        <v>0</v>
      </c>
      <c r="P282" s="154">
        <v>0</v>
      </c>
      <c r="Q282" s="154">
        <v>0</v>
      </c>
      <c r="R282" s="154">
        <v>0</v>
      </c>
      <c r="S282" s="154">
        <v>0</v>
      </c>
      <c r="T282" s="154">
        <v>0</v>
      </c>
      <c r="U282" s="154">
        <v>0</v>
      </c>
      <c r="V282" s="154">
        <v>0</v>
      </c>
      <c r="W282" s="154">
        <v>0</v>
      </c>
      <c r="X282" s="154">
        <v>0</v>
      </c>
      <c r="Y282" s="154">
        <v>0</v>
      </c>
      <c r="Z282" s="154">
        <v>0</v>
      </c>
      <c r="AA282" s="154">
        <v>0</v>
      </c>
      <c r="AB282" s="154">
        <v>0</v>
      </c>
      <c r="AC282" s="154">
        <v>0</v>
      </c>
      <c r="AD282" s="154">
        <v>0</v>
      </c>
      <c r="AE282" s="154">
        <v>0</v>
      </c>
      <c r="AF282" s="154">
        <v>0</v>
      </c>
      <c r="AG282" s="154">
        <v>0</v>
      </c>
      <c r="AH282" s="154">
        <v>0</v>
      </c>
      <c r="AI282" s="154">
        <v>0</v>
      </c>
      <c r="AJ282" s="154">
        <v>0</v>
      </c>
      <c r="AK282" s="154">
        <v>0</v>
      </c>
      <c r="AL282" s="154">
        <v>0</v>
      </c>
      <c r="AM282" s="154">
        <v>0</v>
      </c>
      <c r="AN282" s="154">
        <v>0</v>
      </c>
      <c r="AO282" s="154">
        <v>0</v>
      </c>
      <c r="AP282" s="154">
        <v>0</v>
      </c>
    </row>
    <row r="283" spans="1:42" x14ac:dyDescent="0.2">
      <c r="A283" s="84" t="s">
        <v>67</v>
      </c>
      <c r="C283" s="155">
        <f>C281*-C282/100</f>
        <v>0</v>
      </c>
      <c r="D283" s="155">
        <f t="shared" ref="D283:AP283" si="106">D281*-D282/100</f>
        <v>0</v>
      </c>
      <c r="E283" s="155">
        <f t="shared" si="106"/>
        <v>0</v>
      </c>
      <c r="F283" s="155">
        <f t="shared" si="106"/>
        <v>0</v>
      </c>
      <c r="G283" s="155">
        <f t="shared" si="106"/>
        <v>0</v>
      </c>
      <c r="H283" s="155">
        <f t="shared" si="106"/>
        <v>0</v>
      </c>
      <c r="I283" s="155">
        <f t="shared" si="106"/>
        <v>0</v>
      </c>
      <c r="J283" s="155">
        <f t="shared" si="106"/>
        <v>0</v>
      </c>
      <c r="K283" s="155">
        <f t="shared" si="106"/>
        <v>0</v>
      </c>
      <c r="L283" s="155">
        <f t="shared" si="106"/>
        <v>0</v>
      </c>
      <c r="M283" s="155">
        <f t="shared" si="106"/>
        <v>0</v>
      </c>
      <c r="N283" s="155">
        <f t="shared" si="106"/>
        <v>0</v>
      </c>
      <c r="O283" s="155">
        <f t="shared" si="106"/>
        <v>0</v>
      </c>
      <c r="P283" s="155">
        <f t="shared" si="106"/>
        <v>0</v>
      </c>
      <c r="Q283" s="155">
        <f t="shared" si="106"/>
        <v>0</v>
      </c>
      <c r="R283" s="155">
        <f t="shared" si="106"/>
        <v>0</v>
      </c>
      <c r="S283" s="155">
        <f t="shared" si="106"/>
        <v>0</v>
      </c>
      <c r="T283" s="155">
        <f t="shared" si="106"/>
        <v>0</v>
      </c>
      <c r="U283" s="155">
        <f t="shared" si="106"/>
        <v>0</v>
      </c>
      <c r="V283" s="155">
        <f t="shared" si="106"/>
        <v>0</v>
      </c>
      <c r="W283" s="155">
        <f t="shared" si="106"/>
        <v>0</v>
      </c>
      <c r="X283" s="155">
        <f t="shared" si="106"/>
        <v>0</v>
      </c>
      <c r="Y283" s="155">
        <f t="shared" si="106"/>
        <v>0</v>
      </c>
      <c r="Z283" s="155">
        <f t="shared" si="106"/>
        <v>0</v>
      </c>
      <c r="AA283" s="155">
        <f t="shared" si="106"/>
        <v>0</v>
      </c>
      <c r="AB283" s="155">
        <f t="shared" si="106"/>
        <v>0</v>
      </c>
      <c r="AC283" s="155">
        <f t="shared" si="106"/>
        <v>0</v>
      </c>
      <c r="AD283" s="155">
        <f t="shared" si="106"/>
        <v>0</v>
      </c>
      <c r="AE283" s="155">
        <f t="shared" si="106"/>
        <v>0</v>
      </c>
      <c r="AF283" s="155">
        <f t="shared" si="106"/>
        <v>0</v>
      </c>
      <c r="AG283" s="155">
        <f t="shared" si="106"/>
        <v>0</v>
      </c>
      <c r="AH283" s="155">
        <f t="shared" si="106"/>
        <v>0</v>
      </c>
      <c r="AI283" s="155">
        <f t="shared" si="106"/>
        <v>0</v>
      </c>
      <c r="AJ283" s="155">
        <f t="shared" si="106"/>
        <v>0</v>
      </c>
      <c r="AK283" s="155">
        <f t="shared" si="106"/>
        <v>0</v>
      </c>
      <c r="AL283" s="155">
        <f t="shared" si="106"/>
        <v>0</v>
      </c>
      <c r="AM283" s="155">
        <f t="shared" si="106"/>
        <v>0</v>
      </c>
      <c r="AN283" s="155">
        <f t="shared" si="106"/>
        <v>0</v>
      </c>
      <c r="AO283" s="155">
        <f t="shared" si="106"/>
        <v>0</v>
      </c>
      <c r="AP283" s="155">
        <f t="shared" si="106"/>
        <v>0</v>
      </c>
    </row>
    <row r="284" spans="1:42" x14ac:dyDescent="0.2">
      <c r="A284" s="21"/>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row>
    <row r="285" spans="1:42" x14ac:dyDescent="0.2">
      <c r="A285" s="80" t="s">
        <v>448</v>
      </c>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row>
    <row r="286" spans="1:42" x14ac:dyDescent="0.2">
      <c r="A286" s="19" t="s">
        <v>450</v>
      </c>
      <c r="B286" s="152"/>
    </row>
    <row r="287" spans="1:42" x14ac:dyDescent="0.2">
      <c r="A287" s="84" t="s">
        <v>178</v>
      </c>
      <c r="B287" s="152">
        <f>total_installed_cost</f>
        <v>0</v>
      </c>
    </row>
    <row r="288" spans="1:42" x14ac:dyDescent="0.2">
      <c r="A288" s="84" t="s">
        <v>341</v>
      </c>
      <c r="B288" s="152">
        <f>Inputs!$C$85</f>
        <v>0</v>
      </c>
    </row>
    <row r="289" spans="1:17" x14ac:dyDescent="0.2">
      <c r="A289" s="84" t="s">
        <v>352</v>
      </c>
      <c r="B289" s="152">
        <f>cost_equity_closing</f>
        <v>0</v>
      </c>
    </row>
    <row r="290" spans="1:17" x14ac:dyDescent="0.2">
      <c r="A290" s="84" t="s">
        <v>451</v>
      </c>
      <c r="B290" s="152">
        <f>cost_other_financing</f>
        <v>0</v>
      </c>
    </row>
    <row r="291" spans="1:17" x14ac:dyDescent="0.2">
      <c r="A291" s="84" t="s">
        <v>179</v>
      </c>
      <c r="B291" s="153">
        <f>Inputs!I98</f>
        <v>0</v>
      </c>
    </row>
    <row r="292" spans="1:17" x14ac:dyDescent="0.2">
      <c r="A292" s="17" t="s">
        <v>449</v>
      </c>
      <c r="B292" s="152">
        <f>SUM(B287:B291)</f>
        <v>0</v>
      </c>
    </row>
    <row r="293" spans="1:17" x14ac:dyDescent="0.2">
      <c r="A293" s="17" t="s">
        <v>452</v>
      </c>
      <c r="B293" s="152">
        <f>B292</f>
        <v>0</v>
      </c>
    </row>
    <row r="294" spans="1:17" x14ac:dyDescent="0.2">
      <c r="A294" s="19"/>
      <c r="B294" s="152"/>
    </row>
    <row r="295" spans="1:17" x14ac:dyDescent="0.2">
      <c r="A295" s="19" t="s">
        <v>453</v>
      </c>
    </row>
    <row r="296" spans="1:17" ht="15" customHeight="1" x14ac:dyDescent="0.2">
      <c r="A296" s="328" t="s">
        <v>454</v>
      </c>
      <c r="B296" s="343" t="s">
        <v>455</v>
      </c>
      <c r="C296" s="344"/>
      <c r="D296" s="343" t="s">
        <v>456</v>
      </c>
      <c r="E296" s="344"/>
      <c r="F296" s="345"/>
      <c r="G296" s="343" t="s">
        <v>457</v>
      </c>
      <c r="H296" s="344"/>
      <c r="I296" s="344"/>
      <c r="J296" s="345"/>
      <c r="K296" s="346" t="s">
        <v>458</v>
      </c>
      <c r="L296" s="347"/>
      <c r="M296" s="338" t="s">
        <v>459</v>
      </c>
      <c r="N296" s="339"/>
      <c r="O296" s="340"/>
      <c r="P296" s="329" t="s">
        <v>460</v>
      </c>
      <c r="Q296" s="341" t="s">
        <v>454</v>
      </c>
    </row>
    <row r="297" spans="1:17" ht="51" x14ac:dyDescent="0.2">
      <c r="A297" s="37" t="s">
        <v>461</v>
      </c>
      <c r="B297" s="226" t="s">
        <v>486</v>
      </c>
      <c r="C297" s="330" t="s">
        <v>462</v>
      </c>
      <c r="D297" s="331" t="s">
        <v>463</v>
      </c>
      <c r="E297" s="332" t="s">
        <v>464</v>
      </c>
      <c r="F297" s="334" t="s">
        <v>465</v>
      </c>
      <c r="G297" s="226" t="s">
        <v>54</v>
      </c>
      <c r="H297" s="330" t="s">
        <v>55</v>
      </c>
      <c r="I297" s="330" t="s">
        <v>466</v>
      </c>
      <c r="J297" s="330" t="s">
        <v>467</v>
      </c>
      <c r="K297" s="226" t="s">
        <v>56</v>
      </c>
      <c r="L297" s="330" t="s">
        <v>468</v>
      </c>
      <c r="M297" s="226" t="s">
        <v>469</v>
      </c>
      <c r="N297" s="330" t="s">
        <v>470</v>
      </c>
      <c r="O297" s="333" t="s">
        <v>471</v>
      </c>
      <c r="P297" s="211" t="s">
        <v>472</v>
      </c>
      <c r="Q297" s="342"/>
    </row>
    <row r="298" spans="1:17" x14ac:dyDescent="0.2">
      <c r="A298" s="21" t="str">
        <f>Inputs!B150</f>
        <v>5-yr MACRS</v>
      </c>
      <c r="B298" s="205">
        <f>IF(Inputs!$C$158=0,0,depr_alloc_macrs_5_percent*100/Inputs!$C$158)</f>
        <v>0</v>
      </c>
      <c r="C298" s="115">
        <f>$B$292*depr_alloc_macrs_5_percent/100</f>
        <v>0</v>
      </c>
      <c r="D298" s="118">
        <f>$B298/100*($B$316+$B$322)</f>
        <v>0</v>
      </c>
      <c r="E298" s="121">
        <f>$B298/100*$B$328</f>
        <v>0</v>
      </c>
      <c r="F298" s="122">
        <f>C298-D298-E298</f>
        <v>0</v>
      </c>
      <c r="G298" s="121">
        <f>IF(depr_itc_sta_macrs_5="Yes",F298,0)</f>
        <v>0</v>
      </c>
      <c r="H298" s="125">
        <f t="shared" ref="H298:H304" si="107">IF($G$305=0,0,G298/$G$305)*100</f>
        <v>0</v>
      </c>
      <c r="I298" s="121">
        <f t="shared" ref="I298:I304" si="108">$I$305*H298/100</f>
        <v>0</v>
      </c>
      <c r="J298" s="122">
        <f>I298*0.5</f>
        <v>0</v>
      </c>
      <c r="K298" s="119">
        <f t="shared" ref="K298:K304" si="109">H298/100*$K$305</f>
        <v>0</v>
      </c>
      <c r="L298" s="122">
        <f>K298*0.5</f>
        <v>0</v>
      </c>
      <c r="M298" s="115">
        <f t="shared" ref="M298:M302" si="110">IF(itc_sta_amount_deprbas_sta="Yes",L298,0)+IF(itc_sta_percent_deprbas_sta="Yes",J298,0)</f>
        <v>0</v>
      </c>
      <c r="N298" s="115">
        <f t="shared" ref="N298:N303" si="111">IF(itc_fed_amount_deprbas_sta="Yes",L436,0)+IF(itc_fed_percent_deprbas_sta="Yes",J436,0)</f>
        <v>0</v>
      </c>
      <c r="O298" s="117">
        <f t="shared" ref="O298:O302" si="112">F298-M298-N298</f>
        <v>0</v>
      </c>
      <c r="P298" s="115">
        <f>IF(depr_bonus_sta_macrs_5="Yes",O298*depr_bonus_sta/100,0)</f>
        <v>0</v>
      </c>
      <c r="Q298" s="117">
        <f>O298-P298</f>
        <v>0</v>
      </c>
    </row>
    <row r="299" spans="1:17" x14ac:dyDescent="0.2">
      <c r="A299" s="21" t="str">
        <f>Inputs!B151</f>
        <v>15-yr MACRS</v>
      </c>
      <c r="B299" s="205">
        <f>IF(Inputs!$C$158=0,0,depr_alloc_macrs_15_percent*100/Inputs!$C$158)</f>
        <v>0</v>
      </c>
      <c r="C299" s="115">
        <f>$B$292*depr_alloc_macrs_15_percent/100</f>
        <v>0</v>
      </c>
      <c r="D299" s="119">
        <f t="shared" ref="D299:D304" si="113">$B299/100*($B$316+$B$322)</f>
        <v>0</v>
      </c>
      <c r="E299" s="115">
        <f t="shared" ref="E299:E304" si="114">$B299/100*$B$328</f>
        <v>0</v>
      </c>
      <c r="F299" s="124">
        <f t="shared" ref="F299:F303" si="115">C299-D299-E299</f>
        <v>0</v>
      </c>
      <c r="G299" s="115">
        <f>IF(depr_itc_sta_macrs_15="Yes",F299,0)</f>
        <v>0</v>
      </c>
      <c r="H299" s="126">
        <f t="shared" si="107"/>
        <v>0</v>
      </c>
      <c r="I299" s="115">
        <f t="shared" si="108"/>
        <v>0</v>
      </c>
      <c r="J299" s="124">
        <f t="shared" ref="J299:J304" si="116">I299*0.5</f>
        <v>0</v>
      </c>
      <c r="K299" s="119">
        <f t="shared" si="109"/>
        <v>0</v>
      </c>
      <c r="L299" s="124">
        <f t="shared" ref="L299:L304" si="117">K299*0.5</f>
        <v>0</v>
      </c>
      <c r="M299" s="115">
        <f t="shared" si="110"/>
        <v>0</v>
      </c>
      <c r="N299" s="115">
        <f t="shared" si="111"/>
        <v>0</v>
      </c>
      <c r="O299" s="117">
        <f t="shared" si="112"/>
        <v>0</v>
      </c>
      <c r="P299" s="115">
        <f>IF(depr_bonus_sta_macrs_15="Yes",O299*depr_bonus_sta/100,0)</f>
        <v>0</v>
      </c>
      <c r="Q299" s="117">
        <f t="shared" ref="Q299:Q302" si="118">O299-P299</f>
        <v>0</v>
      </c>
    </row>
    <row r="300" spans="1:17" x14ac:dyDescent="0.2">
      <c r="A300" s="21" t="str">
        <f>Inputs!B152</f>
        <v>5-yr SL</v>
      </c>
      <c r="B300" s="205">
        <f>IF(Inputs!$C$158=0,0,depr_alloc_sl_5_percent*100/Inputs!$C$158)</f>
        <v>0</v>
      </c>
      <c r="C300" s="115">
        <f>$B$292*depr_alloc_sl_5_percent/100</f>
        <v>0</v>
      </c>
      <c r="D300" s="119">
        <f t="shared" si="113"/>
        <v>0</v>
      </c>
      <c r="E300" s="115">
        <f t="shared" si="114"/>
        <v>0</v>
      </c>
      <c r="F300" s="124">
        <f t="shared" si="115"/>
        <v>0</v>
      </c>
      <c r="G300" s="115">
        <f>IF(depr_itc_sta_sl_5="Yes",F300,0)</f>
        <v>0</v>
      </c>
      <c r="H300" s="126">
        <f t="shared" si="107"/>
        <v>0</v>
      </c>
      <c r="I300" s="115">
        <f t="shared" si="108"/>
        <v>0</v>
      </c>
      <c r="J300" s="124">
        <f t="shared" si="116"/>
        <v>0</v>
      </c>
      <c r="K300" s="119">
        <f t="shared" si="109"/>
        <v>0</v>
      </c>
      <c r="L300" s="124">
        <f t="shared" si="117"/>
        <v>0</v>
      </c>
      <c r="M300" s="115">
        <f t="shared" si="110"/>
        <v>0</v>
      </c>
      <c r="N300" s="115">
        <f t="shared" si="111"/>
        <v>0</v>
      </c>
      <c r="O300" s="117">
        <f t="shared" si="112"/>
        <v>0</v>
      </c>
      <c r="P300" s="115">
        <f>IF(depr_bonus_sta_sl_5="Yes",O300*depr_bonus_sta/100,0)</f>
        <v>0</v>
      </c>
      <c r="Q300" s="117">
        <f t="shared" si="118"/>
        <v>0</v>
      </c>
    </row>
    <row r="301" spans="1:17" x14ac:dyDescent="0.2">
      <c r="A301" s="21" t="str">
        <f>Inputs!B153</f>
        <v>15-yr SL</v>
      </c>
      <c r="B301" s="205">
        <f>IF(Inputs!$C$158=0,0,depr_alloc_sl_15_percent*100/Inputs!$C$158)</f>
        <v>0</v>
      </c>
      <c r="C301" s="115">
        <f>$B$292*depr_alloc_sl_15_percent/100</f>
        <v>0</v>
      </c>
      <c r="D301" s="119">
        <f t="shared" si="113"/>
        <v>0</v>
      </c>
      <c r="E301" s="115">
        <f t="shared" si="114"/>
        <v>0</v>
      </c>
      <c r="F301" s="124">
        <f t="shared" si="115"/>
        <v>0</v>
      </c>
      <c r="G301" s="115">
        <f>IF(depr_itc_sta_sl_15="Yes",F301,0)</f>
        <v>0</v>
      </c>
      <c r="H301" s="126">
        <f t="shared" si="107"/>
        <v>0</v>
      </c>
      <c r="I301" s="115">
        <f t="shared" si="108"/>
        <v>0</v>
      </c>
      <c r="J301" s="124">
        <f t="shared" si="116"/>
        <v>0</v>
      </c>
      <c r="K301" s="119">
        <f t="shared" si="109"/>
        <v>0</v>
      </c>
      <c r="L301" s="124">
        <f t="shared" si="117"/>
        <v>0</v>
      </c>
      <c r="M301" s="115">
        <f t="shared" si="110"/>
        <v>0</v>
      </c>
      <c r="N301" s="115">
        <f t="shared" si="111"/>
        <v>0</v>
      </c>
      <c r="O301" s="117">
        <f t="shared" si="112"/>
        <v>0</v>
      </c>
      <c r="P301" s="115">
        <f>IF(depr_bonus_sta_sl_15="Yes",O301*depr_bonus_sta/100,0)</f>
        <v>0</v>
      </c>
      <c r="Q301" s="117">
        <f t="shared" si="118"/>
        <v>0</v>
      </c>
    </row>
    <row r="302" spans="1:17" x14ac:dyDescent="0.2">
      <c r="A302" s="21" t="str">
        <f>Inputs!B154</f>
        <v>20-yr SL</v>
      </c>
      <c r="B302" s="205">
        <f>IF(Inputs!$C$158=0,0,depr_alloc_sl_20_percent*100/Inputs!$C$158)</f>
        <v>0</v>
      </c>
      <c r="C302" s="115">
        <f>$B$292*depr_alloc_sl_20_percent/100</f>
        <v>0</v>
      </c>
      <c r="D302" s="119">
        <f t="shared" si="113"/>
        <v>0</v>
      </c>
      <c r="E302" s="115">
        <f t="shared" si="114"/>
        <v>0</v>
      </c>
      <c r="F302" s="124">
        <f t="shared" si="115"/>
        <v>0</v>
      </c>
      <c r="G302" s="115">
        <f>IF(depr_itc_sta_sl_20="Yes",F302,0)</f>
        <v>0</v>
      </c>
      <c r="H302" s="126">
        <f t="shared" si="107"/>
        <v>0</v>
      </c>
      <c r="I302" s="115">
        <f t="shared" si="108"/>
        <v>0</v>
      </c>
      <c r="J302" s="124">
        <f t="shared" si="116"/>
        <v>0</v>
      </c>
      <c r="K302" s="119">
        <f t="shared" si="109"/>
        <v>0</v>
      </c>
      <c r="L302" s="124">
        <f t="shared" si="117"/>
        <v>0</v>
      </c>
      <c r="M302" s="115">
        <f t="shared" si="110"/>
        <v>0</v>
      </c>
      <c r="N302" s="115">
        <f t="shared" si="111"/>
        <v>0</v>
      </c>
      <c r="O302" s="117">
        <f t="shared" si="112"/>
        <v>0</v>
      </c>
      <c r="P302" s="115">
        <f>IF(depr_bonus_sta_sl_20="Yes",O302*depr_bonus_sta/100,0)</f>
        <v>0</v>
      </c>
      <c r="Q302" s="117">
        <f t="shared" si="118"/>
        <v>0</v>
      </c>
    </row>
    <row r="303" spans="1:17" x14ac:dyDescent="0.2">
      <c r="A303" s="21" t="str">
        <f>Inputs!B155</f>
        <v>39-yr SL</v>
      </c>
      <c r="B303" s="205">
        <f>IF(Inputs!$C$158=0,0,depr_alloc_sl_39_percent*100/Inputs!$C$158)</f>
        <v>0</v>
      </c>
      <c r="C303" s="115">
        <f>$B$292*depr_alloc_sl_39_percent/100</f>
        <v>0</v>
      </c>
      <c r="D303" s="119">
        <f t="shared" si="113"/>
        <v>0</v>
      </c>
      <c r="E303" s="115">
        <f t="shared" si="114"/>
        <v>0</v>
      </c>
      <c r="F303" s="124">
        <f t="shared" si="115"/>
        <v>0</v>
      </c>
      <c r="G303" s="115">
        <f>IF(depr_itc_sta_sl_39="Yes",F303,0)</f>
        <v>0</v>
      </c>
      <c r="H303" s="126">
        <f t="shared" si="107"/>
        <v>0</v>
      </c>
      <c r="I303" s="115">
        <f t="shared" si="108"/>
        <v>0</v>
      </c>
      <c r="J303" s="124">
        <f t="shared" si="116"/>
        <v>0</v>
      </c>
      <c r="K303" s="119">
        <f t="shared" si="109"/>
        <v>0</v>
      </c>
      <c r="L303" s="124">
        <f t="shared" si="117"/>
        <v>0</v>
      </c>
      <c r="M303" s="119">
        <f>IF(itc_sta_amount_deprbas_sta="Yes",L303,0)+IF(itc_sta_percent_deprbas_sta="Yes",J303,0)</f>
        <v>0</v>
      </c>
      <c r="N303" s="115">
        <f t="shared" si="111"/>
        <v>0</v>
      </c>
      <c r="O303" s="117">
        <f>F303-M303-N303</f>
        <v>0</v>
      </c>
      <c r="P303" s="115">
        <f>IF(depr_bonus_sta_sl_39="Yes",O303*depr_bonus_sta/100,0)</f>
        <v>0</v>
      </c>
      <c r="Q303" s="117">
        <f>O303-P303</f>
        <v>0</v>
      </c>
    </row>
    <row r="304" spans="1:17" x14ac:dyDescent="0.2">
      <c r="A304" s="21" t="s">
        <v>301</v>
      </c>
      <c r="B304" s="206">
        <f>IF(Inputs!$C$158=0,0,depr_alloc_custom_percent*100/Inputs!$C$158)</f>
        <v>0</v>
      </c>
      <c r="C304" s="116">
        <f>$B$292*depr_alloc_custom_percent/100</f>
        <v>0</v>
      </c>
      <c r="D304" s="119">
        <f t="shared" si="113"/>
        <v>0</v>
      </c>
      <c r="E304" s="115">
        <f t="shared" si="114"/>
        <v>0</v>
      </c>
      <c r="F304" s="124">
        <f>C304-D304-E304</f>
        <v>0</v>
      </c>
      <c r="G304" s="115">
        <f>IF(depr_itc_sta_custom="Yes",F304,0)</f>
        <v>0</v>
      </c>
      <c r="H304" s="126">
        <f t="shared" si="107"/>
        <v>0</v>
      </c>
      <c r="I304" s="115">
        <f t="shared" si="108"/>
        <v>0</v>
      </c>
      <c r="J304" s="124">
        <f t="shared" si="116"/>
        <v>0</v>
      </c>
      <c r="K304" s="119">
        <f t="shared" si="109"/>
        <v>0</v>
      </c>
      <c r="L304" s="115">
        <f t="shared" si="117"/>
        <v>0</v>
      </c>
      <c r="M304" s="119">
        <f>IF(itc_sta_amount_deprbas_sta="Yes",L304,0)+IF(itc_sta_percent_deprbas_sta="Yes",J304,0)</f>
        <v>0</v>
      </c>
      <c r="N304" s="124">
        <f>IF(itc_fed_amount_deprbas_sta="Yes",L442,0)+IF(itc_fed_percent_deprbas_sta="Yes",J442,0)</f>
        <v>0</v>
      </c>
      <c r="O304" s="120">
        <f>F304-M304-N304</f>
        <v>0</v>
      </c>
      <c r="P304" s="115">
        <f>IF(depr_bonus_sta_custom="Yes",O304*depr_bonus_sta/100,0)</f>
        <v>0</v>
      </c>
      <c r="Q304" s="120">
        <f>O304-P304</f>
        <v>0</v>
      </c>
    </row>
    <row r="305" spans="1:17" x14ac:dyDescent="0.2">
      <c r="A305" s="21" t="s">
        <v>13</v>
      </c>
      <c r="B305" s="206">
        <f t="shared" ref="B305:H305" si="119">SUM(B298:B304)</f>
        <v>0</v>
      </c>
      <c r="C305" s="133">
        <f t="shared" si="119"/>
        <v>0</v>
      </c>
      <c r="D305" s="131">
        <f t="shared" si="119"/>
        <v>0</v>
      </c>
      <c r="E305" s="133">
        <f t="shared" si="119"/>
        <v>0</v>
      </c>
      <c r="F305" s="134">
        <f t="shared" si="119"/>
        <v>0</v>
      </c>
      <c r="G305" s="133">
        <f t="shared" si="119"/>
        <v>0</v>
      </c>
      <c r="H305" s="127">
        <f t="shared" si="119"/>
        <v>0</v>
      </c>
      <c r="I305" s="133">
        <f>SUM(C577:AP577)</f>
        <v>0</v>
      </c>
      <c r="J305" s="133">
        <f>SUM(J298:J304)</f>
        <v>0</v>
      </c>
      <c r="K305" s="131">
        <f>SUM(C574:AP574)</f>
        <v>0</v>
      </c>
      <c r="L305" s="134">
        <f t="shared" ref="L305:Q305" si="120">SUM(L298:L304)</f>
        <v>0</v>
      </c>
      <c r="M305" s="131">
        <f t="shared" si="120"/>
        <v>0</v>
      </c>
      <c r="N305" s="134">
        <f t="shared" si="120"/>
        <v>0</v>
      </c>
      <c r="O305" s="120">
        <f t="shared" si="120"/>
        <v>0</v>
      </c>
      <c r="P305" s="174">
        <f t="shared" si="120"/>
        <v>0</v>
      </c>
      <c r="Q305" s="120">
        <f t="shared" si="120"/>
        <v>0</v>
      </c>
    </row>
    <row r="306" spans="1:17" x14ac:dyDescent="0.2">
      <c r="A306" s="21"/>
      <c r="B306" s="272"/>
      <c r="C306" s="115"/>
      <c r="D306" s="115"/>
      <c r="E306" s="115"/>
      <c r="F306" s="115"/>
      <c r="G306" s="115"/>
      <c r="H306" s="126"/>
      <c r="I306" s="115"/>
      <c r="J306" s="115"/>
      <c r="K306" s="115"/>
      <c r="L306" s="115"/>
      <c r="M306" s="115"/>
      <c r="N306" s="115"/>
      <c r="O306" s="115"/>
      <c r="P306" s="115"/>
      <c r="Q306" s="115"/>
    </row>
    <row r="307" spans="1:17" x14ac:dyDescent="0.2">
      <c r="A307" s="17" t="s">
        <v>473</v>
      </c>
      <c r="B307" s="335">
        <f>G305</f>
        <v>0</v>
      </c>
      <c r="C307" s="115"/>
      <c r="D307" s="115"/>
      <c r="E307" s="115"/>
      <c r="F307" s="115"/>
      <c r="G307" s="115"/>
      <c r="H307" s="126"/>
      <c r="I307" s="115"/>
      <c r="J307" s="115"/>
      <c r="K307" s="115"/>
      <c r="L307" s="115"/>
      <c r="M307" s="115"/>
      <c r="N307" s="115"/>
      <c r="O307" s="115"/>
      <c r="P307" s="115"/>
      <c r="Q307" s="115"/>
    </row>
    <row r="309" spans="1:17" x14ac:dyDescent="0.2">
      <c r="A309" s="4" t="s">
        <v>474</v>
      </c>
    </row>
    <row r="310" spans="1:17" x14ac:dyDescent="0.2">
      <c r="A310" s="84" t="str">
        <f t="shared" ref="A310:A315" si="121">A599</f>
        <v>Investment Based Incentive (IBI)</v>
      </c>
    </row>
    <row r="311" spans="1:17" x14ac:dyDescent="0.2">
      <c r="A311" s="21" t="str">
        <f t="shared" si="121"/>
        <v>As fixed amount</v>
      </c>
    </row>
    <row r="312" spans="1:17" x14ac:dyDescent="0.2">
      <c r="A312" s="85" t="str">
        <f t="shared" si="121"/>
        <v>Federal ($)</v>
      </c>
      <c r="B312" s="152">
        <f>IF(ibi_fed_amount_deprbas_sta="Yes",ibi_fed_amount,0)</f>
        <v>0</v>
      </c>
    </row>
    <row r="313" spans="1:17" x14ac:dyDescent="0.2">
      <c r="A313" s="85" t="str">
        <f t="shared" si="121"/>
        <v>State ($)</v>
      </c>
      <c r="B313" s="152">
        <f>IF(ibi_sta_amount_deprbas_sta="Yes",ibi_sta_amount,0)</f>
        <v>0</v>
      </c>
    </row>
    <row r="314" spans="1:17" x14ac:dyDescent="0.2">
      <c r="A314" s="85" t="str">
        <f t="shared" si="121"/>
        <v>Utility ($)</v>
      </c>
      <c r="B314" s="152">
        <f>IF(ibi_uti_amount_deprbas_sta="Yes",ibi_uti_amount,0)</f>
        <v>0</v>
      </c>
    </row>
    <row r="315" spans="1:17" x14ac:dyDescent="0.2">
      <c r="A315" s="85" t="str">
        <f t="shared" si="121"/>
        <v>Other ($)</v>
      </c>
      <c r="B315" s="153">
        <f>IF(ibi_oth_amount_deprbas_sta="Yes",ibi_oth_amount,0)</f>
        <v>0</v>
      </c>
    </row>
    <row r="316" spans="1:17" x14ac:dyDescent="0.2">
      <c r="A316" s="85" t="s">
        <v>475</v>
      </c>
      <c r="B316" s="152">
        <f>SUM(B312:B315)</f>
        <v>0</v>
      </c>
    </row>
    <row r="317" spans="1:17" x14ac:dyDescent="0.2">
      <c r="A317" s="21" t="str">
        <f>A606</f>
        <v>As percentage</v>
      </c>
    </row>
    <row r="318" spans="1:17" x14ac:dyDescent="0.2">
      <c r="A318" s="85" t="str">
        <f>A607</f>
        <v>Federal (% of total installed cost)</v>
      </c>
      <c r="B318" s="152">
        <f>IF(ibi_fed_percent_deprbas_sta="Yes",C607,0)</f>
        <v>0</v>
      </c>
    </row>
    <row r="319" spans="1:17" x14ac:dyDescent="0.2">
      <c r="A319" s="85" t="str">
        <f>A608</f>
        <v>State (% of total installed cost)</v>
      </c>
      <c r="B319" s="152">
        <f>IF(ibi_sta_percent_deprbas_sta="Yes",C608,0)</f>
        <v>0</v>
      </c>
    </row>
    <row r="320" spans="1:17" x14ac:dyDescent="0.2">
      <c r="A320" s="85" t="str">
        <f>A609</f>
        <v>Utility (% of total installed cost)</v>
      </c>
      <c r="B320" s="152">
        <f>IF(ibi_uti_percent_deprbas_sta="Yes",C609,0)</f>
        <v>0</v>
      </c>
    </row>
    <row r="321" spans="1:42" x14ac:dyDescent="0.2">
      <c r="A321" s="85" t="str">
        <f>A610</f>
        <v>Other (% of total installed cost)</v>
      </c>
      <c r="B321" s="153">
        <f>IF(ibi_oth_percent_deprbas_sta="Yes",C610,0)</f>
        <v>0</v>
      </c>
    </row>
    <row r="322" spans="1:42" x14ac:dyDescent="0.2">
      <c r="A322" s="85" t="s">
        <v>476</v>
      </c>
      <c r="B322" s="152">
        <f>SUM(B318:B321)</f>
        <v>0</v>
      </c>
    </row>
    <row r="323" spans="1:42" x14ac:dyDescent="0.2">
      <c r="A323" s="84" t="str">
        <f>A613</f>
        <v>Capacity Based Incentive (CBI)</v>
      </c>
    </row>
    <row r="324" spans="1:42" x14ac:dyDescent="0.2">
      <c r="A324" s="21" t="str">
        <f>A614</f>
        <v>Federal ($/W)</v>
      </c>
      <c r="B324" s="152">
        <f>IF(cbi_fed_deprbas_sta="Yes",C614,0)</f>
        <v>0</v>
      </c>
    </row>
    <row r="325" spans="1:42" x14ac:dyDescent="0.2">
      <c r="A325" s="21" t="str">
        <f>A615</f>
        <v>State ($/W)</v>
      </c>
      <c r="B325" s="152">
        <f>IF(cbi_sta_deprbas_sta="Yes",C615,0)</f>
        <v>0</v>
      </c>
    </row>
    <row r="326" spans="1:42" x14ac:dyDescent="0.2">
      <c r="A326" s="21" t="str">
        <f>A616</f>
        <v>Utility ($/W)</v>
      </c>
      <c r="B326" s="152">
        <f>IF(cbi_uti_deprbas_sta="Yes",C616,0)</f>
        <v>0</v>
      </c>
    </row>
    <row r="327" spans="1:42" x14ac:dyDescent="0.2">
      <c r="A327" s="21" t="str">
        <f>A617</f>
        <v>Other ($/W)</v>
      </c>
      <c r="B327" s="152">
        <f>IF(cbi_oth_deprbas_sta="Yes",C617,0)</f>
        <v>0</v>
      </c>
    </row>
    <row r="328" spans="1:42" x14ac:dyDescent="0.2">
      <c r="A328" s="21" t="s">
        <v>477</v>
      </c>
      <c r="B328" s="155">
        <f>SUM(B324:B327)</f>
        <v>0</v>
      </c>
    </row>
    <row r="330" spans="1:42" x14ac:dyDescent="0.2">
      <c r="A330" s="4" t="s">
        <v>68</v>
      </c>
    </row>
    <row r="331" spans="1:42" x14ac:dyDescent="0.2">
      <c r="A331" s="84" t="s">
        <v>478</v>
      </c>
    </row>
    <row r="332" spans="1:42" x14ac:dyDescent="0.2">
      <c r="A332" s="21" t="s">
        <v>52</v>
      </c>
    </row>
    <row r="333" spans="1:42" x14ac:dyDescent="0.2">
      <c r="A333" s="22" t="str">
        <f t="shared" ref="A333:A338" si="122">A298</f>
        <v>5-yr MACRS</v>
      </c>
      <c r="B333" s="160">
        <f t="array" ref="B333">SUM(IF(ISNUMBER(C333:AP333),C333:AP333))</f>
        <v>0</v>
      </c>
      <c r="C333" s="161" t="e">
        <f>LOOKUP(C$2,'Depreciation Schedules'!$A$3:$A$42,'Depreciation Schedules'!$B$3:$B$42)</f>
        <v>#N/A</v>
      </c>
      <c r="D333" s="161" t="e">
        <f>LOOKUP(D$2,'Depreciation Schedules'!$A$3:$A$42,'Depreciation Schedules'!$B$3:$B$42)</f>
        <v>#N/A</v>
      </c>
      <c r="E333" s="161" t="e">
        <f>LOOKUP(E$2,'Depreciation Schedules'!$A$3:$A$42,'Depreciation Schedules'!$B$3:$B$42)</f>
        <v>#N/A</v>
      </c>
      <c r="F333" s="161" t="e">
        <f>LOOKUP(F$2,'Depreciation Schedules'!$A$3:$A$42,'Depreciation Schedules'!$B$3:$B$42)</f>
        <v>#N/A</v>
      </c>
      <c r="G333" s="161" t="e">
        <f>LOOKUP(G$2,'Depreciation Schedules'!$A$3:$A$42,'Depreciation Schedules'!$B$3:$B$42)</f>
        <v>#N/A</v>
      </c>
      <c r="H333" s="161" t="e">
        <f>LOOKUP(H$2,'Depreciation Schedules'!$A$3:$A$42,'Depreciation Schedules'!$B$3:$B$42)</f>
        <v>#N/A</v>
      </c>
      <c r="I333" s="161" t="e">
        <f>LOOKUP(I$2,'Depreciation Schedules'!$A$3:$A$42,'Depreciation Schedules'!$B$3:$B$42)</f>
        <v>#N/A</v>
      </c>
      <c r="J333" s="161" t="e">
        <f>LOOKUP(J$2,'Depreciation Schedules'!$A$3:$A$42,'Depreciation Schedules'!$B$3:$B$42)</f>
        <v>#N/A</v>
      </c>
      <c r="K333" s="161" t="e">
        <f>LOOKUP(K$2,'Depreciation Schedules'!$A$3:$A$42,'Depreciation Schedules'!$B$3:$B$42)</f>
        <v>#N/A</v>
      </c>
      <c r="L333" s="161" t="e">
        <f>LOOKUP(L$2,'Depreciation Schedules'!$A$3:$A$42,'Depreciation Schedules'!$B$3:$B$42)</f>
        <v>#N/A</v>
      </c>
      <c r="M333" s="161" t="e">
        <f>LOOKUP(M$2,'Depreciation Schedules'!$A$3:$A$42,'Depreciation Schedules'!$B$3:$B$42)</f>
        <v>#N/A</v>
      </c>
      <c r="N333" s="161" t="e">
        <f>LOOKUP(N$2,'Depreciation Schedules'!$A$3:$A$42,'Depreciation Schedules'!$B$3:$B$42)</f>
        <v>#N/A</v>
      </c>
      <c r="O333" s="161" t="e">
        <f>LOOKUP(O$2,'Depreciation Schedules'!$A$3:$A$42,'Depreciation Schedules'!$B$3:$B$42)</f>
        <v>#N/A</v>
      </c>
      <c r="P333" s="161" t="e">
        <f>LOOKUP(P$2,'Depreciation Schedules'!$A$3:$A$42,'Depreciation Schedules'!$B$3:$B$42)</f>
        <v>#N/A</v>
      </c>
      <c r="Q333" s="161" t="e">
        <f>LOOKUP(Q$2,'Depreciation Schedules'!$A$3:$A$42,'Depreciation Schedules'!$B$3:$B$42)</f>
        <v>#N/A</v>
      </c>
      <c r="R333" s="161" t="e">
        <f>LOOKUP(R$2,'Depreciation Schedules'!$A$3:$A$42,'Depreciation Schedules'!$B$3:$B$42)</f>
        <v>#N/A</v>
      </c>
      <c r="S333" s="161" t="e">
        <f>LOOKUP(S$2,'Depreciation Schedules'!$A$3:$A$42,'Depreciation Schedules'!$B$3:$B$42)</f>
        <v>#N/A</v>
      </c>
      <c r="T333" s="161" t="e">
        <f>LOOKUP(T$2,'Depreciation Schedules'!$A$3:$A$42,'Depreciation Schedules'!$B$3:$B$42)</f>
        <v>#N/A</v>
      </c>
      <c r="U333" s="161" t="e">
        <f>LOOKUP(U$2,'Depreciation Schedules'!$A$3:$A$42,'Depreciation Schedules'!$B$3:$B$42)</f>
        <v>#N/A</v>
      </c>
      <c r="V333" s="161" t="e">
        <f>LOOKUP(V$2,'Depreciation Schedules'!$A$3:$A$42,'Depreciation Schedules'!$B$3:$B$42)</f>
        <v>#N/A</v>
      </c>
      <c r="W333" s="161" t="e">
        <f>LOOKUP(W$2,'Depreciation Schedules'!$A$3:$A$42,'Depreciation Schedules'!$B$3:$B$42)</f>
        <v>#N/A</v>
      </c>
      <c r="X333" s="161" t="e">
        <f>LOOKUP(X$2,'Depreciation Schedules'!$A$3:$A$42,'Depreciation Schedules'!$B$3:$B$42)</f>
        <v>#N/A</v>
      </c>
      <c r="Y333" s="161" t="e">
        <f>LOOKUP(Y$2,'Depreciation Schedules'!$A$3:$A$42,'Depreciation Schedules'!$B$3:$B$42)</f>
        <v>#N/A</v>
      </c>
      <c r="Z333" s="161" t="e">
        <f>LOOKUP(Z$2,'Depreciation Schedules'!$A$3:$A$42,'Depreciation Schedules'!$B$3:$B$42)</f>
        <v>#N/A</v>
      </c>
      <c r="AA333" s="161" t="e">
        <f>LOOKUP(AA$2,'Depreciation Schedules'!$A$3:$A$42,'Depreciation Schedules'!$B$3:$B$42)</f>
        <v>#N/A</v>
      </c>
      <c r="AB333" s="161" t="e">
        <f>LOOKUP(AB$2,'Depreciation Schedules'!$A$3:$A$42,'Depreciation Schedules'!$B$3:$B$42)</f>
        <v>#N/A</v>
      </c>
      <c r="AC333" s="161" t="e">
        <f>LOOKUP(AC$2,'Depreciation Schedules'!$A$3:$A$42,'Depreciation Schedules'!$B$3:$B$42)</f>
        <v>#N/A</v>
      </c>
      <c r="AD333" s="161" t="e">
        <f>LOOKUP(AD$2,'Depreciation Schedules'!$A$3:$A$42,'Depreciation Schedules'!$B$3:$B$42)</f>
        <v>#N/A</v>
      </c>
      <c r="AE333" s="161" t="e">
        <f>LOOKUP(AE$2,'Depreciation Schedules'!$A$3:$A$42,'Depreciation Schedules'!$B$3:$B$42)</f>
        <v>#N/A</v>
      </c>
      <c r="AF333" s="161" t="e">
        <f>LOOKUP(AF$2,'Depreciation Schedules'!$A$3:$A$42,'Depreciation Schedules'!$B$3:$B$42)</f>
        <v>#N/A</v>
      </c>
      <c r="AG333" s="161" t="e">
        <f>LOOKUP(AG$2,'Depreciation Schedules'!$A$3:$A$42,'Depreciation Schedules'!$B$3:$B$42)</f>
        <v>#N/A</v>
      </c>
      <c r="AH333" s="161" t="e">
        <f>LOOKUP(AH$2,'Depreciation Schedules'!$A$3:$A$42,'Depreciation Schedules'!$B$3:$B$42)</f>
        <v>#N/A</v>
      </c>
      <c r="AI333" s="161" t="e">
        <f>LOOKUP(AI$2,'Depreciation Schedules'!$A$3:$A$42,'Depreciation Schedules'!$B$3:$B$42)</f>
        <v>#N/A</v>
      </c>
      <c r="AJ333" s="161" t="e">
        <f>LOOKUP(AJ$2,'Depreciation Schedules'!$A$3:$A$42,'Depreciation Schedules'!$B$3:$B$42)</f>
        <v>#N/A</v>
      </c>
      <c r="AK333" s="161" t="e">
        <f>LOOKUP(AK$2,'Depreciation Schedules'!$A$3:$A$42,'Depreciation Schedules'!$B$3:$B$42)</f>
        <v>#N/A</v>
      </c>
      <c r="AL333" s="161" t="e">
        <f>LOOKUP(AL$2,'Depreciation Schedules'!$A$3:$A$42,'Depreciation Schedules'!$B$3:$B$42)</f>
        <v>#N/A</v>
      </c>
      <c r="AM333" s="161" t="e">
        <f>LOOKUP(AM$2,'Depreciation Schedules'!$A$3:$A$42,'Depreciation Schedules'!$B$3:$B$42)</f>
        <v>#N/A</v>
      </c>
      <c r="AN333" s="161" t="e">
        <f>LOOKUP(AN$2,'Depreciation Schedules'!$A$3:$A$42,'Depreciation Schedules'!$B$3:$B$42)</f>
        <v>#N/A</v>
      </c>
      <c r="AO333" s="161" t="e">
        <f>LOOKUP(AO$2,'Depreciation Schedules'!$A$3:$A$42,'Depreciation Schedules'!$B$3:$B$42)</f>
        <v>#N/A</v>
      </c>
      <c r="AP333" s="161" t="e">
        <f>LOOKUP(AP$2,'Depreciation Schedules'!$A$3:$A$42,'Depreciation Schedules'!$B$3:$B$42)</f>
        <v>#N/A</v>
      </c>
    </row>
    <row r="334" spans="1:42" x14ac:dyDescent="0.2">
      <c r="A334" s="22" t="str">
        <f t="shared" si="122"/>
        <v>15-yr MACRS</v>
      </c>
      <c r="B334" s="160">
        <f t="array" ref="B334">SUM(IF(ISNUMBER(C334:AP334),C334:AP334))</f>
        <v>0</v>
      </c>
      <c r="C334" s="161" t="e">
        <f>LOOKUP(C$2,'Depreciation Schedules'!$A$3:$A$42,'Depreciation Schedules'!$C$3:$C$42)</f>
        <v>#N/A</v>
      </c>
      <c r="D334" s="161" t="e">
        <f>LOOKUP(D$2,'Depreciation Schedules'!$A$3:$A$42,'Depreciation Schedules'!$C$3:$C$42)</f>
        <v>#N/A</v>
      </c>
      <c r="E334" s="161" t="e">
        <f>LOOKUP(E$2,'Depreciation Schedules'!$A$3:$A$42,'Depreciation Schedules'!$C$3:$C$42)</f>
        <v>#N/A</v>
      </c>
      <c r="F334" s="161" t="e">
        <f>LOOKUP(F$2,'Depreciation Schedules'!$A$3:$A$42,'Depreciation Schedules'!$C$3:$C$42)</f>
        <v>#N/A</v>
      </c>
      <c r="G334" s="161" t="e">
        <f>LOOKUP(G$2,'Depreciation Schedules'!$A$3:$A$42,'Depreciation Schedules'!$C$3:$C$42)</f>
        <v>#N/A</v>
      </c>
      <c r="H334" s="161" t="e">
        <f>LOOKUP(H$2,'Depreciation Schedules'!$A$3:$A$42,'Depreciation Schedules'!$C$3:$C$42)</f>
        <v>#N/A</v>
      </c>
      <c r="I334" s="161" t="e">
        <f>LOOKUP(I$2,'Depreciation Schedules'!$A$3:$A$42,'Depreciation Schedules'!$C$3:$C$42)</f>
        <v>#N/A</v>
      </c>
      <c r="J334" s="161" t="e">
        <f>LOOKUP(J$2,'Depreciation Schedules'!$A$3:$A$42,'Depreciation Schedules'!$C$3:$C$42)</f>
        <v>#N/A</v>
      </c>
      <c r="K334" s="161" t="e">
        <f>LOOKUP(K$2,'Depreciation Schedules'!$A$3:$A$42,'Depreciation Schedules'!$C$3:$C$42)</f>
        <v>#N/A</v>
      </c>
      <c r="L334" s="161" t="e">
        <f>LOOKUP(L$2,'Depreciation Schedules'!$A$3:$A$42,'Depreciation Schedules'!$C$3:$C$42)</f>
        <v>#N/A</v>
      </c>
      <c r="M334" s="161" t="e">
        <f>LOOKUP(M$2,'Depreciation Schedules'!$A$3:$A$42,'Depreciation Schedules'!$C$3:$C$42)</f>
        <v>#N/A</v>
      </c>
      <c r="N334" s="161" t="e">
        <f>LOOKUP(N$2,'Depreciation Schedules'!$A$3:$A$42,'Depreciation Schedules'!$C$3:$C$42)</f>
        <v>#N/A</v>
      </c>
      <c r="O334" s="161" t="e">
        <f>LOOKUP(O$2,'Depreciation Schedules'!$A$3:$A$42,'Depreciation Schedules'!$C$3:$C$42)</f>
        <v>#N/A</v>
      </c>
      <c r="P334" s="161" t="e">
        <f>LOOKUP(P$2,'Depreciation Schedules'!$A$3:$A$42,'Depreciation Schedules'!$C$3:$C$42)</f>
        <v>#N/A</v>
      </c>
      <c r="Q334" s="161" t="e">
        <f>LOOKUP(Q$2,'Depreciation Schedules'!$A$3:$A$42,'Depreciation Schedules'!$C$3:$C$42)</f>
        <v>#N/A</v>
      </c>
      <c r="R334" s="161" t="e">
        <f>LOOKUP(R$2,'Depreciation Schedules'!$A$3:$A$42,'Depreciation Schedules'!$C$3:$C$42)</f>
        <v>#N/A</v>
      </c>
      <c r="S334" s="161" t="e">
        <f>LOOKUP(S$2,'Depreciation Schedules'!$A$3:$A$42,'Depreciation Schedules'!$C$3:$C$42)</f>
        <v>#N/A</v>
      </c>
      <c r="T334" s="161" t="e">
        <f>LOOKUP(T$2,'Depreciation Schedules'!$A$3:$A$42,'Depreciation Schedules'!$C$3:$C$42)</f>
        <v>#N/A</v>
      </c>
      <c r="U334" s="161" t="e">
        <f>LOOKUP(U$2,'Depreciation Schedules'!$A$3:$A$42,'Depreciation Schedules'!$C$3:$C$42)</f>
        <v>#N/A</v>
      </c>
      <c r="V334" s="161" t="e">
        <f>LOOKUP(V$2,'Depreciation Schedules'!$A$3:$A$42,'Depreciation Schedules'!$C$3:$C$42)</f>
        <v>#N/A</v>
      </c>
      <c r="W334" s="161" t="e">
        <f>LOOKUP(W$2,'Depreciation Schedules'!$A$3:$A$42,'Depreciation Schedules'!$C$3:$C$42)</f>
        <v>#N/A</v>
      </c>
      <c r="X334" s="161" t="e">
        <f>LOOKUP(X$2,'Depreciation Schedules'!$A$3:$A$42,'Depreciation Schedules'!$C$3:$C$42)</f>
        <v>#N/A</v>
      </c>
      <c r="Y334" s="161" t="e">
        <f>LOOKUP(Y$2,'Depreciation Schedules'!$A$3:$A$42,'Depreciation Schedules'!$C$3:$C$42)</f>
        <v>#N/A</v>
      </c>
      <c r="Z334" s="161" t="e">
        <f>LOOKUP(Z$2,'Depreciation Schedules'!$A$3:$A$42,'Depreciation Schedules'!$C$3:$C$42)</f>
        <v>#N/A</v>
      </c>
      <c r="AA334" s="161" t="e">
        <f>LOOKUP(AA$2,'Depreciation Schedules'!$A$3:$A$42,'Depreciation Schedules'!$C$3:$C$42)</f>
        <v>#N/A</v>
      </c>
      <c r="AB334" s="161" t="e">
        <f>LOOKUP(AB$2,'Depreciation Schedules'!$A$3:$A$42,'Depreciation Schedules'!$C$3:$C$42)</f>
        <v>#N/A</v>
      </c>
      <c r="AC334" s="161" t="e">
        <f>LOOKUP(AC$2,'Depreciation Schedules'!$A$3:$A$42,'Depreciation Schedules'!$C$3:$C$42)</f>
        <v>#N/A</v>
      </c>
      <c r="AD334" s="161" t="e">
        <f>LOOKUP(AD$2,'Depreciation Schedules'!$A$3:$A$42,'Depreciation Schedules'!$C$3:$C$42)</f>
        <v>#N/A</v>
      </c>
      <c r="AE334" s="161" t="e">
        <f>LOOKUP(AE$2,'Depreciation Schedules'!$A$3:$A$42,'Depreciation Schedules'!$C$3:$C$42)</f>
        <v>#N/A</v>
      </c>
      <c r="AF334" s="161" t="e">
        <f>LOOKUP(AF$2,'Depreciation Schedules'!$A$3:$A$42,'Depreciation Schedules'!$C$3:$C$42)</f>
        <v>#N/A</v>
      </c>
      <c r="AG334" s="161" t="e">
        <f>LOOKUP(AG$2,'Depreciation Schedules'!$A$3:$A$42,'Depreciation Schedules'!$C$3:$C$42)</f>
        <v>#N/A</v>
      </c>
      <c r="AH334" s="161" t="e">
        <f>LOOKUP(AH$2,'Depreciation Schedules'!$A$3:$A$42,'Depreciation Schedules'!$C$3:$C$42)</f>
        <v>#N/A</v>
      </c>
      <c r="AI334" s="161" t="e">
        <f>LOOKUP(AI$2,'Depreciation Schedules'!$A$3:$A$42,'Depreciation Schedules'!$C$3:$C$42)</f>
        <v>#N/A</v>
      </c>
      <c r="AJ334" s="161" t="e">
        <f>LOOKUP(AJ$2,'Depreciation Schedules'!$A$3:$A$42,'Depreciation Schedules'!$C$3:$C$42)</f>
        <v>#N/A</v>
      </c>
      <c r="AK334" s="161" t="e">
        <f>LOOKUP(AK$2,'Depreciation Schedules'!$A$3:$A$42,'Depreciation Schedules'!$C$3:$C$42)</f>
        <v>#N/A</v>
      </c>
      <c r="AL334" s="161" t="e">
        <f>LOOKUP(AL$2,'Depreciation Schedules'!$A$3:$A$42,'Depreciation Schedules'!$C$3:$C$42)</f>
        <v>#N/A</v>
      </c>
      <c r="AM334" s="161" t="e">
        <f>LOOKUP(AM$2,'Depreciation Schedules'!$A$3:$A$42,'Depreciation Schedules'!$C$3:$C$42)</f>
        <v>#N/A</v>
      </c>
      <c r="AN334" s="161" t="e">
        <f>LOOKUP(AN$2,'Depreciation Schedules'!$A$3:$A$42,'Depreciation Schedules'!$C$3:$C$42)</f>
        <v>#N/A</v>
      </c>
      <c r="AO334" s="161" t="e">
        <f>LOOKUP(AO$2,'Depreciation Schedules'!$A$3:$A$42,'Depreciation Schedules'!$C$3:$C$42)</f>
        <v>#N/A</v>
      </c>
      <c r="AP334" s="161" t="e">
        <f>LOOKUP(AP$2,'Depreciation Schedules'!$A$3:$A$42,'Depreciation Schedules'!$C$3:$C$42)</f>
        <v>#N/A</v>
      </c>
    </row>
    <row r="335" spans="1:42" x14ac:dyDescent="0.2">
      <c r="A335" s="22" t="str">
        <f t="shared" si="122"/>
        <v>5-yr SL</v>
      </c>
      <c r="B335" s="160">
        <f t="array" ref="B335">SUM(IF(ISNUMBER(C335:AP335),C335:AP335))</f>
        <v>0</v>
      </c>
      <c r="C335" s="161" t="e">
        <f>LOOKUP(C$2,'Depreciation Schedules'!$A$3:$A$42,'Depreciation Schedules'!$D$3:$D$42)</f>
        <v>#N/A</v>
      </c>
      <c r="D335" s="161" t="e">
        <f>LOOKUP(D$2,'Depreciation Schedules'!$A$3:$A$42,'Depreciation Schedules'!$D$3:$D$42)</f>
        <v>#N/A</v>
      </c>
      <c r="E335" s="161" t="e">
        <f>LOOKUP(E$2,'Depreciation Schedules'!$A$3:$A$42,'Depreciation Schedules'!$D$3:$D$42)</f>
        <v>#N/A</v>
      </c>
      <c r="F335" s="161" t="e">
        <f>LOOKUP(F$2,'Depreciation Schedules'!$A$3:$A$42,'Depreciation Schedules'!$D$3:$D$42)</f>
        <v>#N/A</v>
      </c>
      <c r="G335" s="161" t="e">
        <f>LOOKUP(G$2,'Depreciation Schedules'!$A$3:$A$42,'Depreciation Schedules'!$D$3:$D$42)</f>
        <v>#N/A</v>
      </c>
      <c r="H335" s="161" t="e">
        <f>LOOKUP(H$2,'Depreciation Schedules'!$A$3:$A$42,'Depreciation Schedules'!$D$3:$D$42)</f>
        <v>#N/A</v>
      </c>
      <c r="I335" s="161" t="e">
        <f>LOOKUP(I$2,'Depreciation Schedules'!$A$3:$A$42,'Depreciation Schedules'!$D$3:$D$42)</f>
        <v>#N/A</v>
      </c>
      <c r="J335" s="161" t="e">
        <f>LOOKUP(J$2,'Depreciation Schedules'!$A$3:$A$42,'Depreciation Schedules'!$D$3:$D$42)</f>
        <v>#N/A</v>
      </c>
      <c r="K335" s="161" t="e">
        <f>LOOKUP(K$2,'Depreciation Schedules'!$A$3:$A$42,'Depreciation Schedules'!$D$3:$D$42)</f>
        <v>#N/A</v>
      </c>
      <c r="L335" s="161" t="e">
        <f>LOOKUP(L$2,'Depreciation Schedules'!$A$3:$A$42,'Depreciation Schedules'!$D$3:$D$42)</f>
        <v>#N/A</v>
      </c>
      <c r="M335" s="161" t="e">
        <f>LOOKUP(M$2,'Depreciation Schedules'!$A$3:$A$42,'Depreciation Schedules'!$D$3:$D$42)</f>
        <v>#N/A</v>
      </c>
      <c r="N335" s="161" t="e">
        <f>LOOKUP(N$2,'Depreciation Schedules'!$A$3:$A$42,'Depreciation Schedules'!$D$3:$D$42)</f>
        <v>#N/A</v>
      </c>
      <c r="O335" s="161" t="e">
        <f>LOOKUP(O$2,'Depreciation Schedules'!$A$3:$A$42,'Depreciation Schedules'!$D$3:$D$42)</f>
        <v>#N/A</v>
      </c>
      <c r="P335" s="161" t="e">
        <f>LOOKUP(P$2,'Depreciation Schedules'!$A$3:$A$42,'Depreciation Schedules'!$D$3:$D$42)</f>
        <v>#N/A</v>
      </c>
      <c r="Q335" s="161" t="e">
        <f>LOOKUP(Q$2,'Depreciation Schedules'!$A$3:$A$42,'Depreciation Schedules'!$D$3:$D$42)</f>
        <v>#N/A</v>
      </c>
      <c r="R335" s="161" t="e">
        <f>LOOKUP(R$2,'Depreciation Schedules'!$A$3:$A$42,'Depreciation Schedules'!$D$3:$D$42)</f>
        <v>#N/A</v>
      </c>
      <c r="S335" s="161" t="e">
        <f>LOOKUP(S$2,'Depreciation Schedules'!$A$3:$A$42,'Depreciation Schedules'!$D$3:$D$42)</f>
        <v>#N/A</v>
      </c>
      <c r="T335" s="161" t="e">
        <f>LOOKUP(T$2,'Depreciation Schedules'!$A$3:$A$42,'Depreciation Schedules'!$D$3:$D$42)</f>
        <v>#N/A</v>
      </c>
      <c r="U335" s="161" t="e">
        <f>LOOKUP(U$2,'Depreciation Schedules'!$A$3:$A$42,'Depreciation Schedules'!$D$3:$D$42)</f>
        <v>#N/A</v>
      </c>
      <c r="V335" s="161" t="e">
        <f>LOOKUP(V$2,'Depreciation Schedules'!$A$3:$A$42,'Depreciation Schedules'!$D$3:$D$42)</f>
        <v>#N/A</v>
      </c>
      <c r="W335" s="161" t="e">
        <f>LOOKUP(W$2,'Depreciation Schedules'!$A$3:$A$42,'Depreciation Schedules'!$D$3:$D$42)</f>
        <v>#N/A</v>
      </c>
      <c r="X335" s="161" t="e">
        <f>LOOKUP(X$2,'Depreciation Schedules'!$A$3:$A$42,'Depreciation Schedules'!$D$3:$D$42)</f>
        <v>#N/A</v>
      </c>
      <c r="Y335" s="161" t="e">
        <f>LOOKUP(Y$2,'Depreciation Schedules'!$A$3:$A$42,'Depreciation Schedules'!$D$3:$D$42)</f>
        <v>#N/A</v>
      </c>
      <c r="Z335" s="161" t="e">
        <f>LOOKUP(Z$2,'Depreciation Schedules'!$A$3:$A$42,'Depreciation Schedules'!$D$3:$D$42)</f>
        <v>#N/A</v>
      </c>
      <c r="AA335" s="161" t="e">
        <f>LOOKUP(AA$2,'Depreciation Schedules'!$A$3:$A$42,'Depreciation Schedules'!$D$3:$D$42)</f>
        <v>#N/A</v>
      </c>
      <c r="AB335" s="161" t="e">
        <f>LOOKUP(AB$2,'Depreciation Schedules'!$A$3:$A$42,'Depreciation Schedules'!$D$3:$D$42)</f>
        <v>#N/A</v>
      </c>
      <c r="AC335" s="161" t="e">
        <f>LOOKUP(AC$2,'Depreciation Schedules'!$A$3:$A$42,'Depreciation Schedules'!$D$3:$D$42)</f>
        <v>#N/A</v>
      </c>
      <c r="AD335" s="161" t="e">
        <f>LOOKUP(AD$2,'Depreciation Schedules'!$A$3:$A$42,'Depreciation Schedules'!$D$3:$D$42)</f>
        <v>#N/A</v>
      </c>
      <c r="AE335" s="161" t="e">
        <f>LOOKUP(AE$2,'Depreciation Schedules'!$A$3:$A$42,'Depreciation Schedules'!$D$3:$D$42)</f>
        <v>#N/A</v>
      </c>
      <c r="AF335" s="161" t="e">
        <f>LOOKUP(AF$2,'Depreciation Schedules'!$A$3:$A$42,'Depreciation Schedules'!$D$3:$D$42)</f>
        <v>#N/A</v>
      </c>
      <c r="AG335" s="161" t="e">
        <f>LOOKUP(AG$2,'Depreciation Schedules'!$A$3:$A$42,'Depreciation Schedules'!$D$3:$D$42)</f>
        <v>#N/A</v>
      </c>
      <c r="AH335" s="161" t="e">
        <f>LOOKUP(AH$2,'Depreciation Schedules'!$A$3:$A$42,'Depreciation Schedules'!$D$3:$D$42)</f>
        <v>#N/A</v>
      </c>
      <c r="AI335" s="161" t="e">
        <f>LOOKUP(AI$2,'Depreciation Schedules'!$A$3:$A$42,'Depreciation Schedules'!$D$3:$D$42)</f>
        <v>#N/A</v>
      </c>
      <c r="AJ335" s="161" t="e">
        <f>LOOKUP(AJ$2,'Depreciation Schedules'!$A$3:$A$42,'Depreciation Schedules'!$D$3:$D$42)</f>
        <v>#N/A</v>
      </c>
      <c r="AK335" s="161" t="e">
        <f>LOOKUP(AK$2,'Depreciation Schedules'!$A$3:$A$42,'Depreciation Schedules'!$D$3:$D$42)</f>
        <v>#N/A</v>
      </c>
      <c r="AL335" s="161" t="e">
        <f>LOOKUP(AL$2,'Depreciation Schedules'!$A$3:$A$42,'Depreciation Schedules'!$D$3:$D$42)</f>
        <v>#N/A</v>
      </c>
      <c r="AM335" s="161" t="e">
        <f>LOOKUP(AM$2,'Depreciation Schedules'!$A$3:$A$42,'Depreciation Schedules'!$D$3:$D$42)</f>
        <v>#N/A</v>
      </c>
      <c r="AN335" s="161" t="e">
        <f>LOOKUP(AN$2,'Depreciation Schedules'!$A$3:$A$42,'Depreciation Schedules'!$D$3:$D$42)</f>
        <v>#N/A</v>
      </c>
      <c r="AO335" s="161" t="e">
        <f>LOOKUP(AO$2,'Depreciation Schedules'!$A$3:$A$42,'Depreciation Schedules'!$D$3:$D$42)</f>
        <v>#N/A</v>
      </c>
      <c r="AP335" s="161" t="e">
        <f>LOOKUP(AP$2,'Depreciation Schedules'!$A$3:$A$42,'Depreciation Schedules'!$D$3:$D$42)</f>
        <v>#N/A</v>
      </c>
    </row>
    <row r="336" spans="1:42" x14ac:dyDescent="0.2">
      <c r="A336" s="22" t="str">
        <f t="shared" si="122"/>
        <v>15-yr SL</v>
      </c>
      <c r="B336" s="160">
        <f t="array" ref="B336">SUM(IF(ISNUMBER(C336:AP336),C336:AP336))</f>
        <v>0</v>
      </c>
      <c r="C336" s="161" t="e">
        <f>LOOKUP(C$2,'Depreciation Schedules'!$A$3:$A$42,'Depreciation Schedules'!$E$3:$E$42)</f>
        <v>#N/A</v>
      </c>
      <c r="D336" s="161" t="e">
        <f>LOOKUP(D$2,'Depreciation Schedules'!$A$3:$A$42,'Depreciation Schedules'!$E$3:$E$42)</f>
        <v>#N/A</v>
      </c>
      <c r="E336" s="161" t="e">
        <f>LOOKUP(E$2,'Depreciation Schedules'!$A$3:$A$42,'Depreciation Schedules'!$E$3:$E$42)</f>
        <v>#N/A</v>
      </c>
      <c r="F336" s="161" t="e">
        <f>LOOKUP(F$2,'Depreciation Schedules'!$A$3:$A$42,'Depreciation Schedules'!$E$3:$E$42)</f>
        <v>#N/A</v>
      </c>
      <c r="G336" s="161" t="e">
        <f>LOOKUP(G$2,'Depreciation Schedules'!$A$3:$A$42,'Depreciation Schedules'!$E$3:$E$42)</f>
        <v>#N/A</v>
      </c>
      <c r="H336" s="161" t="e">
        <f>LOOKUP(H$2,'Depreciation Schedules'!$A$3:$A$42,'Depreciation Schedules'!$E$3:$E$42)</f>
        <v>#N/A</v>
      </c>
      <c r="I336" s="161" t="e">
        <f>LOOKUP(I$2,'Depreciation Schedules'!$A$3:$A$42,'Depreciation Schedules'!$E$3:$E$42)</f>
        <v>#N/A</v>
      </c>
      <c r="J336" s="161" t="e">
        <f>LOOKUP(J$2,'Depreciation Schedules'!$A$3:$A$42,'Depreciation Schedules'!$E$3:$E$42)</f>
        <v>#N/A</v>
      </c>
      <c r="K336" s="161" t="e">
        <f>LOOKUP(K$2,'Depreciation Schedules'!$A$3:$A$42,'Depreciation Schedules'!$E$3:$E$42)</f>
        <v>#N/A</v>
      </c>
      <c r="L336" s="161" t="e">
        <f>LOOKUP(L$2,'Depreciation Schedules'!$A$3:$A$42,'Depreciation Schedules'!$E$3:$E$42)</f>
        <v>#N/A</v>
      </c>
      <c r="M336" s="161" t="e">
        <f>LOOKUP(M$2,'Depreciation Schedules'!$A$3:$A$42,'Depreciation Schedules'!$E$3:$E$42)</f>
        <v>#N/A</v>
      </c>
      <c r="N336" s="161" t="e">
        <f>LOOKUP(N$2,'Depreciation Schedules'!$A$3:$A$42,'Depreciation Schedules'!$E$3:$E$42)</f>
        <v>#N/A</v>
      </c>
      <c r="O336" s="161" t="e">
        <f>LOOKUP(O$2,'Depreciation Schedules'!$A$3:$A$42,'Depreciation Schedules'!$E$3:$E$42)</f>
        <v>#N/A</v>
      </c>
      <c r="P336" s="161" t="e">
        <f>LOOKUP(P$2,'Depreciation Schedules'!$A$3:$A$42,'Depreciation Schedules'!$E$3:$E$42)</f>
        <v>#N/A</v>
      </c>
      <c r="Q336" s="161" t="e">
        <f>LOOKUP(Q$2,'Depreciation Schedules'!$A$3:$A$42,'Depreciation Schedules'!$E$3:$E$42)</f>
        <v>#N/A</v>
      </c>
      <c r="R336" s="161" t="e">
        <f>LOOKUP(R$2,'Depreciation Schedules'!$A$3:$A$42,'Depreciation Schedules'!$E$3:$E$42)</f>
        <v>#N/A</v>
      </c>
      <c r="S336" s="161" t="e">
        <f>LOOKUP(S$2,'Depreciation Schedules'!$A$3:$A$42,'Depreciation Schedules'!$E$3:$E$42)</f>
        <v>#N/A</v>
      </c>
      <c r="T336" s="161" t="e">
        <f>LOOKUP(T$2,'Depreciation Schedules'!$A$3:$A$42,'Depreciation Schedules'!$E$3:$E$42)</f>
        <v>#N/A</v>
      </c>
      <c r="U336" s="161" t="e">
        <f>LOOKUP(U$2,'Depreciation Schedules'!$A$3:$A$42,'Depreciation Schedules'!$E$3:$E$42)</f>
        <v>#N/A</v>
      </c>
      <c r="V336" s="161" t="e">
        <f>LOOKUP(V$2,'Depreciation Schedules'!$A$3:$A$42,'Depreciation Schedules'!$E$3:$E$42)</f>
        <v>#N/A</v>
      </c>
      <c r="W336" s="161" t="e">
        <f>LOOKUP(W$2,'Depreciation Schedules'!$A$3:$A$42,'Depreciation Schedules'!$E$3:$E$42)</f>
        <v>#N/A</v>
      </c>
      <c r="X336" s="161" t="e">
        <f>LOOKUP(X$2,'Depreciation Schedules'!$A$3:$A$42,'Depreciation Schedules'!$E$3:$E$42)</f>
        <v>#N/A</v>
      </c>
      <c r="Y336" s="161" t="e">
        <f>LOOKUP(Y$2,'Depreciation Schedules'!$A$3:$A$42,'Depreciation Schedules'!$E$3:$E$42)</f>
        <v>#N/A</v>
      </c>
      <c r="Z336" s="161" t="e">
        <f>LOOKUP(Z$2,'Depreciation Schedules'!$A$3:$A$42,'Depreciation Schedules'!$E$3:$E$42)</f>
        <v>#N/A</v>
      </c>
      <c r="AA336" s="161" t="e">
        <f>LOOKUP(AA$2,'Depreciation Schedules'!$A$3:$A$42,'Depreciation Schedules'!$E$3:$E$42)</f>
        <v>#N/A</v>
      </c>
      <c r="AB336" s="161" t="e">
        <f>LOOKUP(AB$2,'Depreciation Schedules'!$A$3:$A$42,'Depreciation Schedules'!$E$3:$E$42)</f>
        <v>#N/A</v>
      </c>
      <c r="AC336" s="161" t="e">
        <f>LOOKUP(AC$2,'Depreciation Schedules'!$A$3:$A$42,'Depreciation Schedules'!$E$3:$E$42)</f>
        <v>#N/A</v>
      </c>
      <c r="AD336" s="161" t="e">
        <f>LOOKUP(AD$2,'Depreciation Schedules'!$A$3:$A$42,'Depreciation Schedules'!$E$3:$E$42)</f>
        <v>#N/A</v>
      </c>
      <c r="AE336" s="161" t="e">
        <f>LOOKUP(AE$2,'Depreciation Schedules'!$A$3:$A$42,'Depreciation Schedules'!$E$3:$E$42)</f>
        <v>#N/A</v>
      </c>
      <c r="AF336" s="161" t="e">
        <f>LOOKUP(AF$2,'Depreciation Schedules'!$A$3:$A$42,'Depreciation Schedules'!$E$3:$E$42)</f>
        <v>#N/A</v>
      </c>
      <c r="AG336" s="161" t="e">
        <f>LOOKUP(AG$2,'Depreciation Schedules'!$A$3:$A$42,'Depreciation Schedules'!$E$3:$E$42)</f>
        <v>#N/A</v>
      </c>
      <c r="AH336" s="161" t="e">
        <f>LOOKUP(AH$2,'Depreciation Schedules'!$A$3:$A$42,'Depreciation Schedules'!$E$3:$E$42)</f>
        <v>#N/A</v>
      </c>
      <c r="AI336" s="161" t="e">
        <f>LOOKUP(AI$2,'Depreciation Schedules'!$A$3:$A$42,'Depreciation Schedules'!$E$3:$E$42)</f>
        <v>#N/A</v>
      </c>
      <c r="AJ336" s="161" t="e">
        <f>LOOKUP(AJ$2,'Depreciation Schedules'!$A$3:$A$42,'Depreciation Schedules'!$E$3:$E$42)</f>
        <v>#N/A</v>
      </c>
      <c r="AK336" s="161" t="e">
        <f>LOOKUP(AK$2,'Depreciation Schedules'!$A$3:$A$42,'Depreciation Schedules'!$E$3:$E$42)</f>
        <v>#N/A</v>
      </c>
      <c r="AL336" s="161" t="e">
        <f>LOOKUP(AL$2,'Depreciation Schedules'!$A$3:$A$42,'Depreciation Schedules'!$E$3:$E$42)</f>
        <v>#N/A</v>
      </c>
      <c r="AM336" s="161" t="e">
        <f>LOOKUP(AM$2,'Depreciation Schedules'!$A$3:$A$42,'Depreciation Schedules'!$E$3:$E$42)</f>
        <v>#N/A</v>
      </c>
      <c r="AN336" s="161" t="e">
        <f>LOOKUP(AN$2,'Depreciation Schedules'!$A$3:$A$42,'Depreciation Schedules'!$E$3:$E$42)</f>
        <v>#N/A</v>
      </c>
      <c r="AO336" s="161" t="e">
        <f>LOOKUP(AO$2,'Depreciation Schedules'!$A$3:$A$42,'Depreciation Schedules'!$E$3:$E$42)</f>
        <v>#N/A</v>
      </c>
      <c r="AP336" s="161" t="e">
        <f>LOOKUP(AP$2,'Depreciation Schedules'!$A$3:$A$42,'Depreciation Schedules'!$E$3:$E$42)</f>
        <v>#N/A</v>
      </c>
    </row>
    <row r="337" spans="1:42" x14ac:dyDescent="0.2">
      <c r="A337" s="22" t="str">
        <f t="shared" si="122"/>
        <v>20-yr SL</v>
      </c>
      <c r="B337" s="160">
        <f t="array" ref="B337">SUM(IF(ISNUMBER(C337:AP337),C337:AP337))</f>
        <v>0</v>
      </c>
      <c r="C337" s="161" t="e">
        <f>LOOKUP(C$2,'Depreciation Schedules'!$A$3:$A$42,'Depreciation Schedules'!$F$3:$F$42)</f>
        <v>#N/A</v>
      </c>
      <c r="D337" s="161" t="e">
        <f>LOOKUP(D$2,'Depreciation Schedules'!$A$3:$A$42,'Depreciation Schedules'!$F$3:$F$42)</f>
        <v>#N/A</v>
      </c>
      <c r="E337" s="161" t="e">
        <f>LOOKUP(E$2,'Depreciation Schedules'!$A$3:$A$42,'Depreciation Schedules'!$F$3:$F$42)</f>
        <v>#N/A</v>
      </c>
      <c r="F337" s="161" t="e">
        <f>LOOKUP(F$2,'Depreciation Schedules'!$A$3:$A$42,'Depreciation Schedules'!$F$3:$F$42)</f>
        <v>#N/A</v>
      </c>
      <c r="G337" s="161" t="e">
        <f>LOOKUP(G$2,'Depreciation Schedules'!$A$3:$A$42,'Depreciation Schedules'!$F$3:$F$42)</f>
        <v>#N/A</v>
      </c>
      <c r="H337" s="161" t="e">
        <f>LOOKUP(H$2,'Depreciation Schedules'!$A$3:$A$42,'Depreciation Schedules'!$F$3:$F$42)</f>
        <v>#N/A</v>
      </c>
      <c r="I337" s="161" t="e">
        <f>LOOKUP(I$2,'Depreciation Schedules'!$A$3:$A$42,'Depreciation Schedules'!$F$3:$F$42)</f>
        <v>#N/A</v>
      </c>
      <c r="J337" s="161" t="e">
        <f>LOOKUP(J$2,'Depreciation Schedules'!$A$3:$A$42,'Depreciation Schedules'!$F$3:$F$42)</f>
        <v>#N/A</v>
      </c>
      <c r="K337" s="161" t="e">
        <f>LOOKUP(K$2,'Depreciation Schedules'!$A$3:$A$42,'Depreciation Schedules'!$F$3:$F$42)</f>
        <v>#N/A</v>
      </c>
      <c r="L337" s="161" t="e">
        <f>LOOKUP(L$2,'Depreciation Schedules'!$A$3:$A$42,'Depreciation Schedules'!$F$3:$F$42)</f>
        <v>#N/A</v>
      </c>
      <c r="M337" s="161" t="e">
        <f>LOOKUP(M$2,'Depreciation Schedules'!$A$3:$A$42,'Depreciation Schedules'!$F$3:$F$42)</f>
        <v>#N/A</v>
      </c>
      <c r="N337" s="161" t="e">
        <f>LOOKUP(N$2,'Depreciation Schedules'!$A$3:$A$42,'Depreciation Schedules'!$F$3:$F$42)</f>
        <v>#N/A</v>
      </c>
      <c r="O337" s="161" t="e">
        <f>LOOKUP(O$2,'Depreciation Schedules'!$A$3:$A$42,'Depreciation Schedules'!$F$3:$F$42)</f>
        <v>#N/A</v>
      </c>
      <c r="P337" s="161" t="e">
        <f>LOOKUP(P$2,'Depreciation Schedules'!$A$3:$A$42,'Depreciation Schedules'!$F$3:$F$42)</f>
        <v>#N/A</v>
      </c>
      <c r="Q337" s="161" t="e">
        <f>LOOKUP(Q$2,'Depreciation Schedules'!$A$3:$A$42,'Depreciation Schedules'!$F$3:$F$42)</f>
        <v>#N/A</v>
      </c>
      <c r="R337" s="161" t="e">
        <f>LOOKUP(R$2,'Depreciation Schedules'!$A$3:$A$42,'Depreciation Schedules'!$F$3:$F$42)</f>
        <v>#N/A</v>
      </c>
      <c r="S337" s="161" t="e">
        <f>LOOKUP(S$2,'Depreciation Schedules'!$A$3:$A$42,'Depreciation Schedules'!$F$3:$F$42)</f>
        <v>#N/A</v>
      </c>
      <c r="T337" s="161" t="e">
        <f>LOOKUP(T$2,'Depreciation Schedules'!$A$3:$A$42,'Depreciation Schedules'!$F$3:$F$42)</f>
        <v>#N/A</v>
      </c>
      <c r="U337" s="161" t="e">
        <f>LOOKUP(U$2,'Depreciation Schedules'!$A$3:$A$42,'Depreciation Schedules'!$F$3:$F$42)</f>
        <v>#N/A</v>
      </c>
      <c r="V337" s="161" t="e">
        <f>LOOKUP(V$2,'Depreciation Schedules'!$A$3:$A$42,'Depreciation Schedules'!$F$3:$F$42)</f>
        <v>#N/A</v>
      </c>
      <c r="W337" s="161" t="e">
        <f>LOOKUP(W$2,'Depreciation Schedules'!$A$3:$A$42,'Depreciation Schedules'!$F$3:$F$42)</f>
        <v>#N/A</v>
      </c>
      <c r="X337" s="161" t="e">
        <f>LOOKUP(X$2,'Depreciation Schedules'!$A$3:$A$42,'Depreciation Schedules'!$F$3:$F$42)</f>
        <v>#N/A</v>
      </c>
      <c r="Y337" s="161" t="e">
        <f>LOOKUP(Y$2,'Depreciation Schedules'!$A$3:$A$42,'Depreciation Schedules'!$F$3:$F$42)</f>
        <v>#N/A</v>
      </c>
      <c r="Z337" s="161" t="e">
        <f>LOOKUP(Z$2,'Depreciation Schedules'!$A$3:$A$42,'Depreciation Schedules'!$F$3:$F$42)</f>
        <v>#N/A</v>
      </c>
      <c r="AA337" s="161" t="e">
        <f>LOOKUP(AA$2,'Depreciation Schedules'!$A$3:$A$42,'Depreciation Schedules'!$F$3:$F$42)</f>
        <v>#N/A</v>
      </c>
      <c r="AB337" s="161" t="e">
        <f>LOOKUP(AB$2,'Depreciation Schedules'!$A$3:$A$42,'Depreciation Schedules'!$F$3:$F$42)</f>
        <v>#N/A</v>
      </c>
      <c r="AC337" s="161" t="e">
        <f>LOOKUP(AC$2,'Depreciation Schedules'!$A$3:$A$42,'Depreciation Schedules'!$F$3:$F$42)</f>
        <v>#N/A</v>
      </c>
      <c r="AD337" s="161" t="e">
        <f>LOOKUP(AD$2,'Depreciation Schedules'!$A$3:$A$42,'Depreciation Schedules'!$F$3:$F$42)</f>
        <v>#N/A</v>
      </c>
      <c r="AE337" s="161" t="e">
        <f>LOOKUP(AE$2,'Depreciation Schedules'!$A$3:$A$42,'Depreciation Schedules'!$F$3:$F$42)</f>
        <v>#N/A</v>
      </c>
      <c r="AF337" s="161" t="e">
        <f>LOOKUP(AF$2,'Depreciation Schedules'!$A$3:$A$42,'Depreciation Schedules'!$F$3:$F$42)</f>
        <v>#N/A</v>
      </c>
      <c r="AG337" s="161" t="e">
        <f>LOOKUP(AG$2,'Depreciation Schedules'!$A$3:$A$42,'Depreciation Schedules'!$F$3:$F$42)</f>
        <v>#N/A</v>
      </c>
      <c r="AH337" s="161" t="e">
        <f>LOOKUP(AH$2,'Depreciation Schedules'!$A$3:$A$42,'Depreciation Schedules'!$F$3:$F$42)</f>
        <v>#N/A</v>
      </c>
      <c r="AI337" s="161" t="e">
        <f>LOOKUP(AI$2,'Depreciation Schedules'!$A$3:$A$42,'Depreciation Schedules'!$F$3:$F$42)</f>
        <v>#N/A</v>
      </c>
      <c r="AJ337" s="161" t="e">
        <f>LOOKUP(AJ$2,'Depreciation Schedules'!$A$3:$A$42,'Depreciation Schedules'!$F$3:$F$42)</f>
        <v>#N/A</v>
      </c>
      <c r="AK337" s="161" t="e">
        <f>LOOKUP(AK$2,'Depreciation Schedules'!$A$3:$A$42,'Depreciation Schedules'!$F$3:$F$42)</f>
        <v>#N/A</v>
      </c>
      <c r="AL337" s="161" t="e">
        <f>LOOKUP(AL$2,'Depreciation Schedules'!$A$3:$A$42,'Depreciation Schedules'!$F$3:$F$42)</f>
        <v>#N/A</v>
      </c>
      <c r="AM337" s="161" t="e">
        <f>LOOKUP(AM$2,'Depreciation Schedules'!$A$3:$A$42,'Depreciation Schedules'!$F$3:$F$42)</f>
        <v>#N/A</v>
      </c>
      <c r="AN337" s="161" t="e">
        <f>LOOKUP(AN$2,'Depreciation Schedules'!$A$3:$A$42,'Depreciation Schedules'!$F$3:$F$42)</f>
        <v>#N/A</v>
      </c>
      <c r="AO337" s="161" t="e">
        <f>LOOKUP(AO$2,'Depreciation Schedules'!$A$3:$A$42,'Depreciation Schedules'!$F$3:$F$42)</f>
        <v>#N/A</v>
      </c>
      <c r="AP337" s="161" t="e">
        <f>LOOKUP(AP$2,'Depreciation Schedules'!$A$3:$A$42,'Depreciation Schedules'!$F$3:$F$42)</f>
        <v>#N/A</v>
      </c>
    </row>
    <row r="338" spans="1:42" x14ac:dyDescent="0.2">
      <c r="A338" s="22" t="str">
        <f t="shared" si="122"/>
        <v>39-yr SL</v>
      </c>
      <c r="B338" s="164">
        <f>SUM(IF(ISNUMBER(C338:AP338),C338:AP338))</f>
        <v>0</v>
      </c>
      <c r="C338" s="161" t="e">
        <f>LOOKUP(C$2,'Depreciation Schedules'!$A$3:$A$42,'Depreciation Schedules'!$G$3:$G$42)</f>
        <v>#N/A</v>
      </c>
      <c r="D338" s="161" t="e">
        <f>LOOKUP(D$2,'Depreciation Schedules'!$A$3:$A$42,'Depreciation Schedules'!$G$3:$G$42)</f>
        <v>#N/A</v>
      </c>
      <c r="E338" s="161" t="e">
        <f>LOOKUP(E$2,'Depreciation Schedules'!$A$3:$A$42,'Depreciation Schedules'!$G$3:$G$42)</f>
        <v>#N/A</v>
      </c>
      <c r="F338" s="161" t="e">
        <f>LOOKUP(F$2,'Depreciation Schedules'!$A$3:$A$42,'Depreciation Schedules'!$G$3:$G$42)</f>
        <v>#N/A</v>
      </c>
      <c r="G338" s="161" t="e">
        <f>LOOKUP(G$2,'Depreciation Schedules'!$A$3:$A$42,'Depreciation Schedules'!$G$3:$G$42)</f>
        <v>#N/A</v>
      </c>
      <c r="H338" s="161" t="e">
        <f>LOOKUP(H$2,'Depreciation Schedules'!$A$3:$A$42,'Depreciation Schedules'!$G$3:$G$42)</f>
        <v>#N/A</v>
      </c>
      <c r="I338" s="161" t="e">
        <f>LOOKUP(I$2,'Depreciation Schedules'!$A$3:$A$42,'Depreciation Schedules'!$G$3:$G$42)</f>
        <v>#N/A</v>
      </c>
      <c r="J338" s="161" t="e">
        <f>LOOKUP(J$2,'Depreciation Schedules'!$A$3:$A$42,'Depreciation Schedules'!$G$3:$G$42)</f>
        <v>#N/A</v>
      </c>
      <c r="K338" s="161" t="e">
        <f>LOOKUP(K$2,'Depreciation Schedules'!$A$3:$A$42,'Depreciation Schedules'!$G$3:$G$42)</f>
        <v>#N/A</v>
      </c>
      <c r="L338" s="161" t="e">
        <f>LOOKUP(L$2,'Depreciation Schedules'!$A$3:$A$42,'Depreciation Schedules'!$G$3:$G$42)</f>
        <v>#N/A</v>
      </c>
      <c r="M338" s="161" t="e">
        <f>LOOKUP(M$2,'Depreciation Schedules'!$A$3:$A$42,'Depreciation Schedules'!$G$3:$G$42)</f>
        <v>#N/A</v>
      </c>
      <c r="N338" s="161" t="e">
        <f>LOOKUP(N$2,'Depreciation Schedules'!$A$3:$A$42,'Depreciation Schedules'!$G$3:$G$42)</f>
        <v>#N/A</v>
      </c>
      <c r="O338" s="161" t="e">
        <f>LOOKUP(O$2,'Depreciation Schedules'!$A$3:$A$42,'Depreciation Schedules'!$G$3:$G$42)</f>
        <v>#N/A</v>
      </c>
      <c r="P338" s="161" t="e">
        <f>LOOKUP(P$2,'Depreciation Schedules'!$A$3:$A$42,'Depreciation Schedules'!$G$3:$G$42)</f>
        <v>#N/A</v>
      </c>
      <c r="Q338" s="161" t="e">
        <f>LOOKUP(Q$2,'Depreciation Schedules'!$A$3:$A$42,'Depreciation Schedules'!$G$3:$G$42)</f>
        <v>#N/A</v>
      </c>
      <c r="R338" s="161" t="e">
        <f>LOOKUP(R$2,'Depreciation Schedules'!$A$3:$A$42,'Depreciation Schedules'!$G$3:$G$42)</f>
        <v>#N/A</v>
      </c>
      <c r="S338" s="161" t="e">
        <f>LOOKUP(S$2,'Depreciation Schedules'!$A$3:$A$42,'Depreciation Schedules'!$G$3:$G$42)</f>
        <v>#N/A</v>
      </c>
      <c r="T338" s="161" t="e">
        <f>LOOKUP(T$2,'Depreciation Schedules'!$A$3:$A$42,'Depreciation Schedules'!$G$3:$G$42)</f>
        <v>#N/A</v>
      </c>
      <c r="U338" s="161" t="e">
        <f>LOOKUP(U$2,'Depreciation Schedules'!$A$3:$A$42,'Depreciation Schedules'!$G$3:$G$42)</f>
        <v>#N/A</v>
      </c>
      <c r="V338" s="161" t="e">
        <f>LOOKUP(V$2,'Depreciation Schedules'!$A$3:$A$42,'Depreciation Schedules'!$G$3:$G$42)</f>
        <v>#N/A</v>
      </c>
      <c r="W338" s="161" t="e">
        <f>LOOKUP(W$2,'Depreciation Schedules'!$A$3:$A$42,'Depreciation Schedules'!$G$3:$G$42)</f>
        <v>#N/A</v>
      </c>
      <c r="X338" s="161" t="e">
        <f>LOOKUP(X$2,'Depreciation Schedules'!$A$3:$A$42,'Depreciation Schedules'!$G$3:$G$42)</f>
        <v>#N/A</v>
      </c>
      <c r="Y338" s="161" t="e">
        <f>LOOKUP(Y$2,'Depreciation Schedules'!$A$3:$A$42,'Depreciation Schedules'!$G$3:$G$42)</f>
        <v>#N/A</v>
      </c>
      <c r="Z338" s="161" t="e">
        <f>LOOKUP(Z$2,'Depreciation Schedules'!$A$3:$A$42,'Depreciation Schedules'!$G$3:$G$42)</f>
        <v>#N/A</v>
      </c>
      <c r="AA338" s="161" t="e">
        <f>LOOKUP(AA$2,'Depreciation Schedules'!$A$3:$A$42,'Depreciation Schedules'!$G$3:$G$42)</f>
        <v>#N/A</v>
      </c>
      <c r="AB338" s="161" t="e">
        <f>LOOKUP(AB$2,'Depreciation Schedules'!$A$3:$A$42,'Depreciation Schedules'!$G$3:$G$42)</f>
        <v>#N/A</v>
      </c>
      <c r="AC338" s="161" t="e">
        <f>LOOKUP(AC$2,'Depreciation Schedules'!$A$3:$A$42,'Depreciation Schedules'!$G$3:$G$42)</f>
        <v>#N/A</v>
      </c>
      <c r="AD338" s="161" t="e">
        <f>LOOKUP(AD$2,'Depreciation Schedules'!$A$3:$A$42,'Depreciation Schedules'!$G$3:$G$42)</f>
        <v>#N/A</v>
      </c>
      <c r="AE338" s="161" t="e">
        <f>LOOKUP(AE$2,'Depreciation Schedules'!$A$3:$A$42,'Depreciation Schedules'!$G$3:$G$42)</f>
        <v>#N/A</v>
      </c>
      <c r="AF338" s="161" t="e">
        <f>LOOKUP(AF$2,'Depreciation Schedules'!$A$3:$A$42,'Depreciation Schedules'!$G$3:$G$42)</f>
        <v>#N/A</v>
      </c>
      <c r="AG338" s="161" t="e">
        <f>LOOKUP(AG$2,'Depreciation Schedules'!$A$3:$A$42,'Depreciation Schedules'!$G$3:$G$42)</f>
        <v>#N/A</v>
      </c>
      <c r="AH338" s="161" t="e">
        <f>LOOKUP(AH$2,'Depreciation Schedules'!$A$3:$A$42,'Depreciation Schedules'!$G$3:$G$42)</f>
        <v>#N/A</v>
      </c>
      <c r="AI338" s="161" t="e">
        <f>LOOKUP(AI$2,'Depreciation Schedules'!$A$3:$A$42,'Depreciation Schedules'!$G$3:$G$42)</f>
        <v>#N/A</v>
      </c>
      <c r="AJ338" s="161" t="e">
        <f>LOOKUP(AJ$2,'Depreciation Schedules'!$A$3:$A$42,'Depreciation Schedules'!$G$3:$G$42)</f>
        <v>#N/A</v>
      </c>
      <c r="AK338" s="161" t="e">
        <f>LOOKUP(AK$2,'Depreciation Schedules'!$A$3:$A$42,'Depreciation Schedules'!$G$3:$G$42)</f>
        <v>#N/A</v>
      </c>
      <c r="AL338" s="161" t="e">
        <f>LOOKUP(AL$2,'Depreciation Schedules'!$A$3:$A$42,'Depreciation Schedules'!$G$3:$G$42)</f>
        <v>#N/A</v>
      </c>
      <c r="AM338" s="161" t="e">
        <f>LOOKUP(AM$2,'Depreciation Schedules'!$A$3:$A$42,'Depreciation Schedules'!$G$3:$G$42)</f>
        <v>#N/A</v>
      </c>
      <c r="AN338" s="161" t="e">
        <f>LOOKUP(AN$2,'Depreciation Schedules'!$A$3:$A$42,'Depreciation Schedules'!$G$3:$G$42)</f>
        <v>#N/A</v>
      </c>
      <c r="AO338" s="161" t="e">
        <f>LOOKUP(AO$2,'Depreciation Schedules'!$A$3:$A$42,'Depreciation Schedules'!$G$3:$G$42)</f>
        <v>#N/A</v>
      </c>
      <c r="AP338" s="161" t="e">
        <f>LOOKUP(AP$2,'Depreciation Schedules'!$A$3:$A$42,'Depreciation Schedules'!$G$3:$G$42)</f>
        <v>#N/A</v>
      </c>
    </row>
    <row r="339" spans="1:42" x14ac:dyDescent="0.2">
      <c r="A339" s="22" t="s">
        <v>301</v>
      </c>
      <c r="B339" s="164">
        <f>SUM(IF(ISNUMBER(C339:AP339),C339:AP339))</f>
        <v>0</v>
      </c>
      <c r="C339" s="161">
        <f t="array" ref="C339:AP339">Inputs!D220:AQ220</f>
        <v>0</v>
      </c>
      <c r="D339" s="161">
        <v>0</v>
      </c>
      <c r="E339" s="161">
        <v>0</v>
      </c>
      <c r="F339" s="161">
        <v>0</v>
      </c>
      <c r="G339" s="161">
        <v>0</v>
      </c>
      <c r="H339" s="161">
        <v>0</v>
      </c>
      <c r="I339" s="161">
        <v>0</v>
      </c>
      <c r="J339" s="161">
        <v>0</v>
      </c>
      <c r="K339" s="161">
        <v>0</v>
      </c>
      <c r="L339" s="161">
        <v>0</v>
      </c>
      <c r="M339" s="161">
        <v>0</v>
      </c>
      <c r="N339" s="161">
        <v>0</v>
      </c>
      <c r="O339" s="161">
        <v>0</v>
      </c>
      <c r="P339" s="161">
        <v>0</v>
      </c>
      <c r="Q339" s="161">
        <v>0</v>
      </c>
      <c r="R339" s="161">
        <v>0</v>
      </c>
      <c r="S339" s="161">
        <v>0</v>
      </c>
      <c r="T339" s="161">
        <v>0</v>
      </c>
      <c r="U339" s="161">
        <v>0</v>
      </c>
      <c r="V339" s="161">
        <v>0</v>
      </c>
      <c r="W339" s="161">
        <v>0</v>
      </c>
      <c r="X339" s="161">
        <v>0</v>
      </c>
      <c r="Y339" s="161">
        <v>0</v>
      </c>
      <c r="Z339" s="161">
        <v>0</v>
      </c>
      <c r="AA339" s="161">
        <v>0</v>
      </c>
      <c r="AB339" s="161">
        <v>0</v>
      </c>
      <c r="AC339" s="161">
        <v>0</v>
      </c>
      <c r="AD339" s="161">
        <v>0</v>
      </c>
      <c r="AE339" s="161">
        <v>0</v>
      </c>
      <c r="AF339" s="161">
        <v>0</v>
      </c>
      <c r="AG339" s="161">
        <v>0</v>
      </c>
      <c r="AH339" s="161">
        <v>0</v>
      </c>
      <c r="AI339" s="161">
        <v>0</v>
      </c>
      <c r="AJ339" s="161">
        <v>0</v>
      </c>
      <c r="AK339" s="161">
        <v>0</v>
      </c>
      <c r="AL339" s="161">
        <v>0</v>
      </c>
      <c r="AM339" s="161">
        <v>0</v>
      </c>
      <c r="AN339" s="161">
        <v>0</v>
      </c>
      <c r="AO339" s="161">
        <v>0</v>
      </c>
      <c r="AP339" s="161">
        <v>0</v>
      </c>
    </row>
    <row r="340" spans="1:42" x14ac:dyDescent="0.2">
      <c r="A340" s="21" t="s">
        <v>3</v>
      </c>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row>
    <row r="341" spans="1:42" x14ac:dyDescent="0.2">
      <c r="A341" s="22" t="str">
        <f t="shared" ref="A341:A346" si="123">A333</f>
        <v>5-yr MACRS</v>
      </c>
      <c r="B341" s="165">
        <f>SUM(IF(ISNUMBER(C341:AP341),C341:AP341))</f>
        <v>0</v>
      </c>
      <c r="C341" s="115" t="e">
        <f>C333/100*$Q$298</f>
        <v>#N/A</v>
      </c>
      <c r="D341" s="115" t="e">
        <f t="shared" ref="D341:AP341" si="124">D333/100*$Q$298</f>
        <v>#N/A</v>
      </c>
      <c r="E341" s="115" t="e">
        <f t="shared" si="124"/>
        <v>#N/A</v>
      </c>
      <c r="F341" s="115" t="e">
        <f t="shared" si="124"/>
        <v>#N/A</v>
      </c>
      <c r="G341" s="115" t="e">
        <f t="shared" si="124"/>
        <v>#N/A</v>
      </c>
      <c r="H341" s="115" t="e">
        <f t="shared" si="124"/>
        <v>#N/A</v>
      </c>
      <c r="I341" s="115" t="e">
        <f t="shared" si="124"/>
        <v>#N/A</v>
      </c>
      <c r="J341" s="115" t="e">
        <f t="shared" si="124"/>
        <v>#N/A</v>
      </c>
      <c r="K341" s="115" t="e">
        <f t="shared" si="124"/>
        <v>#N/A</v>
      </c>
      <c r="L341" s="115" t="e">
        <f t="shared" si="124"/>
        <v>#N/A</v>
      </c>
      <c r="M341" s="115" t="e">
        <f t="shared" si="124"/>
        <v>#N/A</v>
      </c>
      <c r="N341" s="115" t="e">
        <f t="shared" si="124"/>
        <v>#N/A</v>
      </c>
      <c r="O341" s="115" t="e">
        <f t="shared" si="124"/>
        <v>#N/A</v>
      </c>
      <c r="P341" s="115" t="e">
        <f t="shared" si="124"/>
        <v>#N/A</v>
      </c>
      <c r="Q341" s="115" t="e">
        <f t="shared" si="124"/>
        <v>#N/A</v>
      </c>
      <c r="R341" s="115" t="e">
        <f t="shared" si="124"/>
        <v>#N/A</v>
      </c>
      <c r="S341" s="115" t="e">
        <f t="shared" si="124"/>
        <v>#N/A</v>
      </c>
      <c r="T341" s="115" t="e">
        <f t="shared" si="124"/>
        <v>#N/A</v>
      </c>
      <c r="U341" s="115" t="e">
        <f t="shared" si="124"/>
        <v>#N/A</v>
      </c>
      <c r="V341" s="115" t="e">
        <f t="shared" si="124"/>
        <v>#N/A</v>
      </c>
      <c r="W341" s="115" t="e">
        <f t="shared" si="124"/>
        <v>#N/A</v>
      </c>
      <c r="X341" s="115" t="e">
        <f t="shared" si="124"/>
        <v>#N/A</v>
      </c>
      <c r="Y341" s="115" t="e">
        <f t="shared" si="124"/>
        <v>#N/A</v>
      </c>
      <c r="Z341" s="115" t="e">
        <f t="shared" si="124"/>
        <v>#N/A</v>
      </c>
      <c r="AA341" s="115" t="e">
        <f t="shared" si="124"/>
        <v>#N/A</v>
      </c>
      <c r="AB341" s="115" t="e">
        <f t="shared" si="124"/>
        <v>#N/A</v>
      </c>
      <c r="AC341" s="115" t="e">
        <f t="shared" si="124"/>
        <v>#N/A</v>
      </c>
      <c r="AD341" s="115" t="e">
        <f t="shared" si="124"/>
        <v>#N/A</v>
      </c>
      <c r="AE341" s="115" t="e">
        <f t="shared" si="124"/>
        <v>#N/A</v>
      </c>
      <c r="AF341" s="115" t="e">
        <f t="shared" si="124"/>
        <v>#N/A</v>
      </c>
      <c r="AG341" s="115" t="e">
        <f t="shared" si="124"/>
        <v>#N/A</v>
      </c>
      <c r="AH341" s="115" t="e">
        <f t="shared" si="124"/>
        <v>#N/A</v>
      </c>
      <c r="AI341" s="115" t="e">
        <f t="shared" si="124"/>
        <v>#N/A</v>
      </c>
      <c r="AJ341" s="115" t="e">
        <f t="shared" si="124"/>
        <v>#N/A</v>
      </c>
      <c r="AK341" s="115" t="e">
        <f t="shared" si="124"/>
        <v>#N/A</v>
      </c>
      <c r="AL341" s="115" t="e">
        <f t="shared" si="124"/>
        <v>#N/A</v>
      </c>
      <c r="AM341" s="115" t="e">
        <f t="shared" si="124"/>
        <v>#N/A</v>
      </c>
      <c r="AN341" s="115" t="e">
        <f t="shared" si="124"/>
        <v>#N/A</v>
      </c>
      <c r="AO341" s="115" t="e">
        <f t="shared" si="124"/>
        <v>#N/A</v>
      </c>
      <c r="AP341" s="115" t="e">
        <f t="shared" si="124"/>
        <v>#N/A</v>
      </c>
    </row>
    <row r="342" spans="1:42" x14ac:dyDescent="0.2">
      <c r="A342" s="22" t="str">
        <f t="shared" si="123"/>
        <v>15-yr MACRS</v>
      </c>
      <c r="B342" s="165">
        <f t="array" ref="B342">SUM(IF(ISNUMBER(C342:AP342),C342:AP342))</f>
        <v>0</v>
      </c>
      <c r="C342" s="115" t="e">
        <f>C334/100*$Q$299</f>
        <v>#N/A</v>
      </c>
      <c r="D342" s="115" t="e">
        <f t="shared" ref="D342:AP342" si="125">D334/100*$Q$299</f>
        <v>#N/A</v>
      </c>
      <c r="E342" s="115" t="e">
        <f t="shared" si="125"/>
        <v>#N/A</v>
      </c>
      <c r="F342" s="115" t="e">
        <f t="shared" si="125"/>
        <v>#N/A</v>
      </c>
      <c r="G342" s="115" t="e">
        <f t="shared" si="125"/>
        <v>#N/A</v>
      </c>
      <c r="H342" s="115" t="e">
        <f t="shared" si="125"/>
        <v>#N/A</v>
      </c>
      <c r="I342" s="115" t="e">
        <f t="shared" si="125"/>
        <v>#N/A</v>
      </c>
      <c r="J342" s="115" t="e">
        <f t="shared" si="125"/>
        <v>#N/A</v>
      </c>
      <c r="K342" s="115" t="e">
        <f t="shared" si="125"/>
        <v>#N/A</v>
      </c>
      <c r="L342" s="115" t="e">
        <f t="shared" si="125"/>
        <v>#N/A</v>
      </c>
      <c r="M342" s="115" t="e">
        <f t="shared" si="125"/>
        <v>#N/A</v>
      </c>
      <c r="N342" s="115" t="e">
        <f t="shared" si="125"/>
        <v>#N/A</v>
      </c>
      <c r="O342" s="115" t="e">
        <f t="shared" si="125"/>
        <v>#N/A</v>
      </c>
      <c r="P342" s="115" t="e">
        <f t="shared" si="125"/>
        <v>#N/A</v>
      </c>
      <c r="Q342" s="115" t="e">
        <f t="shared" si="125"/>
        <v>#N/A</v>
      </c>
      <c r="R342" s="115" t="e">
        <f t="shared" si="125"/>
        <v>#N/A</v>
      </c>
      <c r="S342" s="115" t="e">
        <f t="shared" si="125"/>
        <v>#N/A</v>
      </c>
      <c r="T342" s="115" t="e">
        <f t="shared" si="125"/>
        <v>#N/A</v>
      </c>
      <c r="U342" s="115" t="e">
        <f t="shared" si="125"/>
        <v>#N/A</v>
      </c>
      <c r="V342" s="115" t="e">
        <f t="shared" si="125"/>
        <v>#N/A</v>
      </c>
      <c r="W342" s="115" t="e">
        <f t="shared" si="125"/>
        <v>#N/A</v>
      </c>
      <c r="X342" s="115" t="e">
        <f t="shared" si="125"/>
        <v>#N/A</v>
      </c>
      <c r="Y342" s="115" t="e">
        <f t="shared" si="125"/>
        <v>#N/A</v>
      </c>
      <c r="Z342" s="115" t="e">
        <f t="shared" si="125"/>
        <v>#N/A</v>
      </c>
      <c r="AA342" s="115" t="e">
        <f t="shared" si="125"/>
        <v>#N/A</v>
      </c>
      <c r="AB342" s="115" t="e">
        <f t="shared" si="125"/>
        <v>#N/A</v>
      </c>
      <c r="AC342" s="115" t="e">
        <f t="shared" si="125"/>
        <v>#N/A</v>
      </c>
      <c r="AD342" s="115" t="e">
        <f t="shared" si="125"/>
        <v>#N/A</v>
      </c>
      <c r="AE342" s="115" t="e">
        <f t="shared" si="125"/>
        <v>#N/A</v>
      </c>
      <c r="AF342" s="115" t="e">
        <f t="shared" si="125"/>
        <v>#N/A</v>
      </c>
      <c r="AG342" s="115" t="e">
        <f t="shared" si="125"/>
        <v>#N/A</v>
      </c>
      <c r="AH342" s="115" t="e">
        <f t="shared" si="125"/>
        <v>#N/A</v>
      </c>
      <c r="AI342" s="115" t="e">
        <f t="shared" si="125"/>
        <v>#N/A</v>
      </c>
      <c r="AJ342" s="115" t="e">
        <f t="shared" si="125"/>
        <v>#N/A</v>
      </c>
      <c r="AK342" s="115" t="e">
        <f t="shared" si="125"/>
        <v>#N/A</v>
      </c>
      <c r="AL342" s="115" t="e">
        <f t="shared" si="125"/>
        <v>#N/A</v>
      </c>
      <c r="AM342" s="115" t="e">
        <f t="shared" si="125"/>
        <v>#N/A</v>
      </c>
      <c r="AN342" s="115" t="e">
        <f t="shared" si="125"/>
        <v>#N/A</v>
      </c>
      <c r="AO342" s="115" t="e">
        <f t="shared" si="125"/>
        <v>#N/A</v>
      </c>
      <c r="AP342" s="115" t="e">
        <f t="shared" si="125"/>
        <v>#N/A</v>
      </c>
    </row>
    <row r="343" spans="1:42" x14ac:dyDescent="0.2">
      <c r="A343" s="22" t="str">
        <f t="shared" si="123"/>
        <v>5-yr SL</v>
      </c>
      <c r="B343" s="165">
        <f t="array" ref="B343">SUM(IF(ISNUMBER(C343:AP343),C343:AP343))</f>
        <v>0</v>
      </c>
      <c r="C343" s="115" t="e">
        <f>C335/100*$Q$300</f>
        <v>#N/A</v>
      </c>
      <c r="D343" s="115" t="e">
        <f t="shared" ref="D343:AP343" si="126">D335/100*$Q$300</f>
        <v>#N/A</v>
      </c>
      <c r="E343" s="115" t="e">
        <f t="shared" si="126"/>
        <v>#N/A</v>
      </c>
      <c r="F343" s="115" t="e">
        <f t="shared" si="126"/>
        <v>#N/A</v>
      </c>
      <c r="G343" s="115" t="e">
        <f t="shared" si="126"/>
        <v>#N/A</v>
      </c>
      <c r="H343" s="115" t="e">
        <f t="shared" si="126"/>
        <v>#N/A</v>
      </c>
      <c r="I343" s="115" t="e">
        <f t="shared" si="126"/>
        <v>#N/A</v>
      </c>
      <c r="J343" s="115" t="e">
        <f t="shared" si="126"/>
        <v>#N/A</v>
      </c>
      <c r="K343" s="115" t="e">
        <f t="shared" si="126"/>
        <v>#N/A</v>
      </c>
      <c r="L343" s="115" t="e">
        <f t="shared" si="126"/>
        <v>#N/A</v>
      </c>
      <c r="M343" s="115" t="e">
        <f t="shared" si="126"/>
        <v>#N/A</v>
      </c>
      <c r="N343" s="115" t="e">
        <f t="shared" si="126"/>
        <v>#N/A</v>
      </c>
      <c r="O343" s="115" t="e">
        <f t="shared" si="126"/>
        <v>#N/A</v>
      </c>
      <c r="P343" s="115" t="e">
        <f t="shared" si="126"/>
        <v>#N/A</v>
      </c>
      <c r="Q343" s="115" t="e">
        <f t="shared" si="126"/>
        <v>#N/A</v>
      </c>
      <c r="R343" s="115" t="e">
        <f t="shared" si="126"/>
        <v>#N/A</v>
      </c>
      <c r="S343" s="115" t="e">
        <f t="shared" si="126"/>
        <v>#N/A</v>
      </c>
      <c r="T343" s="115" t="e">
        <f t="shared" si="126"/>
        <v>#N/A</v>
      </c>
      <c r="U343" s="115" t="e">
        <f t="shared" si="126"/>
        <v>#N/A</v>
      </c>
      <c r="V343" s="115" t="e">
        <f t="shared" si="126"/>
        <v>#N/A</v>
      </c>
      <c r="W343" s="115" t="e">
        <f t="shared" si="126"/>
        <v>#N/A</v>
      </c>
      <c r="X343" s="115" t="e">
        <f t="shared" si="126"/>
        <v>#N/A</v>
      </c>
      <c r="Y343" s="115" t="e">
        <f t="shared" si="126"/>
        <v>#N/A</v>
      </c>
      <c r="Z343" s="115" t="e">
        <f t="shared" si="126"/>
        <v>#N/A</v>
      </c>
      <c r="AA343" s="115" t="e">
        <f t="shared" si="126"/>
        <v>#N/A</v>
      </c>
      <c r="AB343" s="115" t="e">
        <f t="shared" si="126"/>
        <v>#N/A</v>
      </c>
      <c r="AC343" s="115" t="e">
        <f t="shared" si="126"/>
        <v>#N/A</v>
      </c>
      <c r="AD343" s="115" t="e">
        <f t="shared" si="126"/>
        <v>#N/A</v>
      </c>
      <c r="AE343" s="115" t="e">
        <f t="shared" si="126"/>
        <v>#N/A</v>
      </c>
      <c r="AF343" s="115" t="e">
        <f t="shared" si="126"/>
        <v>#N/A</v>
      </c>
      <c r="AG343" s="115" t="e">
        <f t="shared" si="126"/>
        <v>#N/A</v>
      </c>
      <c r="AH343" s="115" t="e">
        <f t="shared" si="126"/>
        <v>#N/A</v>
      </c>
      <c r="AI343" s="115" t="e">
        <f t="shared" si="126"/>
        <v>#N/A</v>
      </c>
      <c r="AJ343" s="115" t="e">
        <f t="shared" si="126"/>
        <v>#N/A</v>
      </c>
      <c r="AK343" s="115" t="e">
        <f t="shared" si="126"/>
        <v>#N/A</v>
      </c>
      <c r="AL343" s="115" t="e">
        <f t="shared" si="126"/>
        <v>#N/A</v>
      </c>
      <c r="AM343" s="115" t="e">
        <f t="shared" si="126"/>
        <v>#N/A</v>
      </c>
      <c r="AN343" s="115" t="e">
        <f t="shared" si="126"/>
        <v>#N/A</v>
      </c>
      <c r="AO343" s="115" t="e">
        <f t="shared" si="126"/>
        <v>#N/A</v>
      </c>
      <c r="AP343" s="115" t="e">
        <f t="shared" si="126"/>
        <v>#N/A</v>
      </c>
    </row>
    <row r="344" spans="1:42" x14ac:dyDescent="0.2">
      <c r="A344" s="22" t="str">
        <f t="shared" si="123"/>
        <v>15-yr SL</v>
      </c>
      <c r="B344" s="165">
        <f t="array" ref="B344">SUM(IF(ISNUMBER(C344:AP344),C344:AP344))</f>
        <v>0</v>
      </c>
      <c r="C344" s="115" t="e">
        <f>C336/100*$Q$301</f>
        <v>#N/A</v>
      </c>
      <c r="D344" s="115" t="e">
        <f t="shared" ref="D344:AP344" si="127">D336/100*$Q$301</f>
        <v>#N/A</v>
      </c>
      <c r="E344" s="115" t="e">
        <f t="shared" si="127"/>
        <v>#N/A</v>
      </c>
      <c r="F344" s="115" t="e">
        <f t="shared" si="127"/>
        <v>#N/A</v>
      </c>
      <c r="G344" s="115" t="e">
        <f t="shared" si="127"/>
        <v>#N/A</v>
      </c>
      <c r="H344" s="115" t="e">
        <f t="shared" si="127"/>
        <v>#N/A</v>
      </c>
      <c r="I344" s="115" t="e">
        <f t="shared" si="127"/>
        <v>#N/A</v>
      </c>
      <c r="J344" s="115" t="e">
        <f t="shared" si="127"/>
        <v>#N/A</v>
      </c>
      <c r="K344" s="115" t="e">
        <f t="shared" si="127"/>
        <v>#N/A</v>
      </c>
      <c r="L344" s="115" t="e">
        <f t="shared" si="127"/>
        <v>#N/A</v>
      </c>
      <c r="M344" s="115" t="e">
        <f t="shared" si="127"/>
        <v>#N/A</v>
      </c>
      <c r="N344" s="115" t="e">
        <f t="shared" si="127"/>
        <v>#N/A</v>
      </c>
      <c r="O344" s="115" t="e">
        <f t="shared" si="127"/>
        <v>#N/A</v>
      </c>
      <c r="P344" s="115" t="e">
        <f t="shared" si="127"/>
        <v>#N/A</v>
      </c>
      <c r="Q344" s="115" t="e">
        <f t="shared" si="127"/>
        <v>#N/A</v>
      </c>
      <c r="R344" s="115" t="e">
        <f t="shared" si="127"/>
        <v>#N/A</v>
      </c>
      <c r="S344" s="115" t="e">
        <f t="shared" si="127"/>
        <v>#N/A</v>
      </c>
      <c r="T344" s="115" t="e">
        <f t="shared" si="127"/>
        <v>#N/A</v>
      </c>
      <c r="U344" s="115" t="e">
        <f t="shared" si="127"/>
        <v>#N/A</v>
      </c>
      <c r="V344" s="115" t="e">
        <f t="shared" si="127"/>
        <v>#N/A</v>
      </c>
      <c r="W344" s="115" t="e">
        <f t="shared" si="127"/>
        <v>#N/A</v>
      </c>
      <c r="X344" s="115" t="e">
        <f t="shared" si="127"/>
        <v>#N/A</v>
      </c>
      <c r="Y344" s="115" t="e">
        <f t="shared" si="127"/>
        <v>#N/A</v>
      </c>
      <c r="Z344" s="115" t="e">
        <f t="shared" si="127"/>
        <v>#N/A</v>
      </c>
      <c r="AA344" s="115" t="e">
        <f t="shared" si="127"/>
        <v>#N/A</v>
      </c>
      <c r="AB344" s="115" t="e">
        <f t="shared" si="127"/>
        <v>#N/A</v>
      </c>
      <c r="AC344" s="115" t="e">
        <f t="shared" si="127"/>
        <v>#N/A</v>
      </c>
      <c r="AD344" s="115" t="e">
        <f t="shared" si="127"/>
        <v>#N/A</v>
      </c>
      <c r="AE344" s="115" t="e">
        <f t="shared" si="127"/>
        <v>#N/A</v>
      </c>
      <c r="AF344" s="115" t="e">
        <f t="shared" si="127"/>
        <v>#N/A</v>
      </c>
      <c r="AG344" s="115" t="e">
        <f t="shared" si="127"/>
        <v>#N/A</v>
      </c>
      <c r="AH344" s="115" t="e">
        <f t="shared" si="127"/>
        <v>#N/A</v>
      </c>
      <c r="AI344" s="115" t="e">
        <f t="shared" si="127"/>
        <v>#N/A</v>
      </c>
      <c r="AJ344" s="115" t="e">
        <f t="shared" si="127"/>
        <v>#N/A</v>
      </c>
      <c r="AK344" s="115" t="e">
        <f t="shared" si="127"/>
        <v>#N/A</v>
      </c>
      <c r="AL344" s="115" t="e">
        <f t="shared" si="127"/>
        <v>#N/A</v>
      </c>
      <c r="AM344" s="115" t="e">
        <f t="shared" si="127"/>
        <v>#N/A</v>
      </c>
      <c r="AN344" s="115" t="e">
        <f t="shared" si="127"/>
        <v>#N/A</v>
      </c>
      <c r="AO344" s="115" t="e">
        <f t="shared" si="127"/>
        <v>#N/A</v>
      </c>
      <c r="AP344" s="115" t="e">
        <f t="shared" si="127"/>
        <v>#N/A</v>
      </c>
    </row>
    <row r="345" spans="1:42" x14ac:dyDescent="0.2">
      <c r="A345" s="22" t="str">
        <f t="shared" si="123"/>
        <v>20-yr SL</v>
      </c>
      <c r="B345" s="165">
        <f t="array" ref="B345">SUM(IF(ISNUMBER(C345:AP345),C345:AP345))</f>
        <v>0</v>
      </c>
      <c r="C345" s="115" t="e">
        <f>C337/100*$Q$302</f>
        <v>#N/A</v>
      </c>
      <c r="D345" s="115" t="e">
        <f t="shared" ref="D345:AP345" si="128">D337/100*$Q$302</f>
        <v>#N/A</v>
      </c>
      <c r="E345" s="115" t="e">
        <f t="shared" si="128"/>
        <v>#N/A</v>
      </c>
      <c r="F345" s="115" t="e">
        <f t="shared" si="128"/>
        <v>#N/A</v>
      </c>
      <c r="G345" s="115" t="e">
        <f t="shared" si="128"/>
        <v>#N/A</v>
      </c>
      <c r="H345" s="115" t="e">
        <f t="shared" si="128"/>
        <v>#N/A</v>
      </c>
      <c r="I345" s="115" t="e">
        <f t="shared" si="128"/>
        <v>#N/A</v>
      </c>
      <c r="J345" s="115" t="e">
        <f t="shared" si="128"/>
        <v>#N/A</v>
      </c>
      <c r="K345" s="115" t="e">
        <f t="shared" si="128"/>
        <v>#N/A</v>
      </c>
      <c r="L345" s="115" t="e">
        <f t="shared" si="128"/>
        <v>#N/A</v>
      </c>
      <c r="M345" s="115" t="e">
        <f t="shared" si="128"/>
        <v>#N/A</v>
      </c>
      <c r="N345" s="115" t="e">
        <f t="shared" si="128"/>
        <v>#N/A</v>
      </c>
      <c r="O345" s="115" t="e">
        <f t="shared" si="128"/>
        <v>#N/A</v>
      </c>
      <c r="P345" s="115" t="e">
        <f t="shared" si="128"/>
        <v>#N/A</v>
      </c>
      <c r="Q345" s="115" t="e">
        <f t="shared" si="128"/>
        <v>#N/A</v>
      </c>
      <c r="R345" s="115" t="e">
        <f t="shared" si="128"/>
        <v>#N/A</v>
      </c>
      <c r="S345" s="115" t="e">
        <f t="shared" si="128"/>
        <v>#N/A</v>
      </c>
      <c r="T345" s="115" t="e">
        <f t="shared" si="128"/>
        <v>#N/A</v>
      </c>
      <c r="U345" s="115" t="e">
        <f t="shared" si="128"/>
        <v>#N/A</v>
      </c>
      <c r="V345" s="115" t="e">
        <f t="shared" si="128"/>
        <v>#N/A</v>
      </c>
      <c r="W345" s="115" t="e">
        <f t="shared" si="128"/>
        <v>#N/A</v>
      </c>
      <c r="X345" s="115" t="e">
        <f t="shared" si="128"/>
        <v>#N/A</v>
      </c>
      <c r="Y345" s="115" t="e">
        <f t="shared" si="128"/>
        <v>#N/A</v>
      </c>
      <c r="Z345" s="115" t="e">
        <f t="shared" si="128"/>
        <v>#N/A</v>
      </c>
      <c r="AA345" s="115" t="e">
        <f t="shared" si="128"/>
        <v>#N/A</v>
      </c>
      <c r="AB345" s="115" t="e">
        <f t="shared" si="128"/>
        <v>#N/A</v>
      </c>
      <c r="AC345" s="115" t="e">
        <f t="shared" si="128"/>
        <v>#N/A</v>
      </c>
      <c r="AD345" s="115" t="e">
        <f t="shared" si="128"/>
        <v>#N/A</v>
      </c>
      <c r="AE345" s="115" t="e">
        <f t="shared" si="128"/>
        <v>#N/A</v>
      </c>
      <c r="AF345" s="115" t="e">
        <f t="shared" si="128"/>
        <v>#N/A</v>
      </c>
      <c r="AG345" s="115" t="e">
        <f t="shared" si="128"/>
        <v>#N/A</v>
      </c>
      <c r="AH345" s="115" t="e">
        <f t="shared" si="128"/>
        <v>#N/A</v>
      </c>
      <c r="AI345" s="115" t="e">
        <f t="shared" si="128"/>
        <v>#N/A</v>
      </c>
      <c r="AJ345" s="115" t="e">
        <f t="shared" si="128"/>
        <v>#N/A</v>
      </c>
      <c r="AK345" s="115" t="e">
        <f t="shared" si="128"/>
        <v>#N/A</v>
      </c>
      <c r="AL345" s="115" t="e">
        <f t="shared" si="128"/>
        <v>#N/A</v>
      </c>
      <c r="AM345" s="115" t="e">
        <f t="shared" si="128"/>
        <v>#N/A</v>
      </c>
      <c r="AN345" s="115" t="e">
        <f t="shared" si="128"/>
        <v>#N/A</v>
      </c>
      <c r="AO345" s="115" t="e">
        <f t="shared" si="128"/>
        <v>#N/A</v>
      </c>
      <c r="AP345" s="115" t="e">
        <f t="shared" si="128"/>
        <v>#N/A</v>
      </c>
    </row>
    <row r="346" spans="1:42" x14ac:dyDescent="0.2">
      <c r="A346" s="22" t="str">
        <f t="shared" si="123"/>
        <v>39-yr SL</v>
      </c>
      <c r="B346" s="165">
        <f>SUM(IF(ISNUMBER(C346:AP346),C346:AP346))</f>
        <v>0</v>
      </c>
      <c r="C346" s="115" t="e">
        <f>C338/100*$Q$303</f>
        <v>#N/A</v>
      </c>
      <c r="D346" s="115" t="e">
        <f t="shared" ref="D346:AP346" si="129">D338/100*$Q$303</f>
        <v>#N/A</v>
      </c>
      <c r="E346" s="115" t="e">
        <f t="shared" si="129"/>
        <v>#N/A</v>
      </c>
      <c r="F346" s="115" t="e">
        <f t="shared" si="129"/>
        <v>#N/A</v>
      </c>
      <c r="G346" s="115" t="e">
        <f t="shared" si="129"/>
        <v>#N/A</v>
      </c>
      <c r="H346" s="115" t="e">
        <f t="shared" si="129"/>
        <v>#N/A</v>
      </c>
      <c r="I346" s="115" t="e">
        <f t="shared" si="129"/>
        <v>#N/A</v>
      </c>
      <c r="J346" s="115" t="e">
        <f t="shared" si="129"/>
        <v>#N/A</v>
      </c>
      <c r="K346" s="115" t="e">
        <f t="shared" si="129"/>
        <v>#N/A</v>
      </c>
      <c r="L346" s="115" t="e">
        <f t="shared" si="129"/>
        <v>#N/A</v>
      </c>
      <c r="M346" s="115" t="e">
        <f t="shared" si="129"/>
        <v>#N/A</v>
      </c>
      <c r="N346" s="115" t="e">
        <f t="shared" si="129"/>
        <v>#N/A</v>
      </c>
      <c r="O346" s="115" t="e">
        <f t="shared" si="129"/>
        <v>#N/A</v>
      </c>
      <c r="P346" s="115" t="e">
        <f t="shared" si="129"/>
        <v>#N/A</v>
      </c>
      <c r="Q346" s="115" t="e">
        <f t="shared" si="129"/>
        <v>#N/A</v>
      </c>
      <c r="R346" s="115" t="e">
        <f t="shared" si="129"/>
        <v>#N/A</v>
      </c>
      <c r="S346" s="115" t="e">
        <f t="shared" si="129"/>
        <v>#N/A</v>
      </c>
      <c r="T346" s="115" t="e">
        <f t="shared" si="129"/>
        <v>#N/A</v>
      </c>
      <c r="U346" s="115" t="e">
        <f t="shared" si="129"/>
        <v>#N/A</v>
      </c>
      <c r="V346" s="115" t="e">
        <f t="shared" si="129"/>
        <v>#N/A</v>
      </c>
      <c r="W346" s="115" t="e">
        <f t="shared" si="129"/>
        <v>#N/A</v>
      </c>
      <c r="X346" s="115" t="e">
        <f t="shared" si="129"/>
        <v>#N/A</v>
      </c>
      <c r="Y346" s="115" t="e">
        <f t="shared" si="129"/>
        <v>#N/A</v>
      </c>
      <c r="Z346" s="115" t="e">
        <f t="shared" si="129"/>
        <v>#N/A</v>
      </c>
      <c r="AA346" s="115" t="e">
        <f t="shared" si="129"/>
        <v>#N/A</v>
      </c>
      <c r="AB346" s="115" t="e">
        <f t="shared" si="129"/>
        <v>#N/A</v>
      </c>
      <c r="AC346" s="115" t="e">
        <f t="shared" si="129"/>
        <v>#N/A</v>
      </c>
      <c r="AD346" s="115" t="e">
        <f t="shared" si="129"/>
        <v>#N/A</v>
      </c>
      <c r="AE346" s="115" t="e">
        <f t="shared" si="129"/>
        <v>#N/A</v>
      </c>
      <c r="AF346" s="115" t="e">
        <f t="shared" si="129"/>
        <v>#N/A</v>
      </c>
      <c r="AG346" s="115" t="e">
        <f t="shared" si="129"/>
        <v>#N/A</v>
      </c>
      <c r="AH346" s="115" t="e">
        <f t="shared" si="129"/>
        <v>#N/A</v>
      </c>
      <c r="AI346" s="115" t="e">
        <f t="shared" si="129"/>
        <v>#N/A</v>
      </c>
      <c r="AJ346" s="115" t="e">
        <f t="shared" si="129"/>
        <v>#N/A</v>
      </c>
      <c r="AK346" s="115" t="e">
        <f t="shared" si="129"/>
        <v>#N/A</v>
      </c>
      <c r="AL346" s="115" t="e">
        <f t="shared" si="129"/>
        <v>#N/A</v>
      </c>
      <c r="AM346" s="115" t="e">
        <f t="shared" si="129"/>
        <v>#N/A</v>
      </c>
      <c r="AN346" s="115" t="e">
        <f t="shared" si="129"/>
        <v>#N/A</v>
      </c>
      <c r="AO346" s="115" t="e">
        <f t="shared" si="129"/>
        <v>#N/A</v>
      </c>
      <c r="AP346" s="115" t="e">
        <f t="shared" si="129"/>
        <v>#N/A</v>
      </c>
    </row>
    <row r="347" spans="1:42" x14ac:dyDescent="0.2">
      <c r="A347" s="22" t="s">
        <v>301</v>
      </c>
      <c r="B347" s="274">
        <f>SUM(IF(ISNUMBER(C347:AP347),C347:AP347))</f>
        <v>0</v>
      </c>
      <c r="C347" s="115">
        <f t="shared" ref="C347:AP347" si="130">IF(C2&lt;=analysis_period,C339/100*$Q$304,0)</f>
        <v>0</v>
      </c>
      <c r="D347" s="115">
        <f t="shared" si="130"/>
        <v>0</v>
      </c>
      <c r="E347" s="115">
        <f t="shared" si="130"/>
        <v>0</v>
      </c>
      <c r="F347" s="115">
        <f t="shared" si="130"/>
        <v>0</v>
      </c>
      <c r="G347" s="115">
        <f t="shared" si="130"/>
        <v>0</v>
      </c>
      <c r="H347" s="115">
        <f t="shared" si="130"/>
        <v>0</v>
      </c>
      <c r="I347" s="115">
        <f t="shared" si="130"/>
        <v>0</v>
      </c>
      <c r="J347" s="115">
        <f t="shared" si="130"/>
        <v>0</v>
      </c>
      <c r="K347" s="115">
        <f t="shared" si="130"/>
        <v>0</v>
      </c>
      <c r="L347" s="115">
        <f t="shared" si="130"/>
        <v>0</v>
      </c>
      <c r="M347" s="115">
        <f t="shared" si="130"/>
        <v>0</v>
      </c>
      <c r="N347" s="115">
        <f t="shared" si="130"/>
        <v>0</v>
      </c>
      <c r="O347" s="115">
        <f t="shared" si="130"/>
        <v>0</v>
      </c>
      <c r="P347" s="115">
        <f t="shared" si="130"/>
        <v>0</v>
      </c>
      <c r="Q347" s="115">
        <f t="shared" si="130"/>
        <v>0</v>
      </c>
      <c r="R347" s="115">
        <f t="shared" si="130"/>
        <v>0</v>
      </c>
      <c r="S347" s="115">
        <f t="shared" si="130"/>
        <v>0</v>
      </c>
      <c r="T347" s="115">
        <f t="shared" si="130"/>
        <v>0</v>
      </c>
      <c r="U347" s="115">
        <f t="shared" si="130"/>
        <v>0</v>
      </c>
      <c r="V347" s="115">
        <f t="shared" si="130"/>
        <v>0</v>
      </c>
      <c r="W347" s="115">
        <f t="shared" si="130"/>
        <v>0</v>
      </c>
      <c r="X347" s="115">
        <f t="shared" si="130"/>
        <v>0</v>
      </c>
      <c r="Y347" s="115">
        <f t="shared" si="130"/>
        <v>0</v>
      </c>
      <c r="Z347" s="115">
        <f t="shared" si="130"/>
        <v>0</v>
      </c>
      <c r="AA347" s="115">
        <f t="shared" si="130"/>
        <v>0</v>
      </c>
      <c r="AB347" s="115">
        <f t="shared" si="130"/>
        <v>0</v>
      </c>
      <c r="AC347" s="115">
        <f t="shared" si="130"/>
        <v>0</v>
      </c>
      <c r="AD347" s="115">
        <f t="shared" si="130"/>
        <v>0</v>
      </c>
      <c r="AE347" s="115">
        <f t="shared" si="130"/>
        <v>0</v>
      </c>
      <c r="AF347" s="115">
        <f t="shared" si="130"/>
        <v>0</v>
      </c>
      <c r="AG347" s="115">
        <f t="shared" si="130"/>
        <v>0</v>
      </c>
      <c r="AH347" s="115">
        <f t="shared" si="130"/>
        <v>0</v>
      </c>
      <c r="AI347" s="115">
        <f t="shared" si="130"/>
        <v>0</v>
      </c>
      <c r="AJ347" s="115">
        <f t="shared" si="130"/>
        <v>0</v>
      </c>
      <c r="AK347" s="115">
        <f t="shared" si="130"/>
        <v>0</v>
      </c>
      <c r="AL347" s="115">
        <f t="shared" si="130"/>
        <v>0</v>
      </c>
      <c r="AM347" s="115">
        <f t="shared" si="130"/>
        <v>0</v>
      </c>
      <c r="AN347" s="115">
        <f t="shared" si="130"/>
        <v>0</v>
      </c>
      <c r="AO347" s="115">
        <f t="shared" si="130"/>
        <v>0</v>
      </c>
      <c r="AP347" s="115">
        <f t="shared" si="130"/>
        <v>0</v>
      </c>
    </row>
    <row r="348" spans="1:42" x14ac:dyDescent="0.2">
      <c r="A348" s="22" t="s">
        <v>74</v>
      </c>
      <c r="B348" s="166">
        <f t="shared" ref="B348" si="131">SUM(C348:AP348)</f>
        <v>0</v>
      </c>
      <c r="C348" s="116">
        <f>P305</f>
        <v>0</v>
      </c>
      <c r="D348" s="116">
        <v>0</v>
      </c>
      <c r="E348" s="116">
        <v>0</v>
      </c>
      <c r="F348" s="116">
        <v>0</v>
      </c>
      <c r="G348" s="116">
        <v>0</v>
      </c>
      <c r="H348" s="116">
        <v>0</v>
      </c>
      <c r="I348" s="116">
        <v>0</v>
      </c>
      <c r="J348" s="116">
        <v>0</v>
      </c>
      <c r="K348" s="116">
        <v>0</v>
      </c>
      <c r="L348" s="116">
        <v>0</v>
      </c>
      <c r="M348" s="116">
        <v>0</v>
      </c>
      <c r="N348" s="116">
        <v>0</v>
      </c>
      <c r="O348" s="116">
        <v>0</v>
      </c>
      <c r="P348" s="116">
        <v>0</v>
      </c>
      <c r="Q348" s="116">
        <v>0</v>
      </c>
      <c r="R348" s="116">
        <v>0</v>
      </c>
      <c r="S348" s="116">
        <v>0</v>
      </c>
      <c r="T348" s="116">
        <v>0</v>
      </c>
      <c r="U348" s="116">
        <v>0</v>
      </c>
      <c r="V348" s="116">
        <v>0</v>
      </c>
      <c r="W348" s="116">
        <v>0</v>
      </c>
      <c r="X348" s="116">
        <v>0</v>
      </c>
      <c r="Y348" s="116">
        <v>0</v>
      </c>
      <c r="Z348" s="116">
        <v>0</v>
      </c>
      <c r="AA348" s="116">
        <v>0</v>
      </c>
      <c r="AB348" s="116">
        <v>0</v>
      </c>
      <c r="AC348" s="116">
        <v>0</v>
      </c>
      <c r="AD348" s="116">
        <v>0</v>
      </c>
      <c r="AE348" s="116">
        <v>0</v>
      </c>
      <c r="AF348" s="116">
        <v>0</v>
      </c>
      <c r="AG348" s="116">
        <v>0</v>
      </c>
      <c r="AH348" s="116">
        <v>0</v>
      </c>
      <c r="AI348" s="116">
        <v>0</v>
      </c>
      <c r="AJ348" s="116">
        <v>0</v>
      </c>
      <c r="AK348" s="116">
        <v>0</v>
      </c>
      <c r="AL348" s="116">
        <v>0</v>
      </c>
      <c r="AM348" s="116">
        <v>0</v>
      </c>
      <c r="AN348" s="116">
        <v>0</v>
      </c>
      <c r="AO348" s="116">
        <v>0</v>
      </c>
      <c r="AP348" s="116">
        <v>0</v>
      </c>
    </row>
    <row r="349" spans="1:42" x14ac:dyDescent="0.2">
      <c r="A349" s="21"/>
      <c r="B349" s="167">
        <f t="array" ref="B349">SUM(IF(ISNUMBER(C349:AP349),C349:AP349))</f>
        <v>0</v>
      </c>
      <c r="C349" s="115" t="e">
        <f>SUM(C341:C348)</f>
        <v>#N/A</v>
      </c>
      <c r="D349" s="115" t="e">
        <f>SUM(D341:D348)</f>
        <v>#N/A</v>
      </c>
      <c r="E349" s="115" t="e">
        <f t="shared" ref="E349:AP349" si="132">SUM(E341:E348)</f>
        <v>#N/A</v>
      </c>
      <c r="F349" s="115" t="e">
        <f t="shared" si="132"/>
        <v>#N/A</v>
      </c>
      <c r="G349" s="115" t="e">
        <f t="shared" si="132"/>
        <v>#N/A</v>
      </c>
      <c r="H349" s="115" t="e">
        <f t="shared" si="132"/>
        <v>#N/A</v>
      </c>
      <c r="I349" s="115" t="e">
        <f t="shared" si="132"/>
        <v>#N/A</v>
      </c>
      <c r="J349" s="115" t="e">
        <f t="shared" si="132"/>
        <v>#N/A</v>
      </c>
      <c r="K349" s="115" t="e">
        <f t="shared" si="132"/>
        <v>#N/A</v>
      </c>
      <c r="L349" s="115" t="e">
        <f t="shared" si="132"/>
        <v>#N/A</v>
      </c>
      <c r="M349" s="115" t="e">
        <f t="shared" si="132"/>
        <v>#N/A</v>
      </c>
      <c r="N349" s="115" t="e">
        <f t="shared" si="132"/>
        <v>#N/A</v>
      </c>
      <c r="O349" s="115" t="e">
        <f t="shared" si="132"/>
        <v>#N/A</v>
      </c>
      <c r="P349" s="115" t="e">
        <f t="shared" si="132"/>
        <v>#N/A</v>
      </c>
      <c r="Q349" s="115" t="e">
        <f t="shared" si="132"/>
        <v>#N/A</v>
      </c>
      <c r="R349" s="115" t="e">
        <f t="shared" si="132"/>
        <v>#N/A</v>
      </c>
      <c r="S349" s="115" t="e">
        <f t="shared" si="132"/>
        <v>#N/A</v>
      </c>
      <c r="T349" s="115" t="e">
        <f t="shared" si="132"/>
        <v>#N/A</v>
      </c>
      <c r="U349" s="115" t="e">
        <f t="shared" si="132"/>
        <v>#N/A</v>
      </c>
      <c r="V349" s="115" t="e">
        <f t="shared" si="132"/>
        <v>#N/A</v>
      </c>
      <c r="W349" s="115" t="e">
        <f t="shared" si="132"/>
        <v>#N/A</v>
      </c>
      <c r="X349" s="115" t="e">
        <f t="shared" si="132"/>
        <v>#N/A</v>
      </c>
      <c r="Y349" s="115" t="e">
        <f t="shared" si="132"/>
        <v>#N/A</v>
      </c>
      <c r="Z349" s="115" t="e">
        <f t="shared" si="132"/>
        <v>#N/A</v>
      </c>
      <c r="AA349" s="115" t="e">
        <f t="shared" si="132"/>
        <v>#N/A</v>
      </c>
      <c r="AB349" s="115" t="e">
        <f t="shared" si="132"/>
        <v>#N/A</v>
      </c>
      <c r="AC349" s="115" t="e">
        <f t="shared" si="132"/>
        <v>#N/A</v>
      </c>
      <c r="AD349" s="115" t="e">
        <f t="shared" si="132"/>
        <v>#N/A</v>
      </c>
      <c r="AE349" s="115" t="e">
        <f t="shared" si="132"/>
        <v>#N/A</v>
      </c>
      <c r="AF349" s="115" t="e">
        <f t="shared" si="132"/>
        <v>#N/A</v>
      </c>
      <c r="AG349" s="115" t="e">
        <f t="shared" si="132"/>
        <v>#N/A</v>
      </c>
      <c r="AH349" s="115" t="e">
        <f t="shared" si="132"/>
        <v>#N/A</v>
      </c>
      <c r="AI349" s="115" t="e">
        <f t="shared" si="132"/>
        <v>#N/A</v>
      </c>
      <c r="AJ349" s="115" t="e">
        <f t="shared" si="132"/>
        <v>#N/A</v>
      </c>
      <c r="AK349" s="115" t="e">
        <f t="shared" si="132"/>
        <v>#N/A</v>
      </c>
      <c r="AL349" s="115" t="e">
        <f t="shared" si="132"/>
        <v>#N/A</v>
      </c>
      <c r="AM349" s="115" t="e">
        <f t="shared" si="132"/>
        <v>#N/A</v>
      </c>
      <c r="AN349" s="115" t="e">
        <f t="shared" si="132"/>
        <v>#N/A</v>
      </c>
      <c r="AO349" s="115" t="e">
        <f t="shared" si="132"/>
        <v>#N/A</v>
      </c>
      <c r="AP349" s="115" t="e">
        <f t="shared" si="132"/>
        <v>#N/A</v>
      </c>
    </row>
    <row r="350" spans="1:42" x14ac:dyDescent="0.2">
      <c r="A350" s="21"/>
    </row>
    <row r="351" spans="1:42" x14ac:dyDescent="0.2">
      <c r="A351" s="84" t="s">
        <v>479</v>
      </c>
    </row>
    <row r="352" spans="1:42" x14ac:dyDescent="0.2">
      <c r="A352" s="21" t="s">
        <v>480</v>
      </c>
      <c r="B352" s="24" t="str">
        <f>equip_reserve_depr_sta</f>
        <v>5-yr MACRS</v>
      </c>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row>
    <row r="353" spans="1:42" x14ac:dyDescent="0.2">
      <c r="A353" s="21" t="s">
        <v>63</v>
      </c>
      <c r="B353" s="169">
        <f t="shared" ref="B353:AP353" si="133">B2</f>
        <v>0</v>
      </c>
      <c r="C353" s="169" t="str">
        <f t="shared" si="133"/>
        <v/>
      </c>
      <c r="D353" s="169" t="str">
        <f t="shared" si="133"/>
        <v/>
      </c>
      <c r="E353" s="169" t="str">
        <f t="shared" si="133"/>
        <v/>
      </c>
      <c r="F353" s="169" t="str">
        <f t="shared" si="133"/>
        <v/>
      </c>
      <c r="G353" s="169" t="str">
        <f t="shared" si="133"/>
        <v/>
      </c>
      <c r="H353" s="169" t="str">
        <f t="shared" si="133"/>
        <v/>
      </c>
      <c r="I353" s="169" t="str">
        <f t="shared" si="133"/>
        <v/>
      </c>
      <c r="J353" s="169" t="str">
        <f t="shared" si="133"/>
        <v/>
      </c>
      <c r="K353" s="169" t="str">
        <f t="shared" si="133"/>
        <v/>
      </c>
      <c r="L353" s="169" t="str">
        <f t="shared" si="133"/>
        <v/>
      </c>
      <c r="M353" s="169" t="str">
        <f t="shared" si="133"/>
        <v/>
      </c>
      <c r="N353" s="169" t="str">
        <f t="shared" si="133"/>
        <v/>
      </c>
      <c r="O353" s="169" t="str">
        <f t="shared" si="133"/>
        <v/>
      </c>
      <c r="P353" s="169" t="str">
        <f t="shared" si="133"/>
        <v/>
      </c>
      <c r="Q353" s="169" t="str">
        <f t="shared" si="133"/>
        <v/>
      </c>
      <c r="R353" s="169" t="str">
        <f t="shared" si="133"/>
        <v/>
      </c>
      <c r="S353" s="169" t="str">
        <f t="shared" si="133"/>
        <v/>
      </c>
      <c r="T353" s="169" t="str">
        <f t="shared" si="133"/>
        <v/>
      </c>
      <c r="U353" s="169" t="str">
        <f t="shared" si="133"/>
        <v/>
      </c>
      <c r="V353" s="169" t="str">
        <f t="shared" si="133"/>
        <v/>
      </c>
      <c r="W353" s="169" t="str">
        <f t="shared" si="133"/>
        <v/>
      </c>
      <c r="X353" s="169" t="str">
        <f t="shared" si="133"/>
        <v/>
      </c>
      <c r="Y353" s="169" t="str">
        <f t="shared" si="133"/>
        <v/>
      </c>
      <c r="Z353" s="169" t="str">
        <f t="shared" si="133"/>
        <v/>
      </c>
      <c r="AA353" s="169" t="str">
        <f t="shared" si="133"/>
        <v/>
      </c>
      <c r="AB353" s="169" t="str">
        <f t="shared" si="133"/>
        <v/>
      </c>
      <c r="AC353" s="169" t="str">
        <f t="shared" si="133"/>
        <v/>
      </c>
      <c r="AD353" s="169" t="str">
        <f t="shared" si="133"/>
        <v/>
      </c>
      <c r="AE353" s="169" t="str">
        <f t="shared" si="133"/>
        <v/>
      </c>
      <c r="AF353" s="169" t="str">
        <f t="shared" si="133"/>
        <v/>
      </c>
      <c r="AG353" s="169" t="str">
        <f t="shared" si="133"/>
        <v/>
      </c>
      <c r="AH353" s="169" t="str">
        <f t="shared" si="133"/>
        <v/>
      </c>
      <c r="AI353" s="169" t="str">
        <f t="shared" si="133"/>
        <v/>
      </c>
      <c r="AJ353" s="169" t="str">
        <f t="shared" si="133"/>
        <v/>
      </c>
      <c r="AK353" s="169" t="str">
        <f t="shared" si="133"/>
        <v/>
      </c>
      <c r="AL353" s="169" t="str">
        <f t="shared" si="133"/>
        <v/>
      </c>
      <c r="AM353" s="169" t="str">
        <f t="shared" si="133"/>
        <v/>
      </c>
      <c r="AN353" s="169" t="str">
        <f t="shared" si="133"/>
        <v/>
      </c>
      <c r="AO353" s="169" t="str">
        <f t="shared" si="133"/>
        <v/>
      </c>
      <c r="AP353" s="169" t="str">
        <f t="shared" si="133"/>
        <v/>
      </c>
    </row>
    <row r="354" spans="1:42" x14ac:dyDescent="0.2">
      <c r="A354" s="21" t="s">
        <v>170</v>
      </c>
      <c r="B354" s="168">
        <v>0</v>
      </c>
      <c r="C354" s="161" t="e">
        <f t="shared" ref="C354:AP354" si="134">IF($B$352=$A333,C333,0)+IF($B$352=$A334,C334,0)+IF($B$352=$A335,C335,0)+IF($B$352=$A336,C336,0)+IF($B$352=$A337,C337,0)+IF($B$352=$A338,C338,0)</f>
        <v>#N/A</v>
      </c>
      <c r="D354" s="161" t="e">
        <f t="shared" si="134"/>
        <v>#N/A</v>
      </c>
      <c r="E354" s="161" t="e">
        <f t="shared" si="134"/>
        <v>#N/A</v>
      </c>
      <c r="F354" s="161" t="e">
        <f t="shared" si="134"/>
        <v>#N/A</v>
      </c>
      <c r="G354" s="161" t="e">
        <f t="shared" si="134"/>
        <v>#N/A</v>
      </c>
      <c r="H354" s="161" t="e">
        <f t="shared" si="134"/>
        <v>#N/A</v>
      </c>
      <c r="I354" s="161" t="e">
        <f t="shared" si="134"/>
        <v>#N/A</v>
      </c>
      <c r="J354" s="161" t="e">
        <f t="shared" si="134"/>
        <v>#N/A</v>
      </c>
      <c r="K354" s="161" t="e">
        <f t="shared" si="134"/>
        <v>#N/A</v>
      </c>
      <c r="L354" s="161" t="e">
        <f t="shared" si="134"/>
        <v>#N/A</v>
      </c>
      <c r="M354" s="161" t="e">
        <f t="shared" si="134"/>
        <v>#N/A</v>
      </c>
      <c r="N354" s="161" t="e">
        <f t="shared" si="134"/>
        <v>#N/A</v>
      </c>
      <c r="O354" s="161" t="e">
        <f t="shared" si="134"/>
        <v>#N/A</v>
      </c>
      <c r="P354" s="161" t="e">
        <f t="shared" si="134"/>
        <v>#N/A</v>
      </c>
      <c r="Q354" s="161" t="e">
        <f t="shared" si="134"/>
        <v>#N/A</v>
      </c>
      <c r="R354" s="161" t="e">
        <f t="shared" si="134"/>
        <v>#N/A</v>
      </c>
      <c r="S354" s="161" t="e">
        <f t="shared" si="134"/>
        <v>#N/A</v>
      </c>
      <c r="T354" s="161" t="e">
        <f t="shared" si="134"/>
        <v>#N/A</v>
      </c>
      <c r="U354" s="161" t="e">
        <f t="shared" si="134"/>
        <v>#N/A</v>
      </c>
      <c r="V354" s="161" t="e">
        <f t="shared" si="134"/>
        <v>#N/A</v>
      </c>
      <c r="W354" s="161" t="e">
        <f t="shared" si="134"/>
        <v>#N/A</v>
      </c>
      <c r="X354" s="161" t="e">
        <f t="shared" si="134"/>
        <v>#N/A</v>
      </c>
      <c r="Y354" s="161" t="e">
        <f t="shared" si="134"/>
        <v>#N/A</v>
      </c>
      <c r="Z354" s="161" t="e">
        <f t="shared" si="134"/>
        <v>#N/A</v>
      </c>
      <c r="AA354" s="161" t="e">
        <f t="shared" si="134"/>
        <v>#N/A</v>
      </c>
      <c r="AB354" s="161" t="e">
        <f t="shared" si="134"/>
        <v>#N/A</v>
      </c>
      <c r="AC354" s="161" t="e">
        <f t="shared" si="134"/>
        <v>#N/A</v>
      </c>
      <c r="AD354" s="161" t="e">
        <f t="shared" si="134"/>
        <v>#N/A</v>
      </c>
      <c r="AE354" s="161" t="e">
        <f t="shared" si="134"/>
        <v>#N/A</v>
      </c>
      <c r="AF354" s="161" t="e">
        <f t="shared" si="134"/>
        <v>#N/A</v>
      </c>
      <c r="AG354" s="161" t="e">
        <f t="shared" si="134"/>
        <v>#N/A</v>
      </c>
      <c r="AH354" s="161" t="e">
        <f t="shared" si="134"/>
        <v>#N/A</v>
      </c>
      <c r="AI354" s="161" t="e">
        <f t="shared" si="134"/>
        <v>#N/A</v>
      </c>
      <c r="AJ354" s="161" t="e">
        <f t="shared" si="134"/>
        <v>#N/A</v>
      </c>
      <c r="AK354" s="161" t="e">
        <f t="shared" si="134"/>
        <v>#N/A</v>
      </c>
      <c r="AL354" s="161" t="e">
        <f t="shared" si="134"/>
        <v>#N/A</v>
      </c>
      <c r="AM354" s="161" t="e">
        <f t="shared" si="134"/>
        <v>#N/A</v>
      </c>
      <c r="AN354" s="161" t="e">
        <f t="shared" si="134"/>
        <v>#N/A</v>
      </c>
      <c r="AO354" s="161" t="e">
        <f t="shared" si="134"/>
        <v>#N/A</v>
      </c>
      <c r="AP354" s="161" t="e">
        <f t="shared" si="134"/>
        <v>#N/A</v>
      </c>
    </row>
    <row r="355" spans="1:42" x14ac:dyDescent="0.2">
      <c r="A355" s="21"/>
      <c r="B355" s="25"/>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row>
    <row r="356" spans="1:42" x14ac:dyDescent="0.2">
      <c r="A356" s="21" t="s">
        <v>75</v>
      </c>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row>
    <row r="357" spans="1:42" x14ac:dyDescent="0.2">
      <c r="A357" s="85" t="s">
        <v>62</v>
      </c>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row>
    <row r="358" spans="1:42" x14ac:dyDescent="0.2">
      <c r="A358" s="4">
        <v>1</v>
      </c>
      <c r="B358" s="4">
        <v>0</v>
      </c>
      <c r="C358" s="152">
        <f>IF(C$2&lt;=analysis_period,IF(SUM($C694:C694)&gt;0,B358+1,0),0)</f>
        <v>0</v>
      </c>
      <c r="D358" s="152">
        <f>IF(D$2&lt;=analysis_period,IF(SUM($C694:D694)&gt;0,C358+1,0),0)</f>
        <v>0</v>
      </c>
      <c r="E358" s="152">
        <f>IF(E$2&lt;=analysis_period,IF(SUM($C694:E694)&gt;0,D358+1,0),0)</f>
        <v>0</v>
      </c>
      <c r="F358" s="152">
        <f>IF(F$2&lt;=analysis_period,IF(SUM($C694:F694)&gt;0,E358+1,0),0)</f>
        <v>0</v>
      </c>
      <c r="G358" s="152">
        <f>IF(G$2&lt;=analysis_period,IF(SUM($C694:G694)&gt;0,F358+1,0),0)</f>
        <v>0</v>
      </c>
      <c r="H358" s="152">
        <f>IF(H$2&lt;=analysis_period,IF(SUM($C694:H694)&gt;0,G358+1,0),0)</f>
        <v>0</v>
      </c>
      <c r="I358" s="152">
        <f>IF(I$2&lt;=analysis_period,IF(SUM($C694:I694)&gt;0,H358+1,0),0)</f>
        <v>0</v>
      </c>
      <c r="J358" s="152">
        <f>IF(J$2&lt;=analysis_period,IF(SUM($C694:J694)&gt;0,I358+1,0),0)</f>
        <v>0</v>
      </c>
      <c r="K358" s="152">
        <f>IF(K$2&lt;=analysis_period,IF(SUM($C694:K694)&gt;0,J358+1,0),0)</f>
        <v>0</v>
      </c>
      <c r="L358" s="152">
        <f>IF(L$2&lt;=analysis_period,IF(SUM($C694:L694)&gt;0,K358+1,0),0)</f>
        <v>0</v>
      </c>
      <c r="M358" s="152">
        <f>IF(M$2&lt;=analysis_period,IF(SUM($C694:M694)&gt;0,L358+1,0),0)</f>
        <v>0</v>
      </c>
      <c r="N358" s="152">
        <f>IF(N$2&lt;=analysis_period,IF(SUM($C694:N694)&gt;0,M358+1,0),0)</f>
        <v>0</v>
      </c>
      <c r="O358" s="152">
        <f>IF(O$2&lt;=analysis_period,IF(SUM($C694:O694)&gt;0,N358+1,0),0)</f>
        <v>0</v>
      </c>
      <c r="P358" s="152">
        <f>IF(P$2&lt;=analysis_period,IF(SUM($C694:P694)&gt;0,O358+1,0),0)</f>
        <v>0</v>
      </c>
      <c r="Q358" s="152">
        <f>IF(Q$2&lt;=analysis_period,IF(SUM($C694:Q694)&gt;0,P358+1,0),0)</f>
        <v>0</v>
      </c>
      <c r="R358" s="152">
        <f>IF(R$2&lt;=analysis_period,IF(SUM($C694:R694)&gt;0,Q358+1,0),0)</f>
        <v>0</v>
      </c>
      <c r="S358" s="152">
        <f>IF(S$2&lt;=analysis_period,IF(SUM($C694:S694)&gt;0,R358+1,0),0)</f>
        <v>0</v>
      </c>
      <c r="T358" s="152">
        <f>IF(T$2&lt;=analysis_period,IF(SUM($C694:T694)&gt;0,S358+1,0),0)</f>
        <v>0</v>
      </c>
      <c r="U358" s="152">
        <f>IF(U$2&lt;=analysis_period,IF(SUM($C694:U694)&gt;0,T358+1,0),0)</f>
        <v>0</v>
      </c>
      <c r="V358" s="152">
        <f>IF(V$2&lt;=analysis_period,IF(SUM($C694:V694)&gt;0,U358+1,0),0)</f>
        <v>0</v>
      </c>
      <c r="W358" s="152">
        <f>IF(W$2&lt;=analysis_period,IF(SUM($C694:W694)&gt;0,V358+1,0),0)</f>
        <v>0</v>
      </c>
      <c r="X358" s="152">
        <f>IF(X$2&lt;=analysis_period,IF(SUM($C694:X694)&gt;0,W358+1,0),0)</f>
        <v>0</v>
      </c>
      <c r="Y358" s="152">
        <f>IF(Y$2&lt;=analysis_period,IF(SUM($C694:Y694)&gt;0,X358+1,0),0)</f>
        <v>0</v>
      </c>
      <c r="Z358" s="152">
        <f>IF(Z$2&lt;=analysis_period,IF(SUM($C694:Z694)&gt;0,Y358+1,0),0)</f>
        <v>0</v>
      </c>
      <c r="AA358" s="152">
        <f>IF(AA$2&lt;=analysis_period,IF(SUM($C694:AA694)&gt;0,Z358+1,0),0)</f>
        <v>0</v>
      </c>
      <c r="AB358" s="152">
        <f>IF(AB$2&lt;=analysis_period,IF(SUM($C694:AB694)&gt;0,AA358+1,0),0)</f>
        <v>0</v>
      </c>
      <c r="AC358" s="152">
        <f>IF(AC$2&lt;=analysis_period,IF(SUM($C694:AC694)&gt;0,AB358+1,0),0)</f>
        <v>0</v>
      </c>
      <c r="AD358" s="152">
        <f>IF(AD$2&lt;=analysis_period,IF(SUM($C694:AD694)&gt;0,AC358+1,0),0)</f>
        <v>0</v>
      </c>
      <c r="AE358" s="152">
        <f>IF(AE$2&lt;=analysis_period,IF(SUM($C694:AE694)&gt;0,AD358+1,0),0)</f>
        <v>0</v>
      </c>
      <c r="AF358" s="152">
        <f>IF(AF$2&lt;=analysis_period,IF(SUM($C694:AF694)&gt;0,AE358+1,0),0)</f>
        <v>0</v>
      </c>
      <c r="AG358" s="152">
        <f>IF(AG$2&lt;=analysis_period,IF(SUM($C694:AG694)&gt;0,AF358+1,0),0)</f>
        <v>0</v>
      </c>
      <c r="AH358" s="152">
        <f>IF(AH$2&lt;=analysis_period,IF(SUM($C694:AH694)&gt;0,AG358+1,0),0)</f>
        <v>0</v>
      </c>
      <c r="AI358" s="152">
        <f>IF(AI$2&lt;=analysis_period,IF(SUM($C694:AI694)&gt;0,AH358+1,0),0)</f>
        <v>0</v>
      </c>
      <c r="AJ358" s="152">
        <f>IF(AJ$2&lt;=analysis_period,IF(SUM($C694:AJ694)&gt;0,AI358+1,0),0)</f>
        <v>0</v>
      </c>
      <c r="AK358" s="152">
        <f>IF(AK$2&lt;=analysis_period,IF(SUM($C694:AK694)&gt;0,AJ358+1,0),0)</f>
        <v>0</v>
      </c>
      <c r="AL358" s="152">
        <f>IF(AL$2&lt;=analysis_period,IF(SUM($C694:AL694)&gt;0,AK358+1,0),0)</f>
        <v>0</v>
      </c>
      <c r="AM358" s="152">
        <f>IF(AM$2&lt;=analysis_period,IF(SUM($C694:AM694)&gt;0,AL358+1,0),0)</f>
        <v>0</v>
      </c>
      <c r="AN358" s="152">
        <f>IF(AN$2&lt;=analysis_period,IF(SUM($C694:AN694)&gt;0,AM358+1,0),0)</f>
        <v>0</v>
      </c>
      <c r="AO358" s="152">
        <f>IF(AO$2&lt;=analysis_period,IF(SUM($C694:AO694)&gt;0,AN358+1,0),0)</f>
        <v>0</v>
      </c>
      <c r="AP358" s="152">
        <f>IF(AP$2&lt;=analysis_period,IF(SUM($C694:AP694)&gt;0,AO358+1,0),0)</f>
        <v>0</v>
      </c>
    </row>
    <row r="359" spans="1:42" x14ac:dyDescent="0.2">
      <c r="A359" s="4">
        <f>A358+1</f>
        <v>2</v>
      </c>
      <c r="B359" s="4">
        <v>0</v>
      </c>
      <c r="C359" s="152">
        <f>IF(C$2&lt;=analysis_period,IF(SUM($C695:C695)&gt;0,B359+1,0),0)</f>
        <v>0</v>
      </c>
      <c r="D359" s="152">
        <f>IF(D$2&lt;=analysis_period,IF(SUM($C695:D695)&gt;0,C359+1,0),0)</f>
        <v>0</v>
      </c>
      <c r="E359" s="152">
        <f>IF(E$2&lt;=analysis_period,IF(SUM($C695:E695)&gt;0,D359+1,0),0)</f>
        <v>0</v>
      </c>
      <c r="F359" s="152">
        <f>IF(F$2&lt;=analysis_period,IF(SUM($C695:F695)&gt;0,E359+1,0),0)</f>
        <v>0</v>
      </c>
      <c r="G359" s="152">
        <f>IF(G$2&lt;=analysis_period,IF(SUM($C695:G695)&gt;0,F359+1,0),0)</f>
        <v>0</v>
      </c>
      <c r="H359" s="152">
        <f>IF(H$2&lt;=analysis_period,IF(SUM($C695:H695)&gt;0,G359+1,0),0)</f>
        <v>0</v>
      </c>
      <c r="I359" s="152">
        <f>IF(I$2&lt;=analysis_period,IF(SUM($C695:I695)&gt;0,H359+1,0),0)</f>
        <v>0</v>
      </c>
      <c r="J359" s="152">
        <f>IF(J$2&lt;=analysis_period,IF(SUM($C695:J695)&gt;0,I359+1,0),0)</f>
        <v>0</v>
      </c>
      <c r="K359" s="152">
        <f>IF(K$2&lt;=analysis_period,IF(SUM($C695:K695)&gt;0,J359+1,0),0)</f>
        <v>0</v>
      </c>
      <c r="L359" s="152">
        <f>IF(L$2&lt;=analysis_period,IF(SUM($C695:L695)&gt;0,K359+1,0),0)</f>
        <v>0</v>
      </c>
      <c r="M359" s="152">
        <f>IF(M$2&lt;=analysis_period,IF(SUM($C695:M695)&gt;0,L359+1,0),0)</f>
        <v>0</v>
      </c>
      <c r="N359" s="152">
        <f>IF(N$2&lt;=analysis_period,IF(SUM($C695:N695)&gt;0,M359+1,0),0)</f>
        <v>0</v>
      </c>
      <c r="O359" s="152">
        <f>IF(O$2&lt;=analysis_period,IF(SUM($C695:O695)&gt;0,N359+1,0),0)</f>
        <v>0</v>
      </c>
      <c r="P359" s="152">
        <f>IF(P$2&lt;=analysis_period,IF(SUM($C695:P695)&gt;0,O359+1,0),0)</f>
        <v>0</v>
      </c>
      <c r="Q359" s="152">
        <f>IF(Q$2&lt;=analysis_period,IF(SUM($C695:Q695)&gt;0,P359+1,0),0)</f>
        <v>0</v>
      </c>
      <c r="R359" s="152">
        <f>IF(R$2&lt;=analysis_period,IF(SUM($C695:R695)&gt;0,Q359+1,0),0)</f>
        <v>0</v>
      </c>
      <c r="S359" s="152">
        <f>IF(S$2&lt;=analysis_period,IF(SUM($C695:S695)&gt;0,R359+1,0),0)</f>
        <v>0</v>
      </c>
      <c r="T359" s="152">
        <f>IF(T$2&lt;=analysis_period,IF(SUM($C695:T695)&gt;0,S359+1,0),0)</f>
        <v>0</v>
      </c>
      <c r="U359" s="152">
        <f>IF(U$2&lt;=analysis_period,IF(SUM($C695:U695)&gt;0,T359+1,0),0)</f>
        <v>0</v>
      </c>
      <c r="V359" s="152">
        <f>IF(V$2&lt;=analysis_period,IF(SUM($C695:V695)&gt;0,U359+1,0),0)</f>
        <v>0</v>
      </c>
      <c r="W359" s="152">
        <f>IF(W$2&lt;=analysis_period,IF(SUM($C695:W695)&gt;0,V359+1,0),0)</f>
        <v>0</v>
      </c>
      <c r="X359" s="152">
        <f>IF(X$2&lt;=analysis_period,IF(SUM($C695:X695)&gt;0,W359+1,0),0)</f>
        <v>0</v>
      </c>
      <c r="Y359" s="152">
        <f>IF(Y$2&lt;=analysis_period,IF(SUM($C695:Y695)&gt;0,X359+1,0),0)</f>
        <v>0</v>
      </c>
      <c r="Z359" s="152">
        <f>IF(Z$2&lt;=analysis_period,IF(SUM($C695:Z695)&gt;0,Y359+1,0),0)</f>
        <v>0</v>
      </c>
      <c r="AA359" s="152">
        <f>IF(AA$2&lt;=analysis_period,IF(SUM($C695:AA695)&gt;0,Z359+1,0),0)</f>
        <v>0</v>
      </c>
      <c r="AB359" s="152">
        <f>IF(AB$2&lt;=analysis_period,IF(SUM($C695:AB695)&gt;0,AA359+1,0),0)</f>
        <v>0</v>
      </c>
      <c r="AC359" s="152">
        <f>IF(AC$2&lt;=analysis_period,IF(SUM($C695:AC695)&gt;0,AB359+1,0),0)</f>
        <v>0</v>
      </c>
      <c r="AD359" s="152">
        <f>IF(AD$2&lt;=analysis_period,IF(SUM($C695:AD695)&gt;0,AC359+1,0),0)</f>
        <v>0</v>
      </c>
      <c r="AE359" s="152">
        <f>IF(AE$2&lt;=analysis_period,IF(SUM($C695:AE695)&gt;0,AD359+1,0),0)</f>
        <v>0</v>
      </c>
      <c r="AF359" s="152">
        <f>IF(AF$2&lt;=analysis_period,IF(SUM($C695:AF695)&gt;0,AE359+1,0),0)</f>
        <v>0</v>
      </c>
      <c r="AG359" s="152">
        <f>IF(AG$2&lt;=analysis_period,IF(SUM($C695:AG695)&gt;0,AF359+1,0),0)</f>
        <v>0</v>
      </c>
      <c r="AH359" s="152">
        <f>IF(AH$2&lt;=analysis_period,IF(SUM($C695:AH695)&gt;0,AG359+1,0),0)</f>
        <v>0</v>
      </c>
      <c r="AI359" s="152">
        <f>IF(AI$2&lt;=analysis_period,IF(SUM($C695:AI695)&gt;0,AH359+1,0),0)</f>
        <v>0</v>
      </c>
      <c r="AJ359" s="152">
        <f>IF(AJ$2&lt;=analysis_period,IF(SUM($C695:AJ695)&gt;0,AI359+1,0),0)</f>
        <v>0</v>
      </c>
      <c r="AK359" s="152">
        <f>IF(AK$2&lt;=analysis_period,IF(SUM($C695:AK695)&gt;0,AJ359+1,0),0)</f>
        <v>0</v>
      </c>
      <c r="AL359" s="152">
        <f>IF(AL$2&lt;=analysis_period,IF(SUM($C695:AL695)&gt;0,AK359+1,0),0)</f>
        <v>0</v>
      </c>
      <c r="AM359" s="152">
        <f>IF(AM$2&lt;=analysis_period,IF(SUM($C695:AM695)&gt;0,AL359+1,0),0)</f>
        <v>0</v>
      </c>
      <c r="AN359" s="152">
        <f>IF(AN$2&lt;=analysis_period,IF(SUM($C695:AN695)&gt;0,AM359+1,0),0)</f>
        <v>0</v>
      </c>
      <c r="AO359" s="152">
        <f>IF(AO$2&lt;=analysis_period,IF(SUM($C695:AO695)&gt;0,AN359+1,0),0)</f>
        <v>0</v>
      </c>
      <c r="AP359" s="152">
        <f>IF(AP$2&lt;=analysis_period,IF(SUM($C695:AP695)&gt;0,AO359+1,0),0)</f>
        <v>0</v>
      </c>
    </row>
    <row r="360" spans="1:42" x14ac:dyDescent="0.2">
      <c r="A360" s="4">
        <f t="shared" ref="A360:A367" si="135">A359+1</f>
        <v>3</v>
      </c>
      <c r="B360" s="4">
        <v>0</v>
      </c>
      <c r="C360" s="152">
        <f>IF(C$2&lt;=analysis_period,IF(SUM($C696:C696)&gt;0,B360+1,0),0)</f>
        <v>0</v>
      </c>
      <c r="D360" s="152">
        <f>IF(D$2&lt;=analysis_period,IF(SUM($C696:D696)&gt;0,C360+1,0),0)</f>
        <v>0</v>
      </c>
      <c r="E360" s="152">
        <f>IF(E$2&lt;=analysis_period,IF(SUM($C696:E696)&gt;0,D360+1,0),0)</f>
        <v>0</v>
      </c>
      <c r="F360" s="152">
        <f>IF(F$2&lt;=analysis_period,IF(SUM($C696:F696)&gt;0,E360+1,0),0)</f>
        <v>0</v>
      </c>
      <c r="G360" s="152">
        <f>IF(G$2&lt;=analysis_period,IF(SUM($C696:G696)&gt;0,F360+1,0),0)</f>
        <v>0</v>
      </c>
      <c r="H360" s="152">
        <f>IF(H$2&lt;=analysis_period,IF(SUM($C696:H696)&gt;0,G360+1,0),0)</f>
        <v>0</v>
      </c>
      <c r="I360" s="152">
        <f>IF(I$2&lt;=analysis_period,IF(SUM($C696:I696)&gt;0,H360+1,0),0)</f>
        <v>0</v>
      </c>
      <c r="J360" s="152">
        <f>IF(J$2&lt;=analysis_period,IF(SUM($C696:J696)&gt;0,I360+1,0),0)</f>
        <v>0</v>
      </c>
      <c r="K360" s="152">
        <f>IF(K$2&lt;=analysis_period,IF(SUM($C696:K696)&gt;0,J360+1,0),0)</f>
        <v>0</v>
      </c>
      <c r="L360" s="152">
        <f>IF(L$2&lt;=analysis_period,IF(SUM($C696:L696)&gt;0,K360+1,0),0)</f>
        <v>0</v>
      </c>
      <c r="M360" s="152">
        <f>IF(M$2&lt;=analysis_period,IF(SUM($C696:M696)&gt;0,L360+1,0),0)</f>
        <v>0</v>
      </c>
      <c r="N360" s="152">
        <f>IF(N$2&lt;=analysis_period,IF(SUM($C696:N696)&gt;0,M360+1,0),0)</f>
        <v>0</v>
      </c>
      <c r="O360" s="152">
        <f>IF(O$2&lt;=analysis_period,IF(SUM($C696:O696)&gt;0,N360+1,0),0)</f>
        <v>0</v>
      </c>
      <c r="P360" s="152">
        <f>IF(P$2&lt;=analysis_period,IF(SUM($C696:P696)&gt;0,O360+1,0),0)</f>
        <v>0</v>
      </c>
      <c r="Q360" s="152">
        <f>IF(Q$2&lt;=analysis_period,IF(SUM($C696:Q696)&gt;0,P360+1,0),0)</f>
        <v>0</v>
      </c>
      <c r="R360" s="152">
        <f>IF(R$2&lt;=analysis_period,IF(SUM($C696:R696)&gt;0,Q360+1,0),0)</f>
        <v>0</v>
      </c>
      <c r="S360" s="152">
        <f>IF(S$2&lt;=analysis_period,IF(SUM($C696:S696)&gt;0,R360+1,0),0)</f>
        <v>0</v>
      </c>
      <c r="T360" s="152">
        <f>IF(T$2&lt;=analysis_period,IF(SUM($C696:T696)&gt;0,S360+1,0),0)</f>
        <v>0</v>
      </c>
      <c r="U360" s="152">
        <f>IF(U$2&lt;=analysis_period,IF(SUM($C696:U696)&gt;0,T360+1,0),0)</f>
        <v>0</v>
      </c>
      <c r="V360" s="152">
        <f>IF(V$2&lt;=analysis_period,IF(SUM($C696:V696)&gt;0,U360+1,0),0)</f>
        <v>0</v>
      </c>
      <c r="W360" s="152">
        <f>IF(W$2&lt;=analysis_period,IF(SUM($C696:W696)&gt;0,V360+1,0),0)</f>
        <v>0</v>
      </c>
      <c r="X360" s="152">
        <f>IF(X$2&lt;=analysis_period,IF(SUM($C696:X696)&gt;0,W360+1,0),0)</f>
        <v>0</v>
      </c>
      <c r="Y360" s="152">
        <f>IF(Y$2&lt;=analysis_period,IF(SUM($C696:Y696)&gt;0,X360+1,0),0)</f>
        <v>0</v>
      </c>
      <c r="Z360" s="152">
        <f>IF(Z$2&lt;=analysis_period,IF(SUM($C696:Z696)&gt;0,Y360+1,0),0)</f>
        <v>0</v>
      </c>
      <c r="AA360" s="152">
        <f>IF(AA$2&lt;=analysis_period,IF(SUM($C696:AA696)&gt;0,Z360+1,0),0)</f>
        <v>0</v>
      </c>
      <c r="AB360" s="152">
        <f>IF(AB$2&lt;=analysis_period,IF(SUM($C696:AB696)&gt;0,AA360+1,0),0)</f>
        <v>0</v>
      </c>
      <c r="AC360" s="152">
        <f>IF(AC$2&lt;=analysis_period,IF(SUM($C696:AC696)&gt;0,AB360+1,0),0)</f>
        <v>0</v>
      </c>
      <c r="AD360" s="152">
        <f>IF(AD$2&lt;=analysis_period,IF(SUM($C696:AD696)&gt;0,AC360+1,0),0)</f>
        <v>0</v>
      </c>
      <c r="AE360" s="152">
        <f>IF(AE$2&lt;=analysis_period,IF(SUM($C696:AE696)&gt;0,AD360+1,0),0)</f>
        <v>0</v>
      </c>
      <c r="AF360" s="152">
        <f>IF(AF$2&lt;=analysis_period,IF(SUM($C696:AF696)&gt;0,AE360+1,0),0)</f>
        <v>0</v>
      </c>
      <c r="AG360" s="152">
        <f>IF(AG$2&lt;=analysis_period,IF(SUM($C696:AG696)&gt;0,AF360+1,0),0)</f>
        <v>0</v>
      </c>
      <c r="AH360" s="152">
        <f>IF(AH$2&lt;=analysis_period,IF(SUM($C696:AH696)&gt;0,AG360+1,0),0)</f>
        <v>0</v>
      </c>
      <c r="AI360" s="152">
        <f>IF(AI$2&lt;=analysis_period,IF(SUM($C696:AI696)&gt;0,AH360+1,0),0)</f>
        <v>0</v>
      </c>
      <c r="AJ360" s="152">
        <f>IF(AJ$2&lt;=analysis_period,IF(SUM($C696:AJ696)&gt;0,AI360+1,0),0)</f>
        <v>0</v>
      </c>
      <c r="AK360" s="152">
        <f>IF(AK$2&lt;=analysis_period,IF(SUM($C696:AK696)&gt;0,AJ360+1,0),0)</f>
        <v>0</v>
      </c>
      <c r="AL360" s="152">
        <f>IF(AL$2&lt;=analysis_period,IF(SUM($C696:AL696)&gt;0,AK360+1,0),0)</f>
        <v>0</v>
      </c>
      <c r="AM360" s="152">
        <f>IF(AM$2&lt;=analysis_period,IF(SUM($C696:AM696)&gt;0,AL360+1,0),0)</f>
        <v>0</v>
      </c>
      <c r="AN360" s="152">
        <f>IF(AN$2&lt;=analysis_period,IF(SUM($C696:AN696)&gt;0,AM360+1,0),0)</f>
        <v>0</v>
      </c>
      <c r="AO360" s="152">
        <f>IF(AO$2&lt;=analysis_period,IF(SUM($C696:AO696)&gt;0,AN360+1,0),0)</f>
        <v>0</v>
      </c>
      <c r="AP360" s="152">
        <f>IF(AP$2&lt;=analysis_period,IF(SUM($C696:AP696)&gt;0,AO360+1,0),0)</f>
        <v>0</v>
      </c>
    </row>
    <row r="361" spans="1:42" x14ac:dyDescent="0.2">
      <c r="A361" s="4">
        <f t="shared" si="135"/>
        <v>4</v>
      </c>
      <c r="B361" s="4">
        <v>0</v>
      </c>
      <c r="C361" s="152">
        <f>IF(C$2&lt;=analysis_period,IF(SUM($C697:C697)&gt;0,B361+1,0),0)</f>
        <v>0</v>
      </c>
      <c r="D361" s="152">
        <f>IF(D$2&lt;=analysis_period,IF(SUM($C697:D697)&gt;0,C361+1,0),0)</f>
        <v>0</v>
      </c>
      <c r="E361" s="152">
        <f>IF(E$2&lt;=analysis_period,IF(SUM($C697:E697)&gt;0,D361+1,0),0)</f>
        <v>0</v>
      </c>
      <c r="F361" s="152">
        <f>IF(F$2&lt;=analysis_period,IF(SUM($C697:F697)&gt;0,E361+1,0),0)</f>
        <v>0</v>
      </c>
      <c r="G361" s="152">
        <f>IF(G$2&lt;=analysis_period,IF(SUM($C697:G697)&gt;0,F361+1,0),0)</f>
        <v>0</v>
      </c>
      <c r="H361" s="152">
        <f>IF(H$2&lt;=analysis_period,IF(SUM($C697:H697)&gt;0,G361+1,0),0)</f>
        <v>0</v>
      </c>
      <c r="I361" s="152">
        <f>IF(I$2&lt;=analysis_period,IF(SUM($C697:I697)&gt;0,H361+1,0),0)</f>
        <v>0</v>
      </c>
      <c r="J361" s="152">
        <f>IF(J$2&lt;=analysis_period,IF(SUM($C697:J697)&gt;0,I361+1,0),0)</f>
        <v>0</v>
      </c>
      <c r="K361" s="152">
        <f>IF(K$2&lt;=analysis_period,IF(SUM($C697:K697)&gt;0,J361+1,0),0)</f>
        <v>0</v>
      </c>
      <c r="L361" s="152">
        <f>IF(L$2&lt;=analysis_period,IF(SUM($C697:L697)&gt;0,K361+1,0),0)</f>
        <v>0</v>
      </c>
      <c r="M361" s="152">
        <f>IF(M$2&lt;=analysis_period,IF(SUM($C697:M697)&gt;0,L361+1,0),0)</f>
        <v>0</v>
      </c>
      <c r="N361" s="152">
        <f>IF(N$2&lt;=analysis_period,IF(SUM($C697:N697)&gt;0,M361+1,0),0)</f>
        <v>0</v>
      </c>
      <c r="O361" s="152">
        <f>IF(O$2&lt;=analysis_period,IF(SUM($C697:O697)&gt;0,N361+1,0),0)</f>
        <v>0</v>
      </c>
      <c r="P361" s="152">
        <f>IF(P$2&lt;=analysis_period,IF(SUM($C697:P697)&gt;0,O361+1,0),0)</f>
        <v>0</v>
      </c>
      <c r="Q361" s="152">
        <f>IF(Q$2&lt;=analysis_period,IF(SUM($C697:Q697)&gt;0,P361+1,0),0)</f>
        <v>0</v>
      </c>
      <c r="R361" s="152">
        <f>IF(R$2&lt;=analysis_period,IF(SUM($C697:R697)&gt;0,Q361+1,0),0)</f>
        <v>0</v>
      </c>
      <c r="S361" s="152">
        <f>IF(S$2&lt;=analysis_period,IF(SUM($C697:S697)&gt;0,R361+1,0),0)</f>
        <v>0</v>
      </c>
      <c r="T361" s="152">
        <f>IF(T$2&lt;=analysis_period,IF(SUM($C697:T697)&gt;0,S361+1,0),0)</f>
        <v>0</v>
      </c>
      <c r="U361" s="152">
        <f>IF(U$2&lt;=analysis_period,IF(SUM($C697:U697)&gt;0,T361+1,0),0)</f>
        <v>0</v>
      </c>
      <c r="V361" s="152">
        <f>IF(V$2&lt;=analysis_period,IF(SUM($C697:V697)&gt;0,U361+1,0),0)</f>
        <v>0</v>
      </c>
      <c r="W361" s="152">
        <f>IF(W$2&lt;=analysis_period,IF(SUM($C697:W697)&gt;0,V361+1,0),0)</f>
        <v>0</v>
      </c>
      <c r="X361" s="152">
        <f>IF(X$2&lt;=analysis_period,IF(SUM($C697:X697)&gt;0,W361+1,0),0)</f>
        <v>0</v>
      </c>
      <c r="Y361" s="152">
        <f>IF(Y$2&lt;=analysis_period,IF(SUM($C697:Y697)&gt;0,X361+1,0),0)</f>
        <v>0</v>
      </c>
      <c r="Z361" s="152">
        <f>IF(Z$2&lt;=analysis_period,IF(SUM($C697:Z697)&gt;0,Y361+1,0),0)</f>
        <v>0</v>
      </c>
      <c r="AA361" s="152">
        <f>IF(AA$2&lt;=analysis_period,IF(SUM($C697:AA697)&gt;0,Z361+1,0),0)</f>
        <v>0</v>
      </c>
      <c r="AB361" s="152">
        <f>IF(AB$2&lt;=analysis_period,IF(SUM($C697:AB697)&gt;0,AA361+1,0),0)</f>
        <v>0</v>
      </c>
      <c r="AC361" s="152">
        <f>IF(AC$2&lt;=analysis_period,IF(SUM($C697:AC697)&gt;0,AB361+1,0),0)</f>
        <v>0</v>
      </c>
      <c r="AD361" s="152">
        <f>IF(AD$2&lt;=analysis_period,IF(SUM($C697:AD697)&gt;0,AC361+1,0),0)</f>
        <v>0</v>
      </c>
      <c r="AE361" s="152">
        <f>IF(AE$2&lt;=analysis_period,IF(SUM($C697:AE697)&gt;0,AD361+1,0),0)</f>
        <v>0</v>
      </c>
      <c r="AF361" s="152">
        <f>IF(AF$2&lt;=analysis_period,IF(SUM($C697:AF697)&gt;0,AE361+1,0),0)</f>
        <v>0</v>
      </c>
      <c r="AG361" s="152">
        <f>IF(AG$2&lt;=analysis_period,IF(SUM($C697:AG697)&gt;0,AF361+1,0),0)</f>
        <v>0</v>
      </c>
      <c r="AH361" s="152">
        <f>IF(AH$2&lt;=analysis_period,IF(SUM($C697:AH697)&gt;0,AG361+1,0),0)</f>
        <v>0</v>
      </c>
      <c r="AI361" s="152">
        <f>IF(AI$2&lt;=analysis_period,IF(SUM($C697:AI697)&gt;0,AH361+1,0),0)</f>
        <v>0</v>
      </c>
      <c r="AJ361" s="152">
        <f>IF(AJ$2&lt;=analysis_period,IF(SUM($C697:AJ697)&gt;0,AI361+1,0),0)</f>
        <v>0</v>
      </c>
      <c r="AK361" s="152">
        <f>IF(AK$2&lt;=analysis_period,IF(SUM($C697:AK697)&gt;0,AJ361+1,0),0)</f>
        <v>0</v>
      </c>
      <c r="AL361" s="152">
        <f>IF(AL$2&lt;=analysis_period,IF(SUM($C697:AL697)&gt;0,AK361+1,0),0)</f>
        <v>0</v>
      </c>
      <c r="AM361" s="152">
        <f>IF(AM$2&lt;=analysis_period,IF(SUM($C697:AM697)&gt;0,AL361+1,0),0)</f>
        <v>0</v>
      </c>
      <c r="AN361" s="152">
        <f>IF(AN$2&lt;=analysis_period,IF(SUM($C697:AN697)&gt;0,AM361+1,0),0)</f>
        <v>0</v>
      </c>
      <c r="AO361" s="152">
        <f>IF(AO$2&lt;=analysis_period,IF(SUM($C697:AO697)&gt;0,AN361+1,0),0)</f>
        <v>0</v>
      </c>
      <c r="AP361" s="152">
        <f>IF(AP$2&lt;=analysis_period,IF(SUM($C697:AP697)&gt;0,AO361+1,0),0)</f>
        <v>0</v>
      </c>
    </row>
    <row r="362" spans="1:42" x14ac:dyDescent="0.2">
      <c r="A362" s="4">
        <f t="shared" si="135"/>
        <v>5</v>
      </c>
      <c r="B362" s="4">
        <v>0</v>
      </c>
      <c r="C362" s="152">
        <f>IF(C$2&lt;=analysis_period,IF(SUM($C698:C698)&gt;0,B362+1,0),0)</f>
        <v>0</v>
      </c>
      <c r="D362" s="152">
        <f>IF(D$2&lt;=analysis_period,IF(SUM($C698:D698)&gt;0,C362+1,0),0)</f>
        <v>0</v>
      </c>
      <c r="E362" s="152">
        <f>IF(E$2&lt;=analysis_period,IF(SUM($C698:E698)&gt;0,D362+1,0),0)</f>
        <v>0</v>
      </c>
      <c r="F362" s="152">
        <f>IF(F$2&lt;=analysis_period,IF(SUM($C698:F698)&gt;0,E362+1,0),0)</f>
        <v>0</v>
      </c>
      <c r="G362" s="152">
        <f>IF(G$2&lt;=analysis_period,IF(SUM($C698:G698)&gt;0,F362+1,0),0)</f>
        <v>0</v>
      </c>
      <c r="H362" s="152">
        <f>IF(H$2&lt;=analysis_period,IF(SUM($C698:H698)&gt;0,G362+1,0),0)</f>
        <v>0</v>
      </c>
      <c r="I362" s="152">
        <f>IF(I$2&lt;=analysis_period,IF(SUM($C698:I698)&gt;0,H362+1,0),0)</f>
        <v>0</v>
      </c>
      <c r="J362" s="152">
        <f>IF(J$2&lt;=analysis_period,IF(SUM($C698:J698)&gt;0,I362+1,0),0)</f>
        <v>0</v>
      </c>
      <c r="K362" s="152">
        <f>IF(K$2&lt;=analysis_period,IF(SUM($C698:K698)&gt;0,J362+1,0),0)</f>
        <v>0</v>
      </c>
      <c r="L362" s="152">
        <f>IF(L$2&lt;=analysis_period,IF(SUM($C698:L698)&gt;0,K362+1,0),0)</f>
        <v>0</v>
      </c>
      <c r="M362" s="152">
        <f>IF(M$2&lt;=analysis_period,IF(SUM($C698:M698)&gt;0,L362+1,0),0)</f>
        <v>0</v>
      </c>
      <c r="N362" s="152">
        <f>IF(N$2&lt;=analysis_period,IF(SUM($C698:N698)&gt;0,M362+1,0),0)</f>
        <v>0</v>
      </c>
      <c r="O362" s="152">
        <f>IF(O$2&lt;=analysis_period,IF(SUM($C698:O698)&gt;0,N362+1,0),0)</f>
        <v>0</v>
      </c>
      <c r="P362" s="152">
        <f>IF(P$2&lt;=analysis_period,IF(SUM($C698:P698)&gt;0,O362+1,0),0)</f>
        <v>0</v>
      </c>
      <c r="Q362" s="152">
        <f>IF(Q$2&lt;=analysis_period,IF(SUM($C698:Q698)&gt;0,P362+1,0),0)</f>
        <v>0</v>
      </c>
      <c r="R362" s="152">
        <f>IF(R$2&lt;=analysis_period,IF(SUM($C698:R698)&gt;0,Q362+1,0),0)</f>
        <v>0</v>
      </c>
      <c r="S362" s="152">
        <f>IF(S$2&lt;=analysis_period,IF(SUM($C698:S698)&gt;0,R362+1,0),0)</f>
        <v>0</v>
      </c>
      <c r="T362" s="152">
        <f>IF(T$2&lt;=analysis_period,IF(SUM($C698:T698)&gt;0,S362+1,0),0)</f>
        <v>0</v>
      </c>
      <c r="U362" s="152">
        <f>IF(U$2&lt;=analysis_period,IF(SUM($C698:U698)&gt;0,T362+1,0),0)</f>
        <v>0</v>
      </c>
      <c r="V362" s="152">
        <f>IF(V$2&lt;=analysis_period,IF(SUM($C698:V698)&gt;0,U362+1,0),0)</f>
        <v>0</v>
      </c>
      <c r="W362" s="152">
        <f>IF(W$2&lt;=analysis_period,IF(SUM($C698:W698)&gt;0,V362+1,0),0)</f>
        <v>0</v>
      </c>
      <c r="X362" s="152">
        <f>IF(X$2&lt;=analysis_period,IF(SUM($C698:X698)&gt;0,W362+1,0),0)</f>
        <v>0</v>
      </c>
      <c r="Y362" s="152">
        <f>IF(Y$2&lt;=analysis_period,IF(SUM($C698:Y698)&gt;0,X362+1,0),0)</f>
        <v>0</v>
      </c>
      <c r="Z362" s="152">
        <f>IF(Z$2&lt;=analysis_period,IF(SUM($C698:Z698)&gt;0,Y362+1,0),0)</f>
        <v>0</v>
      </c>
      <c r="AA362" s="152">
        <f>IF(AA$2&lt;=analysis_period,IF(SUM($C698:AA698)&gt;0,Z362+1,0),0)</f>
        <v>0</v>
      </c>
      <c r="AB362" s="152">
        <f>IF(AB$2&lt;=analysis_period,IF(SUM($C698:AB698)&gt;0,AA362+1,0),0)</f>
        <v>0</v>
      </c>
      <c r="AC362" s="152">
        <f>IF(AC$2&lt;=analysis_period,IF(SUM($C698:AC698)&gt;0,AB362+1,0),0)</f>
        <v>0</v>
      </c>
      <c r="AD362" s="152">
        <f>IF(AD$2&lt;=analysis_period,IF(SUM($C698:AD698)&gt;0,AC362+1,0),0)</f>
        <v>0</v>
      </c>
      <c r="AE362" s="152">
        <f>IF(AE$2&lt;=analysis_period,IF(SUM($C698:AE698)&gt;0,AD362+1,0),0)</f>
        <v>0</v>
      </c>
      <c r="AF362" s="152">
        <f>IF(AF$2&lt;=analysis_period,IF(SUM($C698:AF698)&gt;0,AE362+1,0),0)</f>
        <v>0</v>
      </c>
      <c r="AG362" s="152">
        <f>IF(AG$2&lt;=analysis_period,IF(SUM($C698:AG698)&gt;0,AF362+1,0),0)</f>
        <v>0</v>
      </c>
      <c r="AH362" s="152">
        <f>IF(AH$2&lt;=analysis_period,IF(SUM($C698:AH698)&gt;0,AG362+1,0),0)</f>
        <v>0</v>
      </c>
      <c r="AI362" s="152">
        <f>IF(AI$2&lt;=analysis_period,IF(SUM($C698:AI698)&gt;0,AH362+1,0),0)</f>
        <v>0</v>
      </c>
      <c r="AJ362" s="152">
        <f>IF(AJ$2&lt;=analysis_period,IF(SUM($C698:AJ698)&gt;0,AI362+1,0),0)</f>
        <v>0</v>
      </c>
      <c r="AK362" s="152">
        <f>IF(AK$2&lt;=analysis_period,IF(SUM($C698:AK698)&gt;0,AJ362+1,0),0)</f>
        <v>0</v>
      </c>
      <c r="AL362" s="152">
        <f>IF(AL$2&lt;=analysis_period,IF(SUM($C698:AL698)&gt;0,AK362+1,0),0)</f>
        <v>0</v>
      </c>
      <c r="AM362" s="152">
        <f>IF(AM$2&lt;=analysis_period,IF(SUM($C698:AM698)&gt;0,AL362+1,0),0)</f>
        <v>0</v>
      </c>
      <c r="AN362" s="152">
        <f>IF(AN$2&lt;=analysis_period,IF(SUM($C698:AN698)&gt;0,AM362+1,0),0)</f>
        <v>0</v>
      </c>
      <c r="AO362" s="152">
        <f>IF(AO$2&lt;=analysis_period,IF(SUM($C698:AO698)&gt;0,AN362+1,0),0)</f>
        <v>0</v>
      </c>
      <c r="AP362" s="152">
        <f>IF(AP$2&lt;=analysis_period,IF(SUM($C698:AP698)&gt;0,AO362+1,0),0)</f>
        <v>0</v>
      </c>
    </row>
    <row r="363" spans="1:42" x14ac:dyDescent="0.2">
      <c r="A363" s="4">
        <f t="shared" si="135"/>
        <v>6</v>
      </c>
      <c r="B363" s="4">
        <v>0</v>
      </c>
      <c r="C363" s="152">
        <f>IF(C$2&lt;=analysis_period,IF(SUM($C699:C699)&gt;0,B363+1,0),0)</f>
        <v>0</v>
      </c>
      <c r="D363" s="152">
        <f>IF(D$2&lt;=analysis_period,IF(SUM($C699:D699)&gt;0,C363+1,0),0)</f>
        <v>0</v>
      </c>
      <c r="E363" s="152">
        <f>IF(E$2&lt;=analysis_period,IF(SUM($C699:E699)&gt;0,D363+1,0),0)</f>
        <v>0</v>
      </c>
      <c r="F363" s="152">
        <f>IF(F$2&lt;=analysis_period,IF(SUM($C699:F699)&gt;0,E363+1,0),0)</f>
        <v>0</v>
      </c>
      <c r="G363" s="152">
        <f>IF(G$2&lt;=analysis_period,IF(SUM($C699:G699)&gt;0,F363+1,0),0)</f>
        <v>0</v>
      </c>
      <c r="H363" s="152">
        <f>IF(H$2&lt;=analysis_period,IF(SUM($C699:H699)&gt;0,G363+1,0),0)</f>
        <v>0</v>
      </c>
      <c r="I363" s="152">
        <f>IF(I$2&lt;=analysis_period,IF(SUM($C699:I699)&gt;0,H363+1,0),0)</f>
        <v>0</v>
      </c>
      <c r="J363" s="152">
        <f>IF(J$2&lt;=analysis_period,IF(SUM($C699:J699)&gt;0,I363+1,0),0)</f>
        <v>0</v>
      </c>
      <c r="K363" s="152">
        <f>IF(K$2&lt;=analysis_period,IF(SUM($C699:K699)&gt;0,J363+1,0),0)</f>
        <v>0</v>
      </c>
      <c r="L363" s="152">
        <f>IF(L$2&lt;=analysis_period,IF(SUM($C699:L699)&gt;0,K363+1,0),0)</f>
        <v>0</v>
      </c>
      <c r="M363" s="152">
        <f>IF(M$2&lt;=analysis_period,IF(SUM($C699:M699)&gt;0,L363+1,0),0)</f>
        <v>0</v>
      </c>
      <c r="N363" s="152">
        <f>IF(N$2&lt;=analysis_period,IF(SUM($C699:N699)&gt;0,M363+1,0),0)</f>
        <v>0</v>
      </c>
      <c r="O363" s="152">
        <f>IF(O$2&lt;=analysis_period,IF(SUM($C699:O699)&gt;0,N363+1,0),0)</f>
        <v>0</v>
      </c>
      <c r="P363" s="152">
        <f>IF(P$2&lt;=analysis_period,IF(SUM($C699:P699)&gt;0,O363+1,0),0)</f>
        <v>0</v>
      </c>
      <c r="Q363" s="152">
        <f>IF(Q$2&lt;=analysis_period,IF(SUM($C699:Q699)&gt;0,P363+1,0),0)</f>
        <v>0</v>
      </c>
      <c r="R363" s="152">
        <f>IF(R$2&lt;=analysis_period,IF(SUM($C699:R699)&gt;0,Q363+1,0),0)</f>
        <v>0</v>
      </c>
      <c r="S363" s="152">
        <f>IF(S$2&lt;=analysis_period,IF(SUM($C699:S699)&gt;0,R363+1,0),0)</f>
        <v>0</v>
      </c>
      <c r="T363" s="152">
        <f>IF(T$2&lt;=analysis_period,IF(SUM($C699:T699)&gt;0,S363+1,0),0)</f>
        <v>0</v>
      </c>
      <c r="U363" s="152">
        <f>IF(U$2&lt;=analysis_period,IF(SUM($C699:U699)&gt;0,T363+1,0),0)</f>
        <v>0</v>
      </c>
      <c r="V363" s="152">
        <f>IF(V$2&lt;=analysis_period,IF(SUM($C699:V699)&gt;0,U363+1,0),0)</f>
        <v>0</v>
      </c>
      <c r="W363" s="152">
        <f>IF(W$2&lt;=analysis_period,IF(SUM($C699:W699)&gt;0,V363+1,0),0)</f>
        <v>0</v>
      </c>
      <c r="X363" s="152">
        <f>IF(X$2&lt;=analysis_period,IF(SUM($C699:X699)&gt;0,W363+1,0),0)</f>
        <v>0</v>
      </c>
      <c r="Y363" s="152">
        <f>IF(Y$2&lt;=analysis_period,IF(SUM($C699:Y699)&gt;0,X363+1,0),0)</f>
        <v>0</v>
      </c>
      <c r="Z363" s="152">
        <f>IF(Z$2&lt;=analysis_period,IF(SUM($C699:Z699)&gt;0,Y363+1,0),0)</f>
        <v>0</v>
      </c>
      <c r="AA363" s="152">
        <f>IF(AA$2&lt;=analysis_period,IF(SUM($C699:AA699)&gt;0,Z363+1,0),0)</f>
        <v>0</v>
      </c>
      <c r="AB363" s="152">
        <f>IF(AB$2&lt;=analysis_period,IF(SUM($C699:AB699)&gt;0,AA363+1,0),0)</f>
        <v>0</v>
      </c>
      <c r="AC363" s="152">
        <f>IF(AC$2&lt;=analysis_period,IF(SUM($C699:AC699)&gt;0,AB363+1,0),0)</f>
        <v>0</v>
      </c>
      <c r="AD363" s="152">
        <f>IF(AD$2&lt;=analysis_period,IF(SUM($C699:AD699)&gt;0,AC363+1,0),0)</f>
        <v>0</v>
      </c>
      <c r="AE363" s="152">
        <f>IF(AE$2&lt;=analysis_period,IF(SUM($C699:AE699)&gt;0,AD363+1,0),0)</f>
        <v>0</v>
      </c>
      <c r="AF363" s="152">
        <f>IF(AF$2&lt;=analysis_period,IF(SUM($C699:AF699)&gt;0,AE363+1,0),0)</f>
        <v>0</v>
      </c>
      <c r="AG363" s="152">
        <f>IF(AG$2&lt;=analysis_period,IF(SUM($C699:AG699)&gt;0,AF363+1,0),0)</f>
        <v>0</v>
      </c>
      <c r="AH363" s="152">
        <f>IF(AH$2&lt;=analysis_period,IF(SUM($C699:AH699)&gt;0,AG363+1,0),0)</f>
        <v>0</v>
      </c>
      <c r="AI363" s="152">
        <f>IF(AI$2&lt;=analysis_period,IF(SUM($C699:AI699)&gt;0,AH363+1,0),0)</f>
        <v>0</v>
      </c>
      <c r="AJ363" s="152">
        <f>IF(AJ$2&lt;=analysis_period,IF(SUM($C699:AJ699)&gt;0,AI363+1,0),0)</f>
        <v>0</v>
      </c>
      <c r="AK363" s="152">
        <f>IF(AK$2&lt;=analysis_period,IF(SUM($C699:AK699)&gt;0,AJ363+1,0),0)</f>
        <v>0</v>
      </c>
      <c r="AL363" s="152">
        <f>IF(AL$2&lt;=analysis_period,IF(SUM($C699:AL699)&gt;0,AK363+1,0),0)</f>
        <v>0</v>
      </c>
      <c r="AM363" s="152">
        <f>IF(AM$2&lt;=analysis_period,IF(SUM($C699:AM699)&gt;0,AL363+1,0),0)</f>
        <v>0</v>
      </c>
      <c r="AN363" s="152">
        <f>IF(AN$2&lt;=analysis_period,IF(SUM($C699:AN699)&gt;0,AM363+1,0),0)</f>
        <v>0</v>
      </c>
      <c r="AO363" s="152">
        <f>IF(AO$2&lt;=analysis_period,IF(SUM($C699:AO699)&gt;0,AN363+1,0),0)</f>
        <v>0</v>
      </c>
      <c r="AP363" s="152">
        <f>IF(AP$2&lt;=analysis_period,IF(SUM($C699:AP699)&gt;0,AO363+1,0),0)</f>
        <v>0</v>
      </c>
    </row>
    <row r="364" spans="1:42" x14ac:dyDescent="0.2">
      <c r="A364" s="4">
        <f t="shared" si="135"/>
        <v>7</v>
      </c>
      <c r="B364" s="4">
        <v>0</v>
      </c>
      <c r="C364" s="152">
        <f>IF(C$2&lt;=analysis_period,IF(SUM($C700:C700)&gt;0,B364+1,0),0)</f>
        <v>0</v>
      </c>
      <c r="D364" s="152">
        <f>IF(D$2&lt;=analysis_period,IF(SUM($C700:D700)&gt;0,C364+1,0),0)</f>
        <v>0</v>
      </c>
      <c r="E364" s="152">
        <f>IF(E$2&lt;=analysis_period,IF(SUM($C700:E700)&gt;0,D364+1,0),0)</f>
        <v>0</v>
      </c>
      <c r="F364" s="152">
        <f>IF(F$2&lt;=analysis_period,IF(SUM($C700:F700)&gt;0,E364+1,0),0)</f>
        <v>0</v>
      </c>
      <c r="G364" s="152">
        <f>IF(G$2&lt;=analysis_period,IF(SUM($C700:G700)&gt;0,F364+1,0),0)</f>
        <v>0</v>
      </c>
      <c r="H364" s="152">
        <f>IF(H$2&lt;=analysis_period,IF(SUM($C700:H700)&gt;0,G364+1,0),0)</f>
        <v>0</v>
      </c>
      <c r="I364" s="152">
        <f>IF(I$2&lt;=analysis_period,IF(SUM($C700:I700)&gt;0,H364+1,0),0)</f>
        <v>0</v>
      </c>
      <c r="J364" s="152">
        <f>IF(J$2&lt;=analysis_period,IF(SUM($C700:J700)&gt;0,I364+1,0),0)</f>
        <v>0</v>
      </c>
      <c r="K364" s="152">
        <f>IF(K$2&lt;=analysis_period,IF(SUM($C700:K700)&gt;0,J364+1,0),0)</f>
        <v>0</v>
      </c>
      <c r="L364" s="152">
        <f>IF(L$2&lt;=analysis_period,IF(SUM($C700:L700)&gt;0,K364+1,0),0)</f>
        <v>0</v>
      </c>
      <c r="M364" s="152">
        <f>IF(M$2&lt;=analysis_period,IF(SUM($C700:M700)&gt;0,L364+1,0),0)</f>
        <v>0</v>
      </c>
      <c r="N364" s="152">
        <f>IF(N$2&lt;=analysis_period,IF(SUM($C700:N700)&gt;0,M364+1,0),0)</f>
        <v>0</v>
      </c>
      <c r="O364" s="152">
        <f>IF(O$2&lt;=analysis_period,IF(SUM($C700:O700)&gt;0,N364+1,0),0)</f>
        <v>0</v>
      </c>
      <c r="P364" s="152">
        <f>IF(P$2&lt;=analysis_period,IF(SUM($C700:P700)&gt;0,O364+1,0),0)</f>
        <v>0</v>
      </c>
      <c r="Q364" s="152">
        <f>IF(Q$2&lt;=analysis_period,IF(SUM($C700:Q700)&gt;0,P364+1,0),0)</f>
        <v>0</v>
      </c>
      <c r="R364" s="152">
        <f>IF(R$2&lt;=analysis_period,IF(SUM($C700:R700)&gt;0,Q364+1,0),0)</f>
        <v>0</v>
      </c>
      <c r="S364" s="152">
        <f>IF(S$2&lt;=analysis_period,IF(SUM($C700:S700)&gt;0,R364+1,0),0)</f>
        <v>0</v>
      </c>
      <c r="T364" s="152">
        <f>IF(T$2&lt;=analysis_period,IF(SUM($C700:T700)&gt;0,S364+1,0),0)</f>
        <v>0</v>
      </c>
      <c r="U364" s="152">
        <f>IF(U$2&lt;=analysis_period,IF(SUM($C700:U700)&gt;0,T364+1,0),0)</f>
        <v>0</v>
      </c>
      <c r="V364" s="152">
        <f>IF(V$2&lt;=analysis_period,IF(SUM($C700:V700)&gt;0,U364+1,0),0)</f>
        <v>0</v>
      </c>
      <c r="W364" s="152">
        <f>IF(W$2&lt;=analysis_period,IF(SUM($C700:W700)&gt;0,V364+1,0),0)</f>
        <v>0</v>
      </c>
      <c r="X364" s="152">
        <f>IF(X$2&lt;=analysis_period,IF(SUM($C700:X700)&gt;0,W364+1,0),0)</f>
        <v>0</v>
      </c>
      <c r="Y364" s="152">
        <f>IF(Y$2&lt;=analysis_period,IF(SUM($C700:Y700)&gt;0,X364+1,0),0)</f>
        <v>0</v>
      </c>
      <c r="Z364" s="152">
        <f>IF(Z$2&lt;=analysis_period,IF(SUM($C700:Z700)&gt;0,Y364+1,0),0)</f>
        <v>0</v>
      </c>
      <c r="AA364" s="152">
        <f>IF(AA$2&lt;=analysis_period,IF(SUM($C700:AA700)&gt;0,Z364+1,0),0)</f>
        <v>0</v>
      </c>
      <c r="AB364" s="152">
        <f>IF(AB$2&lt;=analysis_period,IF(SUM($C700:AB700)&gt;0,AA364+1,0),0)</f>
        <v>0</v>
      </c>
      <c r="AC364" s="152">
        <f>IF(AC$2&lt;=analysis_period,IF(SUM($C700:AC700)&gt;0,AB364+1,0),0)</f>
        <v>0</v>
      </c>
      <c r="AD364" s="152">
        <f>IF(AD$2&lt;=analysis_period,IF(SUM($C700:AD700)&gt;0,AC364+1,0),0)</f>
        <v>0</v>
      </c>
      <c r="AE364" s="152">
        <f>IF(AE$2&lt;=analysis_period,IF(SUM($C700:AE700)&gt;0,AD364+1,0),0)</f>
        <v>0</v>
      </c>
      <c r="AF364" s="152">
        <f>IF(AF$2&lt;=analysis_period,IF(SUM($C700:AF700)&gt;0,AE364+1,0),0)</f>
        <v>0</v>
      </c>
      <c r="AG364" s="152">
        <f>IF(AG$2&lt;=analysis_period,IF(SUM($C700:AG700)&gt;0,AF364+1,0),0)</f>
        <v>0</v>
      </c>
      <c r="AH364" s="152">
        <f>IF(AH$2&lt;=analysis_period,IF(SUM($C700:AH700)&gt;0,AG364+1,0),0)</f>
        <v>0</v>
      </c>
      <c r="AI364" s="152">
        <f>IF(AI$2&lt;=analysis_period,IF(SUM($C700:AI700)&gt;0,AH364+1,0),0)</f>
        <v>0</v>
      </c>
      <c r="AJ364" s="152">
        <f>IF(AJ$2&lt;=analysis_period,IF(SUM($C700:AJ700)&gt;0,AI364+1,0),0)</f>
        <v>0</v>
      </c>
      <c r="AK364" s="152">
        <f>IF(AK$2&lt;=analysis_period,IF(SUM($C700:AK700)&gt;0,AJ364+1,0),0)</f>
        <v>0</v>
      </c>
      <c r="AL364" s="152">
        <f>IF(AL$2&lt;=analysis_period,IF(SUM($C700:AL700)&gt;0,AK364+1,0),0)</f>
        <v>0</v>
      </c>
      <c r="AM364" s="152">
        <f>IF(AM$2&lt;=analysis_period,IF(SUM($C700:AM700)&gt;0,AL364+1,0),0)</f>
        <v>0</v>
      </c>
      <c r="AN364" s="152">
        <f>IF(AN$2&lt;=analysis_period,IF(SUM($C700:AN700)&gt;0,AM364+1,0),0)</f>
        <v>0</v>
      </c>
      <c r="AO364" s="152">
        <f>IF(AO$2&lt;=analysis_period,IF(SUM($C700:AO700)&gt;0,AN364+1,0),0)</f>
        <v>0</v>
      </c>
      <c r="AP364" s="152">
        <f>IF(AP$2&lt;=analysis_period,IF(SUM($C700:AP700)&gt;0,AO364+1,0),0)</f>
        <v>0</v>
      </c>
    </row>
    <row r="365" spans="1:42" x14ac:dyDescent="0.2">
      <c r="A365" s="4">
        <f t="shared" si="135"/>
        <v>8</v>
      </c>
      <c r="B365" s="4">
        <v>0</v>
      </c>
      <c r="C365" s="152">
        <f>IF(C$2&lt;=analysis_period,IF(SUM($C701:C701)&gt;0,B365+1,0),0)</f>
        <v>0</v>
      </c>
      <c r="D365" s="152">
        <f>IF(D$2&lt;=analysis_period,IF(SUM($C701:D701)&gt;0,C365+1,0),0)</f>
        <v>0</v>
      </c>
      <c r="E365" s="152">
        <f>IF(E$2&lt;=analysis_period,IF(SUM($C701:E701)&gt;0,D365+1,0),0)</f>
        <v>0</v>
      </c>
      <c r="F365" s="152">
        <f>IF(F$2&lt;=analysis_period,IF(SUM($C701:F701)&gt;0,E365+1,0),0)</f>
        <v>0</v>
      </c>
      <c r="G365" s="152">
        <f>IF(G$2&lt;=analysis_period,IF(SUM($C701:G701)&gt;0,F365+1,0),0)</f>
        <v>0</v>
      </c>
      <c r="H365" s="152">
        <f>IF(H$2&lt;=analysis_period,IF(SUM($C701:H701)&gt;0,G365+1,0),0)</f>
        <v>0</v>
      </c>
      <c r="I365" s="152">
        <f>IF(I$2&lt;=analysis_period,IF(SUM($C701:I701)&gt;0,H365+1,0),0)</f>
        <v>0</v>
      </c>
      <c r="J365" s="152">
        <f>IF(J$2&lt;=analysis_period,IF(SUM($C701:J701)&gt;0,I365+1,0),0)</f>
        <v>0</v>
      </c>
      <c r="K365" s="152">
        <f>IF(K$2&lt;=analysis_period,IF(SUM($C701:K701)&gt;0,J365+1,0),0)</f>
        <v>0</v>
      </c>
      <c r="L365" s="152">
        <f>IF(L$2&lt;=analysis_period,IF(SUM($C701:L701)&gt;0,K365+1,0),0)</f>
        <v>0</v>
      </c>
      <c r="M365" s="152">
        <f>IF(M$2&lt;=analysis_period,IF(SUM($C701:M701)&gt;0,L365+1,0),0)</f>
        <v>0</v>
      </c>
      <c r="N365" s="152">
        <f>IF(N$2&lt;=analysis_period,IF(SUM($C701:N701)&gt;0,M365+1,0),0)</f>
        <v>0</v>
      </c>
      <c r="O365" s="152">
        <f>IF(O$2&lt;=analysis_period,IF(SUM($C701:O701)&gt;0,N365+1,0),0)</f>
        <v>0</v>
      </c>
      <c r="P365" s="152">
        <f>IF(P$2&lt;=analysis_period,IF(SUM($C701:P701)&gt;0,O365+1,0),0)</f>
        <v>0</v>
      </c>
      <c r="Q365" s="152">
        <f>IF(Q$2&lt;=analysis_period,IF(SUM($C701:Q701)&gt;0,P365+1,0),0)</f>
        <v>0</v>
      </c>
      <c r="R365" s="152">
        <f>IF(R$2&lt;=analysis_period,IF(SUM($C701:R701)&gt;0,Q365+1,0),0)</f>
        <v>0</v>
      </c>
      <c r="S365" s="152">
        <f>IF(S$2&lt;=analysis_period,IF(SUM($C701:S701)&gt;0,R365+1,0),0)</f>
        <v>0</v>
      </c>
      <c r="T365" s="152">
        <f>IF(T$2&lt;=analysis_period,IF(SUM($C701:T701)&gt;0,S365+1,0),0)</f>
        <v>0</v>
      </c>
      <c r="U365" s="152">
        <f>IF(U$2&lt;=analysis_period,IF(SUM($C701:U701)&gt;0,T365+1,0),0)</f>
        <v>0</v>
      </c>
      <c r="V365" s="152">
        <f>IF(V$2&lt;=analysis_period,IF(SUM($C701:V701)&gt;0,U365+1,0),0)</f>
        <v>0</v>
      </c>
      <c r="W365" s="152">
        <f>IF(W$2&lt;=analysis_period,IF(SUM($C701:W701)&gt;0,V365+1,0),0)</f>
        <v>0</v>
      </c>
      <c r="X365" s="152">
        <f>IF(X$2&lt;=analysis_period,IF(SUM($C701:X701)&gt;0,W365+1,0),0)</f>
        <v>0</v>
      </c>
      <c r="Y365" s="152">
        <f>IF(Y$2&lt;=analysis_period,IF(SUM($C701:Y701)&gt;0,X365+1,0),0)</f>
        <v>0</v>
      </c>
      <c r="Z365" s="152">
        <f>IF(Z$2&lt;=analysis_period,IF(SUM($C701:Z701)&gt;0,Y365+1,0),0)</f>
        <v>0</v>
      </c>
      <c r="AA365" s="152">
        <f>IF(AA$2&lt;=analysis_period,IF(SUM($C701:AA701)&gt;0,Z365+1,0),0)</f>
        <v>0</v>
      </c>
      <c r="AB365" s="152">
        <f>IF(AB$2&lt;=analysis_period,IF(SUM($C701:AB701)&gt;0,AA365+1,0),0)</f>
        <v>0</v>
      </c>
      <c r="AC365" s="152">
        <f>IF(AC$2&lt;=analysis_period,IF(SUM($C701:AC701)&gt;0,AB365+1,0),0)</f>
        <v>0</v>
      </c>
      <c r="AD365" s="152">
        <f>IF(AD$2&lt;=analysis_period,IF(SUM($C701:AD701)&gt;0,AC365+1,0),0)</f>
        <v>0</v>
      </c>
      <c r="AE365" s="152">
        <f>IF(AE$2&lt;=analysis_period,IF(SUM($C701:AE701)&gt;0,AD365+1,0),0)</f>
        <v>0</v>
      </c>
      <c r="AF365" s="152">
        <f>IF(AF$2&lt;=analysis_period,IF(SUM($C701:AF701)&gt;0,AE365+1,0),0)</f>
        <v>0</v>
      </c>
      <c r="AG365" s="152">
        <f>IF(AG$2&lt;=analysis_period,IF(SUM($C701:AG701)&gt;0,AF365+1,0),0)</f>
        <v>0</v>
      </c>
      <c r="AH365" s="152">
        <f>IF(AH$2&lt;=analysis_period,IF(SUM($C701:AH701)&gt;0,AG365+1,0),0)</f>
        <v>0</v>
      </c>
      <c r="AI365" s="152">
        <f>IF(AI$2&lt;=analysis_period,IF(SUM($C701:AI701)&gt;0,AH365+1,0),0)</f>
        <v>0</v>
      </c>
      <c r="AJ365" s="152">
        <f>IF(AJ$2&lt;=analysis_period,IF(SUM($C701:AJ701)&gt;0,AI365+1,0),0)</f>
        <v>0</v>
      </c>
      <c r="AK365" s="152">
        <f>IF(AK$2&lt;=analysis_period,IF(SUM($C701:AK701)&gt;0,AJ365+1,0),0)</f>
        <v>0</v>
      </c>
      <c r="AL365" s="152">
        <f>IF(AL$2&lt;=analysis_period,IF(SUM($C701:AL701)&gt;0,AK365+1,0),0)</f>
        <v>0</v>
      </c>
      <c r="AM365" s="152">
        <f>IF(AM$2&lt;=analysis_period,IF(SUM($C701:AM701)&gt;0,AL365+1,0),0)</f>
        <v>0</v>
      </c>
      <c r="AN365" s="152">
        <f>IF(AN$2&lt;=analysis_period,IF(SUM($C701:AN701)&gt;0,AM365+1,0),0)</f>
        <v>0</v>
      </c>
      <c r="AO365" s="152">
        <f>IF(AO$2&lt;=analysis_period,IF(SUM($C701:AO701)&gt;0,AN365+1,0),0)</f>
        <v>0</v>
      </c>
      <c r="AP365" s="152">
        <f>IF(AP$2&lt;=analysis_period,IF(SUM($C701:AP701)&gt;0,AO365+1,0),0)</f>
        <v>0</v>
      </c>
    </row>
    <row r="366" spans="1:42" x14ac:dyDescent="0.2">
      <c r="A366" s="4">
        <f>A365+1</f>
        <v>9</v>
      </c>
      <c r="B366" s="4">
        <v>0</v>
      </c>
      <c r="C366" s="152">
        <f>IF(C$2&lt;=analysis_period,IF(SUM($C702:C702)&gt;0,B366+1,0),0)</f>
        <v>0</v>
      </c>
      <c r="D366" s="152">
        <f>IF(D$2&lt;=analysis_period,IF(SUM($C702:D702)&gt;0,C366+1,0),0)</f>
        <v>0</v>
      </c>
      <c r="E366" s="152">
        <f>IF(E$2&lt;=analysis_period,IF(SUM($C702:E702)&gt;0,D366+1,0),0)</f>
        <v>0</v>
      </c>
      <c r="F366" s="152">
        <f>IF(F$2&lt;=analysis_period,IF(SUM($C702:F702)&gt;0,E366+1,0),0)</f>
        <v>0</v>
      </c>
      <c r="G366" s="152">
        <f>IF(G$2&lt;=analysis_period,IF(SUM($C702:G702)&gt;0,F366+1,0),0)</f>
        <v>0</v>
      </c>
      <c r="H366" s="152">
        <f>IF(H$2&lt;=analysis_period,IF(SUM($C702:H702)&gt;0,G366+1,0),0)</f>
        <v>0</v>
      </c>
      <c r="I366" s="152">
        <f>IF(I$2&lt;=analysis_period,IF(SUM($C702:I702)&gt;0,H366+1,0),0)</f>
        <v>0</v>
      </c>
      <c r="J366" s="152">
        <f>IF(J$2&lt;=analysis_period,IF(SUM($C702:J702)&gt;0,I366+1,0),0)</f>
        <v>0</v>
      </c>
      <c r="K366" s="152">
        <f>IF(K$2&lt;=analysis_period,IF(SUM($C702:K702)&gt;0,J366+1,0),0)</f>
        <v>0</v>
      </c>
      <c r="L366" s="152">
        <f>IF(L$2&lt;=analysis_period,IF(SUM($C702:L702)&gt;0,K366+1,0),0)</f>
        <v>0</v>
      </c>
      <c r="M366" s="152">
        <f>IF(M$2&lt;=analysis_period,IF(SUM($C702:M702)&gt;0,L366+1,0),0)</f>
        <v>0</v>
      </c>
      <c r="N366" s="152">
        <f>IF(N$2&lt;=analysis_period,IF(SUM($C702:N702)&gt;0,M366+1,0),0)</f>
        <v>0</v>
      </c>
      <c r="O366" s="152">
        <f>IF(O$2&lt;=analysis_period,IF(SUM($C702:O702)&gt;0,N366+1,0),0)</f>
        <v>0</v>
      </c>
      <c r="P366" s="152">
        <f>IF(P$2&lt;=analysis_period,IF(SUM($C702:P702)&gt;0,O366+1,0),0)</f>
        <v>0</v>
      </c>
      <c r="Q366" s="152">
        <f>IF(Q$2&lt;=analysis_period,IF(SUM($C702:Q702)&gt;0,P366+1,0),0)</f>
        <v>0</v>
      </c>
      <c r="R366" s="152">
        <f>IF(R$2&lt;=analysis_period,IF(SUM($C702:R702)&gt;0,Q366+1,0),0)</f>
        <v>0</v>
      </c>
      <c r="S366" s="152">
        <f>IF(S$2&lt;=analysis_period,IF(SUM($C702:S702)&gt;0,R366+1,0),0)</f>
        <v>0</v>
      </c>
      <c r="T366" s="152">
        <f>IF(T$2&lt;=analysis_period,IF(SUM($C702:T702)&gt;0,S366+1,0),0)</f>
        <v>0</v>
      </c>
      <c r="U366" s="152">
        <f>IF(U$2&lt;=analysis_period,IF(SUM($C702:U702)&gt;0,T366+1,0),0)</f>
        <v>0</v>
      </c>
      <c r="V366" s="152">
        <f>IF(V$2&lt;=analysis_period,IF(SUM($C702:V702)&gt;0,U366+1,0),0)</f>
        <v>0</v>
      </c>
      <c r="W366" s="152">
        <f>IF(W$2&lt;=analysis_period,IF(SUM($C702:W702)&gt;0,V366+1,0),0)</f>
        <v>0</v>
      </c>
      <c r="X366" s="152">
        <f>IF(X$2&lt;=analysis_period,IF(SUM($C702:X702)&gt;0,W366+1,0),0)</f>
        <v>0</v>
      </c>
      <c r="Y366" s="152">
        <f>IF(Y$2&lt;=analysis_period,IF(SUM($C702:Y702)&gt;0,X366+1,0),0)</f>
        <v>0</v>
      </c>
      <c r="Z366" s="152">
        <f>IF(Z$2&lt;=analysis_period,IF(SUM($C702:Z702)&gt;0,Y366+1,0),0)</f>
        <v>0</v>
      </c>
      <c r="AA366" s="152">
        <f>IF(AA$2&lt;=analysis_period,IF(SUM($C702:AA702)&gt;0,Z366+1,0),0)</f>
        <v>0</v>
      </c>
      <c r="AB366" s="152">
        <f>IF(AB$2&lt;=analysis_period,IF(SUM($C702:AB702)&gt;0,AA366+1,0),0)</f>
        <v>0</v>
      </c>
      <c r="AC366" s="152">
        <f>IF(AC$2&lt;=analysis_period,IF(SUM($C702:AC702)&gt;0,AB366+1,0),0)</f>
        <v>0</v>
      </c>
      <c r="AD366" s="152">
        <f>IF(AD$2&lt;=analysis_period,IF(SUM($C702:AD702)&gt;0,AC366+1,0),0)</f>
        <v>0</v>
      </c>
      <c r="AE366" s="152">
        <f>IF(AE$2&lt;=analysis_period,IF(SUM($C702:AE702)&gt;0,AD366+1,0),0)</f>
        <v>0</v>
      </c>
      <c r="AF366" s="152">
        <f>IF(AF$2&lt;=analysis_period,IF(SUM($C702:AF702)&gt;0,AE366+1,0),0)</f>
        <v>0</v>
      </c>
      <c r="AG366" s="152">
        <f>IF(AG$2&lt;=analysis_period,IF(SUM($C702:AG702)&gt;0,AF366+1,0),0)</f>
        <v>0</v>
      </c>
      <c r="AH366" s="152">
        <f>IF(AH$2&lt;=analysis_period,IF(SUM($C702:AH702)&gt;0,AG366+1,0),0)</f>
        <v>0</v>
      </c>
      <c r="AI366" s="152">
        <f>IF(AI$2&lt;=analysis_period,IF(SUM($C702:AI702)&gt;0,AH366+1,0),0)</f>
        <v>0</v>
      </c>
      <c r="AJ366" s="152">
        <f>IF(AJ$2&lt;=analysis_period,IF(SUM($C702:AJ702)&gt;0,AI366+1,0),0)</f>
        <v>0</v>
      </c>
      <c r="AK366" s="152">
        <f>IF(AK$2&lt;=analysis_period,IF(SUM($C702:AK702)&gt;0,AJ366+1,0),0)</f>
        <v>0</v>
      </c>
      <c r="AL366" s="152">
        <f>IF(AL$2&lt;=analysis_period,IF(SUM($C702:AL702)&gt;0,AK366+1,0),0)</f>
        <v>0</v>
      </c>
      <c r="AM366" s="152">
        <f>IF(AM$2&lt;=analysis_period,IF(SUM($C702:AM702)&gt;0,AL366+1,0),0)</f>
        <v>0</v>
      </c>
      <c r="AN366" s="152">
        <f>IF(AN$2&lt;=analysis_period,IF(SUM($C702:AN702)&gt;0,AM366+1,0),0)</f>
        <v>0</v>
      </c>
      <c r="AO366" s="152">
        <f>IF(AO$2&lt;=analysis_period,IF(SUM($C702:AO702)&gt;0,AN366+1,0),0)</f>
        <v>0</v>
      </c>
      <c r="AP366" s="152">
        <f>IF(AP$2&lt;=analysis_period,IF(SUM($C702:AP702)&gt;0,AO366+1,0),0)</f>
        <v>0</v>
      </c>
    </row>
    <row r="367" spans="1:42" x14ac:dyDescent="0.2">
      <c r="A367" s="4">
        <f t="shared" si="135"/>
        <v>10</v>
      </c>
      <c r="B367" s="4">
        <v>0</v>
      </c>
      <c r="C367" s="152">
        <f>IF(C$2&lt;=analysis_period,IF(SUM($C703:C703)&gt;0,B367+1,0),0)</f>
        <v>0</v>
      </c>
      <c r="D367" s="152">
        <f>IF(D$2&lt;=analysis_period,IF(SUM($C703:D703)&gt;0,C367+1,0),0)</f>
        <v>0</v>
      </c>
      <c r="E367" s="152">
        <f>IF(E$2&lt;=analysis_period,IF(SUM($C703:E703)&gt;0,D367+1,0),0)</f>
        <v>0</v>
      </c>
      <c r="F367" s="152">
        <f>IF(F$2&lt;=analysis_period,IF(SUM($C703:F703)&gt;0,E367+1,0),0)</f>
        <v>0</v>
      </c>
      <c r="G367" s="152">
        <f>IF(G$2&lt;=analysis_period,IF(SUM($C703:G703)&gt;0,F367+1,0),0)</f>
        <v>0</v>
      </c>
      <c r="H367" s="152">
        <f>IF(H$2&lt;=analysis_period,IF(SUM($C703:H703)&gt;0,G367+1,0),0)</f>
        <v>0</v>
      </c>
      <c r="I367" s="152">
        <f>IF(I$2&lt;=analysis_period,IF(SUM($C703:I703)&gt;0,H367+1,0),0)</f>
        <v>0</v>
      </c>
      <c r="J367" s="152">
        <f>IF(J$2&lt;=analysis_period,IF(SUM($C703:J703)&gt;0,I367+1,0),0)</f>
        <v>0</v>
      </c>
      <c r="K367" s="152">
        <f>IF(K$2&lt;=analysis_period,IF(SUM($C703:K703)&gt;0,J367+1,0),0)</f>
        <v>0</v>
      </c>
      <c r="L367" s="152">
        <f>IF(L$2&lt;=analysis_period,IF(SUM($C703:L703)&gt;0,K367+1,0),0)</f>
        <v>0</v>
      </c>
      <c r="M367" s="152">
        <f>IF(M$2&lt;=analysis_period,IF(SUM($C703:M703)&gt;0,L367+1,0),0)</f>
        <v>0</v>
      </c>
      <c r="N367" s="152">
        <f>IF(N$2&lt;=analysis_period,IF(SUM($C703:N703)&gt;0,M367+1,0),0)</f>
        <v>0</v>
      </c>
      <c r="O367" s="152">
        <f>IF(O$2&lt;=analysis_period,IF(SUM($C703:O703)&gt;0,N367+1,0),0)</f>
        <v>0</v>
      </c>
      <c r="P367" s="152">
        <f>IF(P$2&lt;=analysis_period,IF(SUM($C703:P703)&gt;0,O367+1,0),0)</f>
        <v>0</v>
      </c>
      <c r="Q367" s="152">
        <f>IF(Q$2&lt;=analysis_period,IF(SUM($C703:Q703)&gt;0,P367+1,0),0)</f>
        <v>0</v>
      </c>
      <c r="R367" s="152">
        <f>IF(R$2&lt;=analysis_period,IF(SUM($C703:R703)&gt;0,Q367+1,0),0)</f>
        <v>0</v>
      </c>
      <c r="S367" s="152">
        <f>IF(S$2&lt;=analysis_period,IF(SUM($C703:S703)&gt;0,R367+1,0),0)</f>
        <v>0</v>
      </c>
      <c r="T367" s="152">
        <f>IF(T$2&lt;=analysis_period,IF(SUM($C703:T703)&gt;0,S367+1,0),0)</f>
        <v>0</v>
      </c>
      <c r="U367" s="152">
        <f>IF(U$2&lt;=analysis_period,IF(SUM($C703:U703)&gt;0,T367+1,0),0)</f>
        <v>0</v>
      </c>
      <c r="V367" s="152">
        <f>IF(V$2&lt;=analysis_period,IF(SUM($C703:V703)&gt;0,U367+1,0),0)</f>
        <v>0</v>
      </c>
      <c r="W367" s="152">
        <f>IF(W$2&lt;=analysis_period,IF(SUM($C703:W703)&gt;0,V367+1,0),0)</f>
        <v>0</v>
      </c>
      <c r="X367" s="152">
        <f>IF(X$2&lt;=analysis_period,IF(SUM($C703:X703)&gt;0,W367+1,0),0)</f>
        <v>0</v>
      </c>
      <c r="Y367" s="152">
        <f>IF(Y$2&lt;=analysis_period,IF(SUM($C703:Y703)&gt;0,X367+1,0),0)</f>
        <v>0</v>
      </c>
      <c r="Z367" s="152">
        <f>IF(Z$2&lt;=analysis_period,IF(SUM($C703:Z703)&gt;0,Y367+1,0),0)</f>
        <v>0</v>
      </c>
      <c r="AA367" s="152">
        <f>IF(AA$2&lt;=analysis_period,IF(SUM($C703:AA703)&gt;0,Z367+1,0),0)</f>
        <v>0</v>
      </c>
      <c r="AB367" s="152">
        <f>IF(AB$2&lt;=analysis_period,IF(SUM($C703:AB703)&gt;0,AA367+1,0),0)</f>
        <v>0</v>
      </c>
      <c r="AC367" s="152">
        <f>IF(AC$2&lt;=analysis_period,IF(SUM($C703:AC703)&gt;0,AB367+1,0),0)</f>
        <v>0</v>
      </c>
      <c r="AD367" s="152">
        <f>IF(AD$2&lt;=analysis_period,IF(SUM($C703:AD703)&gt;0,AC367+1,0),0)</f>
        <v>0</v>
      </c>
      <c r="AE367" s="152">
        <f>IF(AE$2&lt;=analysis_period,IF(SUM($C703:AE703)&gt;0,AD367+1,0),0)</f>
        <v>0</v>
      </c>
      <c r="AF367" s="152">
        <f>IF(AF$2&lt;=analysis_period,IF(SUM($C703:AF703)&gt;0,AE367+1,0),0)</f>
        <v>0</v>
      </c>
      <c r="AG367" s="152">
        <f>IF(AG$2&lt;=analysis_period,IF(SUM($C703:AG703)&gt;0,AF367+1,0),0)</f>
        <v>0</v>
      </c>
      <c r="AH367" s="152">
        <f>IF(AH$2&lt;=analysis_period,IF(SUM($C703:AH703)&gt;0,AG367+1,0),0)</f>
        <v>0</v>
      </c>
      <c r="AI367" s="152">
        <f>IF(AI$2&lt;=analysis_period,IF(SUM($C703:AI703)&gt;0,AH367+1,0),0)</f>
        <v>0</v>
      </c>
      <c r="AJ367" s="152">
        <f>IF(AJ$2&lt;=analysis_period,IF(SUM($C703:AJ703)&gt;0,AI367+1,0),0)</f>
        <v>0</v>
      </c>
      <c r="AK367" s="152">
        <f>IF(AK$2&lt;=analysis_period,IF(SUM($C703:AK703)&gt;0,AJ367+1,0),0)</f>
        <v>0</v>
      </c>
      <c r="AL367" s="152">
        <f>IF(AL$2&lt;=analysis_period,IF(SUM($C703:AL703)&gt;0,AK367+1,0),0)</f>
        <v>0</v>
      </c>
      <c r="AM367" s="152">
        <f>IF(AM$2&lt;=analysis_period,IF(SUM($C703:AM703)&gt;0,AL367+1,0),0)</f>
        <v>0</v>
      </c>
      <c r="AN367" s="152">
        <f>IF(AN$2&lt;=analysis_period,IF(SUM($C703:AN703)&gt;0,AM367+1,0),0)</f>
        <v>0</v>
      </c>
      <c r="AO367" s="152">
        <f>IF(AO$2&lt;=analysis_period,IF(SUM($C703:AO703)&gt;0,AN367+1,0),0)</f>
        <v>0</v>
      </c>
      <c r="AP367" s="152">
        <f>IF(AP$2&lt;=analysis_period,IF(SUM($C703:AP703)&gt;0,AO367+1,0),0)</f>
        <v>0</v>
      </c>
    </row>
    <row r="368" spans="1:42" x14ac:dyDescent="0.2">
      <c r="A368" s="85" t="s">
        <v>65</v>
      </c>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row>
    <row r="369" spans="1:42" x14ac:dyDescent="0.2">
      <c r="A369" s="4">
        <v>1</v>
      </c>
      <c r="B369" s="170">
        <f>SUM(C369:AP369)</f>
        <v>0</v>
      </c>
      <c r="C369" s="152">
        <f t="shared" ref="C369:AP369" si="136">LOOKUP(C358,$B$353:$AP$353,$B$354:$AP$354)/100*$B694</f>
        <v>0</v>
      </c>
      <c r="D369" s="152">
        <f t="shared" si="136"/>
        <v>0</v>
      </c>
      <c r="E369" s="152">
        <f t="shared" si="136"/>
        <v>0</v>
      </c>
      <c r="F369" s="152">
        <f t="shared" si="136"/>
        <v>0</v>
      </c>
      <c r="G369" s="152">
        <f t="shared" si="136"/>
        <v>0</v>
      </c>
      <c r="H369" s="152">
        <f t="shared" si="136"/>
        <v>0</v>
      </c>
      <c r="I369" s="152">
        <f t="shared" si="136"/>
        <v>0</v>
      </c>
      <c r="J369" s="152">
        <f t="shared" si="136"/>
        <v>0</v>
      </c>
      <c r="K369" s="152">
        <f t="shared" si="136"/>
        <v>0</v>
      </c>
      <c r="L369" s="152">
        <f t="shared" si="136"/>
        <v>0</v>
      </c>
      <c r="M369" s="152">
        <f t="shared" si="136"/>
        <v>0</v>
      </c>
      <c r="N369" s="152">
        <f t="shared" si="136"/>
        <v>0</v>
      </c>
      <c r="O369" s="152">
        <f t="shared" si="136"/>
        <v>0</v>
      </c>
      <c r="P369" s="152">
        <f t="shared" si="136"/>
        <v>0</v>
      </c>
      <c r="Q369" s="152">
        <f t="shared" si="136"/>
        <v>0</v>
      </c>
      <c r="R369" s="152">
        <f t="shared" si="136"/>
        <v>0</v>
      </c>
      <c r="S369" s="152">
        <f t="shared" si="136"/>
        <v>0</v>
      </c>
      <c r="T369" s="152">
        <f t="shared" si="136"/>
        <v>0</v>
      </c>
      <c r="U369" s="152">
        <f t="shared" si="136"/>
        <v>0</v>
      </c>
      <c r="V369" s="152">
        <f t="shared" si="136"/>
        <v>0</v>
      </c>
      <c r="W369" s="152">
        <f t="shared" si="136"/>
        <v>0</v>
      </c>
      <c r="X369" s="152">
        <f t="shared" si="136"/>
        <v>0</v>
      </c>
      <c r="Y369" s="152">
        <f t="shared" si="136"/>
        <v>0</v>
      </c>
      <c r="Z369" s="152">
        <f t="shared" si="136"/>
        <v>0</v>
      </c>
      <c r="AA369" s="152">
        <f t="shared" si="136"/>
        <v>0</v>
      </c>
      <c r="AB369" s="152">
        <f t="shared" si="136"/>
        <v>0</v>
      </c>
      <c r="AC369" s="152">
        <f t="shared" si="136"/>
        <v>0</v>
      </c>
      <c r="AD369" s="152">
        <f t="shared" si="136"/>
        <v>0</v>
      </c>
      <c r="AE369" s="152">
        <f t="shared" si="136"/>
        <v>0</v>
      </c>
      <c r="AF369" s="152">
        <f t="shared" si="136"/>
        <v>0</v>
      </c>
      <c r="AG369" s="152">
        <f t="shared" si="136"/>
        <v>0</v>
      </c>
      <c r="AH369" s="152">
        <f t="shared" si="136"/>
        <v>0</v>
      </c>
      <c r="AI369" s="152">
        <f t="shared" si="136"/>
        <v>0</v>
      </c>
      <c r="AJ369" s="152">
        <f t="shared" si="136"/>
        <v>0</v>
      </c>
      <c r="AK369" s="152">
        <f t="shared" si="136"/>
        <v>0</v>
      </c>
      <c r="AL369" s="152">
        <f t="shared" si="136"/>
        <v>0</v>
      </c>
      <c r="AM369" s="152">
        <f t="shared" si="136"/>
        <v>0</v>
      </c>
      <c r="AN369" s="152">
        <f t="shared" si="136"/>
        <v>0</v>
      </c>
      <c r="AO369" s="152">
        <f t="shared" si="136"/>
        <v>0</v>
      </c>
      <c r="AP369" s="152">
        <f t="shared" si="136"/>
        <v>0</v>
      </c>
    </row>
    <row r="370" spans="1:42" x14ac:dyDescent="0.2">
      <c r="A370" s="4">
        <f>A369+1</f>
        <v>2</v>
      </c>
      <c r="B370" s="170">
        <f t="shared" ref="B370:B378" si="137">SUM(C370:AP370)</f>
        <v>0</v>
      </c>
      <c r="C370" s="152">
        <f t="shared" ref="C370:AP370" si="138">LOOKUP(C359,$B$353:$AP$353,$B$354:$AP$354)/100*$B695</f>
        <v>0</v>
      </c>
      <c r="D370" s="152">
        <f t="shared" si="138"/>
        <v>0</v>
      </c>
      <c r="E370" s="152">
        <f t="shared" si="138"/>
        <v>0</v>
      </c>
      <c r="F370" s="152">
        <f t="shared" si="138"/>
        <v>0</v>
      </c>
      <c r="G370" s="152">
        <f t="shared" si="138"/>
        <v>0</v>
      </c>
      <c r="H370" s="152">
        <f t="shared" si="138"/>
        <v>0</v>
      </c>
      <c r="I370" s="152">
        <f t="shared" si="138"/>
        <v>0</v>
      </c>
      <c r="J370" s="152">
        <f t="shared" si="138"/>
        <v>0</v>
      </c>
      <c r="K370" s="152">
        <f t="shared" si="138"/>
        <v>0</v>
      </c>
      <c r="L370" s="152">
        <f t="shared" si="138"/>
        <v>0</v>
      </c>
      <c r="M370" s="152">
        <f t="shared" si="138"/>
        <v>0</v>
      </c>
      <c r="N370" s="152">
        <f t="shared" si="138"/>
        <v>0</v>
      </c>
      <c r="O370" s="152">
        <f t="shared" si="138"/>
        <v>0</v>
      </c>
      <c r="P370" s="152">
        <f t="shared" si="138"/>
        <v>0</v>
      </c>
      <c r="Q370" s="152">
        <f t="shared" si="138"/>
        <v>0</v>
      </c>
      <c r="R370" s="152">
        <f t="shared" si="138"/>
        <v>0</v>
      </c>
      <c r="S370" s="152">
        <f t="shared" si="138"/>
        <v>0</v>
      </c>
      <c r="T370" s="152">
        <f t="shared" si="138"/>
        <v>0</v>
      </c>
      <c r="U370" s="152">
        <f t="shared" si="138"/>
        <v>0</v>
      </c>
      <c r="V370" s="152">
        <f t="shared" si="138"/>
        <v>0</v>
      </c>
      <c r="W370" s="152">
        <f t="shared" si="138"/>
        <v>0</v>
      </c>
      <c r="X370" s="152">
        <f t="shared" si="138"/>
        <v>0</v>
      </c>
      <c r="Y370" s="152">
        <f t="shared" si="138"/>
        <v>0</v>
      </c>
      <c r="Z370" s="152">
        <f t="shared" si="138"/>
        <v>0</v>
      </c>
      <c r="AA370" s="152">
        <f t="shared" si="138"/>
        <v>0</v>
      </c>
      <c r="AB370" s="152">
        <f t="shared" si="138"/>
        <v>0</v>
      </c>
      <c r="AC370" s="152">
        <f t="shared" si="138"/>
        <v>0</v>
      </c>
      <c r="AD370" s="152">
        <f t="shared" si="138"/>
        <v>0</v>
      </c>
      <c r="AE370" s="152">
        <f t="shared" si="138"/>
        <v>0</v>
      </c>
      <c r="AF370" s="152">
        <f t="shared" si="138"/>
        <v>0</v>
      </c>
      <c r="AG370" s="152">
        <f t="shared" si="138"/>
        <v>0</v>
      </c>
      <c r="AH370" s="152">
        <f t="shared" si="138"/>
        <v>0</v>
      </c>
      <c r="AI370" s="152">
        <f t="shared" si="138"/>
        <v>0</v>
      </c>
      <c r="AJ370" s="152">
        <f t="shared" si="138"/>
        <v>0</v>
      </c>
      <c r="AK370" s="152">
        <f t="shared" si="138"/>
        <v>0</v>
      </c>
      <c r="AL370" s="152">
        <f t="shared" si="138"/>
        <v>0</v>
      </c>
      <c r="AM370" s="152">
        <f t="shared" si="138"/>
        <v>0</v>
      </c>
      <c r="AN370" s="152">
        <f t="shared" si="138"/>
        <v>0</v>
      </c>
      <c r="AO370" s="152">
        <f t="shared" si="138"/>
        <v>0</v>
      </c>
      <c r="AP370" s="152">
        <f t="shared" si="138"/>
        <v>0</v>
      </c>
    </row>
    <row r="371" spans="1:42" x14ac:dyDescent="0.2">
      <c r="A371" s="4">
        <f t="shared" ref="A371:A378" si="139">A370+1</f>
        <v>3</v>
      </c>
      <c r="B371" s="170">
        <f t="shared" si="137"/>
        <v>0</v>
      </c>
      <c r="C371" s="152">
        <f t="shared" ref="C371:AP371" si="140">LOOKUP(C360,$B$353:$AP$353,$B$354:$AP$354)/100*$B696</f>
        <v>0</v>
      </c>
      <c r="D371" s="152">
        <f t="shared" si="140"/>
        <v>0</v>
      </c>
      <c r="E371" s="152">
        <f t="shared" si="140"/>
        <v>0</v>
      </c>
      <c r="F371" s="152">
        <f t="shared" si="140"/>
        <v>0</v>
      </c>
      <c r="G371" s="152">
        <f t="shared" si="140"/>
        <v>0</v>
      </c>
      <c r="H371" s="152">
        <f t="shared" si="140"/>
        <v>0</v>
      </c>
      <c r="I371" s="152">
        <f t="shared" si="140"/>
        <v>0</v>
      </c>
      <c r="J371" s="152">
        <f t="shared" si="140"/>
        <v>0</v>
      </c>
      <c r="K371" s="152">
        <f t="shared" si="140"/>
        <v>0</v>
      </c>
      <c r="L371" s="152">
        <f t="shared" si="140"/>
        <v>0</v>
      </c>
      <c r="M371" s="152">
        <f t="shared" si="140"/>
        <v>0</v>
      </c>
      <c r="N371" s="152">
        <f t="shared" si="140"/>
        <v>0</v>
      </c>
      <c r="O371" s="152">
        <f t="shared" si="140"/>
        <v>0</v>
      </c>
      <c r="P371" s="152">
        <f t="shared" si="140"/>
        <v>0</v>
      </c>
      <c r="Q371" s="152">
        <f t="shared" si="140"/>
        <v>0</v>
      </c>
      <c r="R371" s="152">
        <f t="shared" si="140"/>
        <v>0</v>
      </c>
      <c r="S371" s="152">
        <f t="shared" si="140"/>
        <v>0</v>
      </c>
      <c r="T371" s="152">
        <f t="shared" si="140"/>
        <v>0</v>
      </c>
      <c r="U371" s="152">
        <f t="shared" si="140"/>
        <v>0</v>
      </c>
      <c r="V371" s="152">
        <f t="shared" si="140"/>
        <v>0</v>
      </c>
      <c r="W371" s="152">
        <f t="shared" si="140"/>
        <v>0</v>
      </c>
      <c r="X371" s="152">
        <f t="shared" si="140"/>
        <v>0</v>
      </c>
      <c r="Y371" s="152">
        <f t="shared" si="140"/>
        <v>0</v>
      </c>
      <c r="Z371" s="152">
        <f t="shared" si="140"/>
        <v>0</v>
      </c>
      <c r="AA371" s="152">
        <f t="shared" si="140"/>
        <v>0</v>
      </c>
      <c r="AB371" s="152">
        <f t="shared" si="140"/>
        <v>0</v>
      </c>
      <c r="AC371" s="152">
        <f t="shared" si="140"/>
        <v>0</v>
      </c>
      <c r="AD371" s="152">
        <f t="shared" si="140"/>
        <v>0</v>
      </c>
      <c r="AE371" s="152">
        <f t="shared" si="140"/>
        <v>0</v>
      </c>
      <c r="AF371" s="152">
        <f t="shared" si="140"/>
        <v>0</v>
      </c>
      <c r="AG371" s="152">
        <f t="shared" si="140"/>
        <v>0</v>
      </c>
      <c r="AH371" s="152">
        <f t="shared" si="140"/>
        <v>0</v>
      </c>
      <c r="AI371" s="152">
        <f t="shared" si="140"/>
        <v>0</v>
      </c>
      <c r="AJ371" s="152">
        <f t="shared" si="140"/>
        <v>0</v>
      </c>
      <c r="AK371" s="152">
        <f t="shared" si="140"/>
        <v>0</v>
      </c>
      <c r="AL371" s="152">
        <f t="shared" si="140"/>
        <v>0</v>
      </c>
      <c r="AM371" s="152">
        <f t="shared" si="140"/>
        <v>0</v>
      </c>
      <c r="AN371" s="152">
        <f t="shared" si="140"/>
        <v>0</v>
      </c>
      <c r="AO371" s="152">
        <f t="shared" si="140"/>
        <v>0</v>
      </c>
      <c r="AP371" s="152">
        <f t="shared" si="140"/>
        <v>0</v>
      </c>
    </row>
    <row r="372" spans="1:42" x14ac:dyDescent="0.2">
      <c r="A372" s="4">
        <f t="shared" si="139"/>
        <v>4</v>
      </c>
      <c r="B372" s="170">
        <f t="shared" si="137"/>
        <v>0</v>
      </c>
      <c r="C372" s="152">
        <f t="shared" ref="C372:AP372" si="141">LOOKUP(C361,$B$353:$AP$353,$B$354:$AP$354)/100*$B697</f>
        <v>0</v>
      </c>
      <c r="D372" s="152">
        <f t="shared" si="141"/>
        <v>0</v>
      </c>
      <c r="E372" s="152">
        <f t="shared" si="141"/>
        <v>0</v>
      </c>
      <c r="F372" s="152">
        <f t="shared" si="141"/>
        <v>0</v>
      </c>
      <c r="G372" s="152">
        <f t="shared" si="141"/>
        <v>0</v>
      </c>
      <c r="H372" s="152">
        <f t="shared" si="141"/>
        <v>0</v>
      </c>
      <c r="I372" s="152">
        <f t="shared" si="141"/>
        <v>0</v>
      </c>
      <c r="J372" s="152">
        <f t="shared" si="141"/>
        <v>0</v>
      </c>
      <c r="K372" s="152">
        <f t="shared" si="141"/>
        <v>0</v>
      </c>
      <c r="L372" s="152">
        <f t="shared" si="141"/>
        <v>0</v>
      </c>
      <c r="M372" s="152">
        <f t="shared" si="141"/>
        <v>0</v>
      </c>
      <c r="N372" s="152">
        <f t="shared" si="141"/>
        <v>0</v>
      </c>
      <c r="O372" s="152">
        <f t="shared" si="141"/>
        <v>0</v>
      </c>
      <c r="P372" s="152">
        <f t="shared" si="141"/>
        <v>0</v>
      </c>
      <c r="Q372" s="152">
        <f t="shared" si="141"/>
        <v>0</v>
      </c>
      <c r="R372" s="152">
        <f t="shared" si="141"/>
        <v>0</v>
      </c>
      <c r="S372" s="152">
        <f t="shared" si="141"/>
        <v>0</v>
      </c>
      <c r="T372" s="152">
        <f t="shared" si="141"/>
        <v>0</v>
      </c>
      <c r="U372" s="152">
        <f t="shared" si="141"/>
        <v>0</v>
      </c>
      <c r="V372" s="152">
        <f t="shared" si="141"/>
        <v>0</v>
      </c>
      <c r="W372" s="152">
        <f t="shared" si="141"/>
        <v>0</v>
      </c>
      <c r="X372" s="152">
        <f t="shared" si="141"/>
        <v>0</v>
      </c>
      <c r="Y372" s="152">
        <f t="shared" si="141"/>
        <v>0</v>
      </c>
      <c r="Z372" s="152">
        <f t="shared" si="141"/>
        <v>0</v>
      </c>
      <c r="AA372" s="152">
        <f t="shared" si="141"/>
        <v>0</v>
      </c>
      <c r="AB372" s="152">
        <f t="shared" si="141"/>
        <v>0</v>
      </c>
      <c r="AC372" s="152">
        <f t="shared" si="141"/>
        <v>0</v>
      </c>
      <c r="AD372" s="152">
        <f t="shared" si="141"/>
        <v>0</v>
      </c>
      <c r="AE372" s="152">
        <f t="shared" si="141"/>
        <v>0</v>
      </c>
      <c r="AF372" s="152">
        <f t="shared" si="141"/>
        <v>0</v>
      </c>
      <c r="AG372" s="152">
        <f t="shared" si="141"/>
        <v>0</v>
      </c>
      <c r="AH372" s="152">
        <f t="shared" si="141"/>
        <v>0</v>
      </c>
      <c r="AI372" s="152">
        <f t="shared" si="141"/>
        <v>0</v>
      </c>
      <c r="AJ372" s="152">
        <f t="shared" si="141"/>
        <v>0</v>
      </c>
      <c r="AK372" s="152">
        <f t="shared" si="141"/>
        <v>0</v>
      </c>
      <c r="AL372" s="152">
        <f t="shared" si="141"/>
        <v>0</v>
      </c>
      <c r="AM372" s="152">
        <f t="shared" si="141"/>
        <v>0</v>
      </c>
      <c r="AN372" s="152">
        <f t="shared" si="141"/>
        <v>0</v>
      </c>
      <c r="AO372" s="152">
        <f t="shared" si="141"/>
        <v>0</v>
      </c>
      <c r="AP372" s="152">
        <f t="shared" si="141"/>
        <v>0</v>
      </c>
    </row>
    <row r="373" spans="1:42" x14ac:dyDescent="0.2">
      <c r="A373" s="4">
        <f t="shared" si="139"/>
        <v>5</v>
      </c>
      <c r="B373" s="170">
        <f t="shared" si="137"/>
        <v>0</v>
      </c>
      <c r="C373" s="152">
        <f t="shared" ref="C373:AP373" si="142">LOOKUP(C362,$B$353:$AP$353,$B$354:$AP$354)/100*$B698</f>
        <v>0</v>
      </c>
      <c r="D373" s="152">
        <f t="shared" si="142"/>
        <v>0</v>
      </c>
      <c r="E373" s="152">
        <f t="shared" si="142"/>
        <v>0</v>
      </c>
      <c r="F373" s="152">
        <f t="shared" si="142"/>
        <v>0</v>
      </c>
      <c r="G373" s="152">
        <f t="shared" si="142"/>
        <v>0</v>
      </c>
      <c r="H373" s="152">
        <f t="shared" si="142"/>
        <v>0</v>
      </c>
      <c r="I373" s="152">
        <f t="shared" si="142"/>
        <v>0</v>
      </c>
      <c r="J373" s="152">
        <f t="shared" si="142"/>
        <v>0</v>
      </c>
      <c r="K373" s="152">
        <f t="shared" si="142"/>
        <v>0</v>
      </c>
      <c r="L373" s="152">
        <f t="shared" si="142"/>
        <v>0</v>
      </c>
      <c r="M373" s="152">
        <f t="shared" si="142"/>
        <v>0</v>
      </c>
      <c r="N373" s="152">
        <f t="shared" si="142"/>
        <v>0</v>
      </c>
      <c r="O373" s="152">
        <f t="shared" si="142"/>
        <v>0</v>
      </c>
      <c r="P373" s="152">
        <f t="shared" si="142"/>
        <v>0</v>
      </c>
      <c r="Q373" s="152">
        <f t="shared" si="142"/>
        <v>0</v>
      </c>
      <c r="R373" s="152">
        <f t="shared" si="142"/>
        <v>0</v>
      </c>
      <c r="S373" s="152">
        <f t="shared" si="142"/>
        <v>0</v>
      </c>
      <c r="T373" s="152">
        <f t="shared" si="142"/>
        <v>0</v>
      </c>
      <c r="U373" s="152">
        <f t="shared" si="142"/>
        <v>0</v>
      </c>
      <c r="V373" s="152">
        <f t="shared" si="142"/>
        <v>0</v>
      </c>
      <c r="W373" s="152">
        <f t="shared" si="142"/>
        <v>0</v>
      </c>
      <c r="X373" s="152">
        <f t="shared" si="142"/>
        <v>0</v>
      </c>
      <c r="Y373" s="152">
        <f t="shared" si="142"/>
        <v>0</v>
      </c>
      <c r="Z373" s="152">
        <f t="shared" si="142"/>
        <v>0</v>
      </c>
      <c r="AA373" s="152">
        <f t="shared" si="142"/>
        <v>0</v>
      </c>
      <c r="AB373" s="152">
        <f t="shared" si="142"/>
        <v>0</v>
      </c>
      <c r="AC373" s="152">
        <f t="shared" si="142"/>
        <v>0</v>
      </c>
      <c r="AD373" s="152">
        <f t="shared" si="142"/>
        <v>0</v>
      </c>
      <c r="AE373" s="152">
        <f t="shared" si="142"/>
        <v>0</v>
      </c>
      <c r="AF373" s="152">
        <f t="shared" si="142"/>
        <v>0</v>
      </c>
      <c r="AG373" s="152">
        <f t="shared" si="142"/>
        <v>0</v>
      </c>
      <c r="AH373" s="152">
        <f t="shared" si="142"/>
        <v>0</v>
      </c>
      <c r="AI373" s="152">
        <f t="shared" si="142"/>
        <v>0</v>
      </c>
      <c r="AJ373" s="152">
        <f t="shared" si="142"/>
        <v>0</v>
      </c>
      <c r="AK373" s="152">
        <f t="shared" si="142"/>
        <v>0</v>
      </c>
      <c r="AL373" s="152">
        <f t="shared" si="142"/>
        <v>0</v>
      </c>
      <c r="AM373" s="152">
        <f t="shared" si="142"/>
        <v>0</v>
      </c>
      <c r="AN373" s="152">
        <f t="shared" si="142"/>
        <v>0</v>
      </c>
      <c r="AO373" s="152">
        <f t="shared" si="142"/>
        <v>0</v>
      </c>
      <c r="AP373" s="152">
        <f t="shared" si="142"/>
        <v>0</v>
      </c>
    </row>
    <row r="374" spans="1:42" x14ac:dyDescent="0.2">
      <c r="A374" s="4">
        <f t="shared" si="139"/>
        <v>6</v>
      </c>
      <c r="B374" s="170">
        <f t="shared" si="137"/>
        <v>0</v>
      </c>
      <c r="C374" s="152">
        <f t="shared" ref="C374:AP374" si="143">LOOKUP(C363,$B$353:$AP$353,$B$354:$AP$354)/100*$B699</f>
        <v>0</v>
      </c>
      <c r="D374" s="152">
        <f t="shared" si="143"/>
        <v>0</v>
      </c>
      <c r="E374" s="152">
        <f t="shared" si="143"/>
        <v>0</v>
      </c>
      <c r="F374" s="152">
        <f t="shared" si="143"/>
        <v>0</v>
      </c>
      <c r="G374" s="152">
        <f t="shared" si="143"/>
        <v>0</v>
      </c>
      <c r="H374" s="152">
        <f t="shared" si="143"/>
        <v>0</v>
      </c>
      <c r="I374" s="152">
        <f t="shared" si="143"/>
        <v>0</v>
      </c>
      <c r="J374" s="152">
        <f t="shared" si="143"/>
        <v>0</v>
      </c>
      <c r="K374" s="152">
        <f t="shared" si="143"/>
        <v>0</v>
      </c>
      <c r="L374" s="152">
        <f t="shared" si="143"/>
        <v>0</v>
      </c>
      <c r="M374" s="152">
        <f t="shared" si="143"/>
        <v>0</v>
      </c>
      <c r="N374" s="152">
        <f t="shared" si="143"/>
        <v>0</v>
      </c>
      <c r="O374" s="152">
        <f t="shared" si="143"/>
        <v>0</v>
      </c>
      <c r="P374" s="152">
        <f t="shared" si="143"/>
        <v>0</v>
      </c>
      <c r="Q374" s="152">
        <f t="shared" si="143"/>
        <v>0</v>
      </c>
      <c r="R374" s="152">
        <f t="shared" si="143"/>
        <v>0</v>
      </c>
      <c r="S374" s="152">
        <f t="shared" si="143"/>
        <v>0</v>
      </c>
      <c r="T374" s="152">
        <f t="shared" si="143"/>
        <v>0</v>
      </c>
      <c r="U374" s="152">
        <f t="shared" si="143"/>
        <v>0</v>
      </c>
      <c r="V374" s="152">
        <f t="shared" si="143"/>
        <v>0</v>
      </c>
      <c r="W374" s="152">
        <f t="shared" si="143"/>
        <v>0</v>
      </c>
      <c r="X374" s="152">
        <f t="shared" si="143"/>
        <v>0</v>
      </c>
      <c r="Y374" s="152">
        <f t="shared" si="143"/>
        <v>0</v>
      </c>
      <c r="Z374" s="152">
        <f t="shared" si="143"/>
        <v>0</v>
      </c>
      <c r="AA374" s="152">
        <f t="shared" si="143"/>
        <v>0</v>
      </c>
      <c r="AB374" s="152">
        <f t="shared" si="143"/>
        <v>0</v>
      </c>
      <c r="AC374" s="152">
        <f t="shared" si="143"/>
        <v>0</v>
      </c>
      <c r="AD374" s="152">
        <f t="shared" si="143"/>
        <v>0</v>
      </c>
      <c r="AE374" s="152">
        <f t="shared" si="143"/>
        <v>0</v>
      </c>
      <c r="AF374" s="152">
        <f t="shared" si="143"/>
        <v>0</v>
      </c>
      <c r="AG374" s="152">
        <f t="shared" si="143"/>
        <v>0</v>
      </c>
      <c r="AH374" s="152">
        <f t="shared" si="143"/>
        <v>0</v>
      </c>
      <c r="AI374" s="152">
        <f t="shared" si="143"/>
        <v>0</v>
      </c>
      <c r="AJ374" s="152">
        <f t="shared" si="143"/>
        <v>0</v>
      </c>
      <c r="AK374" s="152">
        <f t="shared" si="143"/>
        <v>0</v>
      </c>
      <c r="AL374" s="152">
        <f t="shared" si="143"/>
        <v>0</v>
      </c>
      <c r="AM374" s="152">
        <f t="shared" si="143"/>
        <v>0</v>
      </c>
      <c r="AN374" s="152">
        <f t="shared" si="143"/>
        <v>0</v>
      </c>
      <c r="AO374" s="152">
        <f t="shared" si="143"/>
        <v>0</v>
      </c>
      <c r="AP374" s="152">
        <f t="shared" si="143"/>
        <v>0</v>
      </c>
    </row>
    <row r="375" spans="1:42" x14ac:dyDescent="0.2">
      <c r="A375" s="4">
        <f t="shared" si="139"/>
        <v>7</v>
      </c>
      <c r="B375" s="170">
        <f t="shared" si="137"/>
        <v>0</v>
      </c>
      <c r="C375" s="152">
        <f t="shared" ref="C375:AP375" si="144">LOOKUP(C364,$B$353:$AP$353,$B$354:$AP$354)/100*$B700</f>
        <v>0</v>
      </c>
      <c r="D375" s="152">
        <f t="shared" si="144"/>
        <v>0</v>
      </c>
      <c r="E375" s="152">
        <f t="shared" si="144"/>
        <v>0</v>
      </c>
      <c r="F375" s="152">
        <f t="shared" si="144"/>
        <v>0</v>
      </c>
      <c r="G375" s="152">
        <f t="shared" si="144"/>
        <v>0</v>
      </c>
      <c r="H375" s="152">
        <f t="shared" si="144"/>
        <v>0</v>
      </c>
      <c r="I375" s="152">
        <f t="shared" si="144"/>
        <v>0</v>
      </c>
      <c r="J375" s="152">
        <f t="shared" si="144"/>
        <v>0</v>
      </c>
      <c r="K375" s="152">
        <f t="shared" si="144"/>
        <v>0</v>
      </c>
      <c r="L375" s="152">
        <f t="shared" si="144"/>
        <v>0</v>
      </c>
      <c r="M375" s="152">
        <f t="shared" si="144"/>
        <v>0</v>
      </c>
      <c r="N375" s="152">
        <f t="shared" si="144"/>
        <v>0</v>
      </c>
      <c r="O375" s="152">
        <f t="shared" si="144"/>
        <v>0</v>
      </c>
      <c r="P375" s="152">
        <f t="shared" si="144"/>
        <v>0</v>
      </c>
      <c r="Q375" s="152">
        <f t="shared" si="144"/>
        <v>0</v>
      </c>
      <c r="R375" s="152">
        <f t="shared" si="144"/>
        <v>0</v>
      </c>
      <c r="S375" s="152">
        <f t="shared" si="144"/>
        <v>0</v>
      </c>
      <c r="T375" s="152">
        <f t="shared" si="144"/>
        <v>0</v>
      </c>
      <c r="U375" s="152">
        <f t="shared" si="144"/>
        <v>0</v>
      </c>
      <c r="V375" s="152">
        <f t="shared" si="144"/>
        <v>0</v>
      </c>
      <c r="W375" s="152">
        <f t="shared" si="144"/>
        <v>0</v>
      </c>
      <c r="X375" s="152">
        <f t="shared" si="144"/>
        <v>0</v>
      </c>
      <c r="Y375" s="152">
        <f t="shared" si="144"/>
        <v>0</v>
      </c>
      <c r="Z375" s="152">
        <f t="shared" si="144"/>
        <v>0</v>
      </c>
      <c r="AA375" s="152">
        <f t="shared" si="144"/>
        <v>0</v>
      </c>
      <c r="AB375" s="152">
        <f t="shared" si="144"/>
        <v>0</v>
      </c>
      <c r="AC375" s="152">
        <f t="shared" si="144"/>
        <v>0</v>
      </c>
      <c r="AD375" s="152">
        <f t="shared" si="144"/>
        <v>0</v>
      </c>
      <c r="AE375" s="152">
        <f t="shared" si="144"/>
        <v>0</v>
      </c>
      <c r="AF375" s="152">
        <f t="shared" si="144"/>
        <v>0</v>
      </c>
      <c r="AG375" s="152">
        <f t="shared" si="144"/>
        <v>0</v>
      </c>
      <c r="AH375" s="152">
        <f t="shared" si="144"/>
        <v>0</v>
      </c>
      <c r="AI375" s="152">
        <f t="shared" si="144"/>
        <v>0</v>
      </c>
      <c r="AJ375" s="152">
        <f t="shared" si="144"/>
        <v>0</v>
      </c>
      <c r="AK375" s="152">
        <f t="shared" si="144"/>
        <v>0</v>
      </c>
      <c r="AL375" s="152">
        <f t="shared" si="144"/>
        <v>0</v>
      </c>
      <c r="AM375" s="152">
        <f t="shared" si="144"/>
        <v>0</v>
      </c>
      <c r="AN375" s="152">
        <f t="shared" si="144"/>
        <v>0</v>
      </c>
      <c r="AO375" s="152">
        <f t="shared" si="144"/>
        <v>0</v>
      </c>
      <c r="AP375" s="152">
        <f t="shared" si="144"/>
        <v>0</v>
      </c>
    </row>
    <row r="376" spans="1:42" x14ac:dyDescent="0.2">
      <c r="A376" s="4">
        <f t="shared" si="139"/>
        <v>8</v>
      </c>
      <c r="B376" s="170">
        <f t="shared" si="137"/>
        <v>0</v>
      </c>
      <c r="C376" s="152">
        <f t="shared" ref="C376:AP376" si="145">LOOKUP(C365,$B$353:$AP$353,$B$354:$AP$354)/100*$B701</f>
        <v>0</v>
      </c>
      <c r="D376" s="152">
        <f t="shared" si="145"/>
        <v>0</v>
      </c>
      <c r="E376" s="152">
        <f t="shared" si="145"/>
        <v>0</v>
      </c>
      <c r="F376" s="152">
        <f t="shared" si="145"/>
        <v>0</v>
      </c>
      <c r="G376" s="152">
        <f t="shared" si="145"/>
        <v>0</v>
      </c>
      <c r="H376" s="152">
        <f t="shared" si="145"/>
        <v>0</v>
      </c>
      <c r="I376" s="152">
        <f t="shared" si="145"/>
        <v>0</v>
      </c>
      <c r="J376" s="152">
        <f t="shared" si="145"/>
        <v>0</v>
      </c>
      <c r="K376" s="152">
        <f t="shared" si="145"/>
        <v>0</v>
      </c>
      <c r="L376" s="152">
        <f t="shared" si="145"/>
        <v>0</v>
      </c>
      <c r="M376" s="152">
        <f t="shared" si="145"/>
        <v>0</v>
      </c>
      <c r="N376" s="152">
        <f t="shared" si="145"/>
        <v>0</v>
      </c>
      <c r="O376" s="152">
        <f t="shared" si="145"/>
        <v>0</v>
      </c>
      <c r="P376" s="152">
        <f t="shared" si="145"/>
        <v>0</v>
      </c>
      <c r="Q376" s="152">
        <f t="shared" si="145"/>
        <v>0</v>
      </c>
      <c r="R376" s="152">
        <f t="shared" si="145"/>
        <v>0</v>
      </c>
      <c r="S376" s="152">
        <f t="shared" si="145"/>
        <v>0</v>
      </c>
      <c r="T376" s="152">
        <f t="shared" si="145"/>
        <v>0</v>
      </c>
      <c r="U376" s="152">
        <f t="shared" si="145"/>
        <v>0</v>
      </c>
      <c r="V376" s="152">
        <f t="shared" si="145"/>
        <v>0</v>
      </c>
      <c r="W376" s="152">
        <f t="shared" si="145"/>
        <v>0</v>
      </c>
      <c r="X376" s="152">
        <f t="shared" si="145"/>
        <v>0</v>
      </c>
      <c r="Y376" s="152">
        <f t="shared" si="145"/>
        <v>0</v>
      </c>
      <c r="Z376" s="152">
        <f t="shared" si="145"/>
        <v>0</v>
      </c>
      <c r="AA376" s="152">
        <f t="shared" si="145"/>
        <v>0</v>
      </c>
      <c r="AB376" s="152">
        <f t="shared" si="145"/>
        <v>0</v>
      </c>
      <c r="AC376" s="152">
        <f t="shared" si="145"/>
        <v>0</v>
      </c>
      <c r="AD376" s="152">
        <f t="shared" si="145"/>
        <v>0</v>
      </c>
      <c r="AE376" s="152">
        <f t="shared" si="145"/>
        <v>0</v>
      </c>
      <c r="AF376" s="152">
        <f t="shared" si="145"/>
        <v>0</v>
      </c>
      <c r="AG376" s="152">
        <f t="shared" si="145"/>
        <v>0</v>
      </c>
      <c r="AH376" s="152">
        <f t="shared" si="145"/>
        <v>0</v>
      </c>
      <c r="AI376" s="152">
        <f t="shared" si="145"/>
        <v>0</v>
      </c>
      <c r="AJ376" s="152">
        <f t="shared" si="145"/>
        <v>0</v>
      </c>
      <c r="AK376" s="152">
        <f t="shared" si="145"/>
        <v>0</v>
      </c>
      <c r="AL376" s="152">
        <f t="shared" si="145"/>
        <v>0</v>
      </c>
      <c r="AM376" s="152">
        <f t="shared" si="145"/>
        <v>0</v>
      </c>
      <c r="AN376" s="152">
        <f t="shared" si="145"/>
        <v>0</v>
      </c>
      <c r="AO376" s="152">
        <f t="shared" si="145"/>
        <v>0</v>
      </c>
      <c r="AP376" s="152">
        <f t="shared" si="145"/>
        <v>0</v>
      </c>
    </row>
    <row r="377" spans="1:42" x14ac:dyDescent="0.2">
      <c r="A377" s="4">
        <f>A376+1</f>
        <v>9</v>
      </c>
      <c r="B377" s="170">
        <f t="shared" si="137"/>
        <v>0</v>
      </c>
      <c r="C377" s="152">
        <f t="shared" ref="C377:AP377" si="146">LOOKUP(C366,$B$353:$AP$353,$B$354:$AP$354)/100*$B702</f>
        <v>0</v>
      </c>
      <c r="D377" s="152">
        <f t="shared" si="146"/>
        <v>0</v>
      </c>
      <c r="E377" s="152">
        <f t="shared" si="146"/>
        <v>0</v>
      </c>
      <c r="F377" s="152">
        <f t="shared" si="146"/>
        <v>0</v>
      </c>
      <c r="G377" s="152">
        <f t="shared" si="146"/>
        <v>0</v>
      </c>
      <c r="H377" s="152">
        <f t="shared" si="146"/>
        <v>0</v>
      </c>
      <c r="I377" s="152">
        <f t="shared" si="146"/>
        <v>0</v>
      </c>
      <c r="J377" s="152">
        <f t="shared" si="146"/>
        <v>0</v>
      </c>
      <c r="K377" s="152">
        <f t="shared" si="146"/>
        <v>0</v>
      </c>
      <c r="L377" s="152">
        <f t="shared" si="146"/>
        <v>0</v>
      </c>
      <c r="M377" s="152">
        <f t="shared" si="146"/>
        <v>0</v>
      </c>
      <c r="N377" s="152">
        <f t="shared" si="146"/>
        <v>0</v>
      </c>
      <c r="O377" s="152">
        <f t="shared" si="146"/>
        <v>0</v>
      </c>
      <c r="P377" s="152">
        <f t="shared" si="146"/>
        <v>0</v>
      </c>
      <c r="Q377" s="152">
        <f t="shared" si="146"/>
        <v>0</v>
      </c>
      <c r="R377" s="152">
        <f t="shared" si="146"/>
        <v>0</v>
      </c>
      <c r="S377" s="152">
        <f t="shared" si="146"/>
        <v>0</v>
      </c>
      <c r="T377" s="152">
        <f t="shared" si="146"/>
        <v>0</v>
      </c>
      <c r="U377" s="152">
        <f t="shared" si="146"/>
        <v>0</v>
      </c>
      <c r="V377" s="152">
        <f t="shared" si="146"/>
        <v>0</v>
      </c>
      <c r="W377" s="152">
        <f t="shared" si="146"/>
        <v>0</v>
      </c>
      <c r="X377" s="152">
        <f t="shared" si="146"/>
        <v>0</v>
      </c>
      <c r="Y377" s="152">
        <f t="shared" si="146"/>
        <v>0</v>
      </c>
      <c r="Z377" s="152">
        <f t="shared" si="146"/>
        <v>0</v>
      </c>
      <c r="AA377" s="152">
        <f t="shared" si="146"/>
        <v>0</v>
      </c>
      <c r="AB377" s="152">
        <f t="shared" si="146"/>
        <v>0</v>
      </c>
      <c r="AC377" s="152">
        <f t="shared" si="146"/>
        <v>0</v>
      </c>
      <c r="AD377" s="152">
        <f t="shared" si="146"/>
        <v>0</v>
      </c>
      <c r="AE377" s="152">
        <f t="shared" si="146"/>
        <v>0</v>
      </c>
      <c r="AF377" s="152">
        <f t="shared" si="146"/>
        <v>0</v>
      </c>
      <c r="AG377" s="152">
        <f t="shared" si="146"/>
        <v>0</v>
      </c>
      <c r="AH377" s="152">
        <f t="shared" si="146"/>
        <v>0</v>
      </c>
      <c r="AI377" s="152">
        <f t="shared" si="146"/>
        <v>0</v>
      </c>
      <c r="AJ377" s="152">
        <f t="shared" si="146"/>
        <v>0</v>
      </c>
      <c r="AK377" s="152">
        <f t="shared" si="146"/>
        <v>0</v>
      </c>
      <c r="AL377" s="152">
        <f t="shared" si="146"/>
        <v>0</v>
      </c>
      <c r="AM377" s="152">
        <f t="shared" si="146"/>
        <v>0</v>
      </c>
      <c r="AN377" s="152">
        <f t="shared" si="146"/>
        <v>0</v>
      </c>
      <c r="AO377" s="152">
        <f t="shared" si="146"/>
        <v>0</v>
      </c>
      <c r="AP377" s="152">
        <f t="shared" si="146"/>
        <v>0</v>
      </c>
    </row>
    <row r="378" spans="1:42" x14ac:dyDescent="0.2">
      <c r="A378" s="4">
        <f t="shared" si="139"/>
        <v>10</v>
      </c>
      <c r="B378" s="170">
        <f t="shared" si="137"/>
        <v>0</v>
      </c>
      <c r="C378" s="171">
        <f t="shared" ref="C378:AP378" si="147">LOOKUP(C367,$B$353:$AP$353,$B$354:$AP$354)/100*$B703</f>
        <v>0</v>
      </c>
      <c r="D378" s="153">
        <f t="shared" si="147"/>
        <v>0</v>
      </c>
      <c r="E378" s="153">
        <f t="shared" si="147"/>
        <v>0</v>
      </c>
      <c r="F378" s="153">
        <f t="shared" si="147"/>
        <v>0</v>
      </c>
      <c r="G378" s="153">
        <f t="shared" si="147"/>
        <v>0</v>
      </c>
      <c r="H378" s="153">
        <f t="shared" si="147"/>
        <v>0</v>
      </c>
      <c r="I378" s="153">
        <f t="shared" si="147"/>
        <v>0</v>
      </c>
      <c r="J378" s="153">
        <f t="shared" si="147"/>
        <v>0</v>
      </c>
      <c r="K378" s="153">
        <f t="shared" si="147"/>
        <v>0</v>
      </c>
      <c r="L378" s="153">
        <f t="shared" si="147"/>
        <v>0</v>
      </c>
      <c r="M378" s="153">
        <f t="shared" si="147"/>
        <v>0</v>
      </c>
      <c r="N378" s="153">
        <f t="shared" si="147"/>
        <v>0</v>
      </c>
      <c r="O378" s="153">
        <f t="shared" si="147"/>
        <v>0</v>
      </c>
      <c r="P378" s="153">
        <f t="shared" si="147"/>
        <v>0</v>
      </c>
      <c r="Q378" s="153">
        <f t="shared" si="147"/>
        <v>0</v>
      </c>
      <c r="R378" s="153">
        <f t="shared" si="147"/>
        <v>0</v>
      </c>
      <c r="S378" s="153">
        <f t="shared" si="147"/>
        <v>0</v>
      </c>
      <c r="T378" s="153">
        <f t="shared" si="147"/>
        <v>0</v>
      </c>
      <c r="U378" s="153">
        <f t="shared" si="147"/>
        <v>0</v>
      </c>
      <c r="V378" s="153">
        <f t="shared" si="147"/>
        <v>0</v>
      </c>
      <c r="W378" s="153">
        <f t="shared" si="147"/>
        <v>0</v>
      </c>
      <c r="X378" s="153">
        <f t="shared" si="147"/>
        <v>0</v>
      </c>
      <c r="Y378" s="153">
        <f t="shared" si="147"/>
        <v>0</v>
      </c>
      <c r="Z378" s="153">
        <f t="shared" si="147"/>
        <v>0</v>
      </c>
      <c r="AA378" s="153">
        <f t="shared" si="147"/>
        <v>0</v>
      </c>
      <c r="AB378" s="153">
        <f t="shared" si="147"/>
        <v>0</v>
      </c>
      <c r="AC378" s="153">
        <f t="shared" si="147"/>
        <v>0</v>
      </c>
      <c r="AD378" s="153">
        <f t="shared" si="147"/>
        <v>0</v>
      </c>
      <c r="AE378" s="153">
        <f t="shared" si="147"/>
        <v>0</v>
      </c>
      <c r="AF378" s="153">
        <f t="shared" si="147"/>
        <v>0</v>
      </c>
      <c r="AG378" s="153">
        <f t="shared" si="147"/>
        <v>0</v>
      </c>
      <c r="AH378" s="153">
        <f t="shared" si="147"/>
        <v>0</v>
      </c>
      <c r="AI378" s="153">
        <f t="shared" si="147"/>
        <v>0</v>
      </c>
      <c r="AJ378" s="153">
        <f t="shared" si="147"/>
        <v>0</v>
      </c>
      <c r="AK378" s="153">
        <f t="shared" si="147"/>
        <v>0</v>
      </c>
      <c r="AL378" s="153">
        <f t="shared" si="147"/>
        <v>0</v>
      </c>
      <c r="AM378" s="153">
        <f t="shared" si="147"/>
        <v>0</v>
      </c>
      <c r="AN378" s="153">
        <f t="shared" si="147"/>
        <v>0</v>
      </c>
      <c r="AO378" s="153">
        <f t="shared" si="147"/>
        <v>0</v>
      </c>
      <c r="AP378" s="153">
        <f t="shared" si="147"/>
        <v>0</v>
      </c>
    </row>
    <row r="379" spans="1:42" ht="12" customHeight="1" x14ac:dyDescent="0.2">
      <c r="A379" s="24" t="s">
        <v>13</v>
      </c>
      <c r="B379" s="152"/>
      <c r="C379" s="152">
        <f>SUM(C369:C378)</f>
        <v>0</v>
      </c>
      <c r="D379" s="152">
        <f t="shared" ref="D379:AP379" si="148">SUM(D369:D378)</f>
        <v>0</v>
      </c>
      <c r="E379" s="152">
        <f t="shared" si="148"/>
        <v>0</v>
      </c>
      <c r="F379" s="152">
        <f t="shared" si="148"/>
        <v>0</v>
      </c>
      <c r="G379" s="152">
        <f t="shared" si="148"/>
        <v>0</v>
      </c>
      <c r="H379" s="152">
        <f t="shared" si="148"/>
        <v>0</v>
      </c>
      <c r="I379" s="152">
        <f t="shared" si="148"/>
        <v>0</v>
      </c>
      <c r="J379" s="152">
        <f t="shared" si="148"/>
        <v>0</v>
      </c>
      <c r="K379" s="152">
        <f t="shared" si="148"/>
        <v>0</v>
      </c>
      <c r="L379" s="152">
        <f t="shared" si="148"/>
        <v>0</v>
      </c>
      <c r="M379" s="152">
        <f t="shared" si="148"/>
        <v>0</v>
      </c>
      <c r="N379" s="152">
        <f t="shared" si="148"/>
        <v>0</v>
      </c>
      <c r="O379" s="152">
        <f t="shared" si="148"/>
        <v>0</v>
      </c>
      <c r="P379" s="152">
        <f t="shared" si="148"/>
        <v>0</v>
      </c>
      <c r="Q379" s="152">
        <f t="shared" si="148"/>
        <v>0</v>
      </c>
      <c r="R379" s="152">
        <f t="shared" si="148"/>
        <v>0</v>
      </c>
      <c r="S379" s="152">
        <f t="shared" si="148"/>
        <v>0</v>
      </c>
      <c r="T379" s="152">
        <f t="shared" si="148"/>
        <v>0</v>
      </c>
      <c r="U379" s="152">
        <f t="shared" si="148"/>
        <v>0</v>
      </c>
      <c r="V379" s="152">
        <f t="shared" si="148"/>
        <v>0</v>
      </c>
      <c r="W379" s="152">
        <f t="shared" si="148"/>
        <v>0</v>
      </c>
      <c r="X379" s="152">
        <f t="shared" si="148"/>
        <v>0</v>
      </c>
      <c r="Y379" s="152">
        <f t="shared" si="148"/>
        <v>0</v>
      </c>
      <c r="Z379" s="152">
        <f t="shared" si="148"/>
        <v>0</v>
      </c>
      <c r="AA379" s="152">
        <f t="shared" si="148"/>
        <v>0</v>
      </c>
      <c r="AB379" s="152">
        <f t="shared" si="148"/>
        <v>0</v>
      </c>
      <c r="AC379" s="152">
        <f t="shared" si="148"/>
        <v>0</v>
      </c>
      <c r="AD379" s="152">
        <f t="shared" si="148"/>
        <v>0</v>
      </c>
      <c r="AE379" s="152">
        <f t="shared" si="148"/>
        <v>0</v>
      </c>
      <c r="AF379" s="152">
        <f t="shared" si="148"/>
        <v>0</v>
      </c>
      <c r="AG379" s="152">
        <f t="shared" si="148"/>
        <v>0</v>
      </c>
      <c r="AH379" s="152">
        <f t="shared" si="148"/>
        <v>0</v>
      </c>
      <c r="AI379" s="152">
        <f t="shared" si="148"/>
        <v>0</v>
      </c>
      <c r="AJ379" s="152">
        <f t="shared" si="148"/>
        <v>0</v>
      </c>
      <c r="AK379" s="152">
        <f t="shared" si="148"/>
        <v>0</v>
      </c>
      <c r="AL379" s="152">
        <f t="shared" si="148"/>
        <v>0</v>
      </c>
      <c r="AM379" s="152">
        <f t="shared" si="148"/>
        <v>0</v>
      </c>
      <c r="AN379" s="152">
        <f t="shared" si="148"/>
        <v>0</v>
      </c>
      <c r="AO379" s="152">
        <f t="shared" si="148"/>
        <v>0</v>
      </c>
      <c r="AP379" s="152">
        <f t="shared" si="148"/>
        <v>0</v>
      </c>
    </row>
    <row r="380" spans="1:42" x14ac:dyDescent="0.2">
      <c r="A380" s="21"/>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row>
    <row r="381" spans="1:42" x14ac:dyDescent="0.2">
      <c r="A381" s="21" t="s">
        <v>76</v>
      </c>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row>
    <row r="382" spans="1:42" x14ac:dyDescent="0.2">
      <c r="A382" s="85" t="s">
        <v>62</v>
      </c>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row>
    <row r="383" spans="1:42" x14ac:dyDescent="0.2">
      <c r="A383" s="4">
        <v>1</v>
      </c>
      <c r="B383" s="4">
        <v>0</v>
      </c>
      <c r="C383" s="152">
        <f>IF(C$2&lt;=analysis_period,IF(SUM($C726:C726)&gt;0,B383+1,0),0)</f>
        <v>0</v>
      </c>
      <c r="D383" s="152">
        <f>IF(D$2&lt;=analysis_period,IF(SUM($C726:D726)&gt;0,C383+1,0),0)</f>
        <v>0</v>
      </c>
      <c r="E383" s="152">
        <f>IF(E$2&lt;=analysis_period,IF(SUM($C726:E726)&gt;0,D383+1,0),0)</f>
        <v>0</v>
      </c>
      <c r="F383" s="152">
        <f>IF(F$2&lt;=analysis_period,IF(SUM($C726:F726)&gt;0,E383+1,0),0)</f>
        <v>0</v>
      </c>
      <c r="G383" s="152">
        <f>IF(G$2&lt;=analysis_period,IF(SUM($C726:G726)&gt;0,F383+1,0),0)</f>
        <v>0</v>
      </c>
      <c r="H383" s="152">
        <f>IF(H$2&lt;=analysis_period,IF(SUM($C726:H726)&gt;0,G383+1,0),0)</f>
        <v>0</v>
      </c>
      <c r="I383" s="152">
        <f>IF(I$2&lt;=analysis_period,IF(SUM($C726:I726)&gt;0,H383+1,0),0)</f>
        <v>0</v>
      </c>
      <c r="J383" s="152">
        <f>IF(J$2&lt;=analysis_period,IF(SUM($C726:J726)&gt;0,I383+1,0),0)</f>
        <v>0</v>
      </c>
      <c r="K383" s="152">
        <f>IF(K$2&lt;=analysis_period,IF(SUM($C726:K726)&gt;0,J383+1,0),0)</f>
        <v>0</v>
      </c>
      <c r="L383" s="152">
        <f>IF(L$2&lt;=analysis_period,IF(SUM($C726:L726)&gt;0,K383+1,0),0)</f>
        <v>0</v>
      </c>
      <c r="M383" s="152">
        <f>IF(M$2&lt;=analysis_period,IF(SUM($C726:M726)&gt;0,L383+1,0),0)</f>
        <v>0</v>
      </c>
      <c r="N383" s="152">
        <f>IF(N$2&lt;=analysis_period,IF(SUM($C726:N726)&gt;0,M383+1,0),0)</f>
        <v>0</v>
      </c>
      <c r="O383" s="152">
        <f>IF(O$2&lt;=analysis_period,IF(SUM($C726:O726)&gt;0,N383+1,0),0)</f>
        <v>0</v>
      </c>
      <c r="P383" s="152">
        <f>IF(P$2&lt;=analysis_period,IF(SUM($C726:P726)&gt;0,O383+1,0),0)</f>
        <v>0</v>
      </c>
      <c r="Q383" s="152">
        <f>IF(Q$2&lt;=analysis_period,IF(SUM($C726:Q726)&gt;0,P383+1,0),0)</f>
        <v>0</v>
      </c>
      <c r="R383" s="152">
        <f>IF(R$2&lt;=analysis_period,IF(SUM($C726:R726)&gt;0,Q383+1,0),0)</f>
        <v>0</v>
      </c>
      <c r="S383" s="152">
        <f>IF(S$2&lt;=analysis_period,IF(SUM($C726:S726)&gt;0,R383+1,0),0)</f>
        <v>0</v>
      </c>
      <c r="T383" s="152">
        <f>IF(T$2&lt;=analysis_period,IF(SUM($C726:T726)&gt;0,S383+1,0),0)</f>
        <v>0</v>
      </c>
      <c r="U383" s="152">
        <f>IF(U$2&lt;=analysis_period,IF(SUM($C726:U726)&gt;0,T383+1,0),0)</f>
        <v>0</v>
      </c>
      <c r="V383" s="152">
        <f>IF(V$2&lt;=analysis_period,IF(SUM($C726:V726)&gt;0,U383+1,0),0)</f>
        <v>0</v>
      </c>
      <c r="W383" s="152">
        <f>IF(W$2&lt;=analysis_period,IF(SUM($C726:W726)&gt;0,V383+1,0),0)</f>
        <v>0</v>
      </c>
      <c r="X383" s="152">
        <f>IF(X$2&lt;=analysis_period,IF(SUM($C726:X726)&gt;0,W383+1,0),0)</f>
        <v>0</v>
      </c>
      <c r="Y383" s="152">
        <f>IF(Y$2&lt;=analysis_period,IF(SUM($C726:Y726)&gt;0,X383+1,0),0)</f>
        <v>0</v>
      </c>
      <c r="Z383" s="152">
        <f>IF(Z$2&lt;=analysis_period,IF(SUM($C726:Z726)&gt;0,Y383+1,0),0)</f>
        <v>0</v>
      </c>
      <c r="AA383" s="152">
        <f>IF(AA$2&lt;=analysis_period,IF(SUM($C726:AA726)&gt;0,Z383+1,0),0)</f>
        <v>0</v>
      </c>
      <c r="AB383" s="152">
        <f>IF(AB$2&lt;=analysis_period,IF(SUM($C726:AB726)&gt;0,AA383+1,0),0)</f>
        <v>0</v>
      </c>
      <c r="AC383" s="152">
        <f>IF(AC$2&lt;=analysis_period,IF(SUM($C726:AC726)&gt;0,AB383+1,0),0)</f>
        <v>0</v>
      </c>
      <c r="AD383" s="152">
        <f>IF(AD$2&lt;=analysis_period,IF(SUM($C726:AD726)&gt;0,AC383+1,0),0)</f>
        <v>0</v>
      </c>
      <c r="AE383" s="152">
        <f>IF(AE$2&lt;=analysis_period,IF(SUM($C726:AE726)&gt;0,AD383+1,0),0)</f>
        <v>0</v>
      </c>
      <c r="AF383" s="152">
        <f>IF(AF$2&lt;=analysis_period,IF(SUM($C726:AF726)&gt;0,AE383+1,0),0)</f>
        <v>0</v>
      </c>
      <c r="AG383" s="152">
        <f>IF(AG$2&lt;=analysis_period,IF(SUM($C726:AG726)&gt;0,AF383+1,0),0)</f>
        <v>0</v>
      </c>
      <c r="AH383" s="152">
        <f>IF(AH$2&lt;=analysis_period,IF(SUM($C726:AH726)&gt;0,AG383+1,0),0)</f>
        <v>0</v>
      </c>
      <c r="AI383" s="152">
        <f>IF(AI$2&lt;=analysis_period,IF(SUM($C726:AI726)&gt;0,AH383+1,0),0)</f>
        <v>0</v>
      </c>
      <c r="AJ383" s="152">
        <f>IF(AJ$2&lt;=analysis_period,IF(SUM($C726:AJ726)&gt;0,AI383+1,0),0)</f>
        <v>0</v>
      </c>
      <c r="AK383" s="152">
        <f>IF(AK$2&lt;=analysis_period,IF(SUM($C726:AK726)&gt;0,AJ383+1,0),0)</f>
        <v>0</v>
      </c>
      <c r="AL383" s="152">
        <f>IF(AL$2&lt;=analysis_period,IF(SUM($C726:AL726)&gt;0,AK383+1,0),0)</f>
        <v>0</v>
      </c>
      <c r="AM383" s="152">
        <f>IF(AM$2&lt;=analysis_period,IF(SUM($C726:AM726)&gt;0,AL383+1,0),0)</f>
        <v>0</v>
      </c>
      <c r="AN383" s="152">
        <f>IF(AN$2&lt;=analysis_period,IF(SUM($C726:AN726)&gt;0,AM383+1,0),0)</f>
        <v>0</v>
      </c>
      <c r="AO383" s="152">
        <f>IF(AO$2&lt;=analysis_period,IF(SUM($C726:AO726)&gt;0,AN383+1,0),0)</f>
        <v>0</v>
      </c>
      <c r="AP383" s="152">
        <f>IF(AP$2&lt;=analysis_period,IF(SUM($C726:AP726)&gt;0,AO383+1,0),0)</f>
        <v>0</v>
      </c>
    </row>
    <row r="384" spans="1:42" x14ac:dyDescent="0.2">
      <c r="A384" s="4">
        <f>A383+1</f>
        <v>2</v>
      </c>
      <c r="B384" s="4">
        <v>0</v>
      </c>
      <c r="C384" s="152">
        <f>IF(C$2&lt;=analysis_period,IF(SUM($C727:C727)&gt;0,B384+1,0),0)</f>
        <v>0</v>
      </c>
      <c r="D384" s="152">
        <f>IF(D$2&lt;=analysis_period,IF(SUM($C727:D727)&gt;0,C384+1,0),0)</f>
        <v>0</v>
      </c>
      <c r="E384" s="152">
        <f>IF(E$2&lt;=analysis_period,IF(SUM($C727:E727)&gt;0,D384+1,0),0)</f>
        <v>0</v>
      </c>
      <c r="F384" s="152">
        <f>IF(F$2&lt;=analysis_period,IF(SUM($C727:F727)&gt;0,E384+1,0),0)</f>
        <v>0</v>
      </c>
      <c r="G384" s="152">
        <f>IF(G$2&lt;=analysis_period,IF(SUM($C727:G727)&gt;0,F384+1,0),0)</f>
        <v>0</v>
      </c>
      <c r="H384" s="152">
        <f>IF(H$2&lt;=analysis_period,IF(SUM($C727:H727)&gt;0,G384+1,0),0)</f>
        <v>0</v>
      </c>
      <c r="I384" s="152">
        <f>IF(I$2&lt;=analysis_period,IF(SUM($C727:I727)&gt;0,H384+1,0),0)</f>
        <v>0</v>
      </c>
      <c r="J384" s="152">
        <f>IF(J$2&lt;=analysis_period,IF(SUM($C727:J727)&gt;0,I384+1,0),0)</f>
        <v>0</v>
      </c>
      <c r="K384" s="152">
        <f>IF(K$2&lt;=analysis_period,IF(SUM($C727:K727)&gt;0,J384+1,0),0)</f>
        <v>0</v>
      </c>
      <c r="L384" s="152">
        <f>IF(L$2&lt;=analysis_period,IF(SUM($C727:L727)&gt;0,K384+1,0),0)</f>
        <v>0</v>
      </c>
      <c r="M384" s="152">
        <f>IF(M$2&lt;=analysis_period,IF(SUM($C727:M727)&gt;0,L384+1,0),0)</f>
        <v>0</v>
      </c>
      <c r="N384" s="152">
        <f>IF(N$2&lt;=analysis_period,IF(SUM($C727:N727)&gt;0,M384+1,0),0)</f>
        <v>0</v>
      </c>
      <c r="O384" s="152">
        <f>IF(O$2&lt;=analysis_period,IF(SUM($C727:O727)&gt;0,N384+1,0),0)</f>
        <v>0</v>
      </c>
      <c r="P384" s="152">
        <f>IF(P$2&lt;=analysis_period,IF(SUM($C727:P727)&gt;0,O384+1,0),0)</f>
        <v>0</v>
      </c>
      <c r="Q384" s="152">
        <f>IF(Q$2&lt;=analysis_period,IF(SUM($C727:Q727)&gt;0,P384+1,0),0)</f>
        <v>0</v>
      </c>
      <c r="R384" s="152">
        <f>IF(R$2&lt;=analysis_period,IF(SUM($C727:R727)&gt;0,Q384+1,0),0)</f>
        <v>0</v>
      </c>
      <c r="S384" s="152">
        <f>IF(S$2&lt;=analysis_period,IF(SUM($C727:S727)&gt;0,R384+1,0),0)</f>
        <v>0</v>
      </c>
      <c r="T384" s="152">
        <f>IF(T$2&lt;=analysis_period,IF(SUM($C727:T727)&gt;0,S384+1,0),0)</f>
        <v>0</v>
      </c>
      <c r="U384" s="152">
        <f>IF(U$2&lt;=analysis_period,IF(SUM($C727:U727)&gt;0,T384+1,0),0)</f>
        <v>0</v>
      </c>
      <c r="V384" s="152">
        <f>IF(V$2&lt;=analysis_period,IF(SUM($C727:V727)&gt;0,U384+1,0),0)</f>
        <v>0</v>
      </c>
      <c r="W384" s="152">
        <f>IF(W$2&lt;=analysis_period,IF(SUM($C727:W727)&gt;0,V384+1,0),0)</f>
        <v>0</v>
      </c>
      <c r="X384" s="152">
        <f>IF(X$2&lt;=analysis_period,IF(SUM($C727:X727)&gt;0,W384+1,0),0)</f>
        <v>0</v>
      </c>
      <c r="Y384" s="152">
        <f>IF(Y$2&lt;=analysis_period,IF(SUM($C727:Y727)&gt;0,X384+1,0),0)</f>
        <v>0</v>
      </c>
      <c r="Z384" s="152">
        <f>IF(Z$2&lt;=analysis_period,IF(SUM($C727:Z727)&gt;0,Y384+1,0),0)</f>
        <v>0</v>
      </c>
      <c r="AA384" s="152">
        <f>IF(AA$2&lt;=analysis_period,IF(SUM($C727:AA727)&gt;0,Z384+1,0),0)</f>
        <v>0</v>
      </c>
      <c r="AB384" s="152">
        <f>IF(AB$2&lt;=analysis_period,IF(SUM($C727:AB727)&gt;0,AA384+1,0),0)</f>
        <v>0</v>
      </c>
      <c r="AC384" s="152">
        <f>IF(AC$2&lt;=analysis_period,IF(SUM($C727:AC727)&gt;0,AB384+1,0),0)</f>
        <v>0</v>
      </c>
      <c r="AD384" s="152">
        <f>IF(AD$2&lt;=analysis_period,IF(SUM($C727:AD727)&gt;0,AC384+1,0),0)</f>
        <v>0</v>
      </c>
      <c r="AE384" s="152">
        <f>IF(AE$2&lt;=analysis_period,IF(SUM($C727:AE727)&gt;0,AD384+1,0),0)</f>
        <v>0</v>
      </c>
      <c r="AF384" s="152">
        <f>IF(AF$2&lt;=analysis_period,IF(SUM($C727:AF727)&gt;0,AE384+1,0),0)</f>
        <v>0</v>
      </c>
      <c r="AG384" s="152">
        <f>IF(AG$2&lt;=analysis_period,IF(SUM($C727:AG727)&gt;0,AF384+1,0),0)</f>
        <v>0</v>
      </c>
      <c r="AH384" s="152">
        <f>IF(AH$2&lt;=analysis_period,IF(SUM($C727:AH727)&gt;0,AG384+1,0),0)</f>
        <v>0</v>
      </c>
      <c r="AI384" s="152">
        <f>IF(AI$2&lt;=analysis_period,IF(SUM($C727:AI727)&gt;0,AH384+1,0),0)</f>
        <v>0</v>
      </c>
      <c r="AJ384" s="152">
        <f>IF(AJ$2&lt;=analysis_period,IF(SUM($C727:AJ727)&gt;0,AI384+1,0),0)</f>
        <v>0</v>
      </c>
      <c r="AK384" s="152">
        <f>IF(AK$2&lt;=analysis_period,IF(SUM($C727:AK727)&gt;0,AJ384+1,0),0)</f>
        <v>0</v>
      </c>
      <c r="AL384" s="152">
        <f>IF(AL$2&lt;=analysis_period,IF(SUM($C727:AL727)&gt;0,AK384+1,0),0)</f>
        <v>0</v>
      </c>
      <c r="AM384" s="152">
        <f>IF(AM$2&lt;=analysis_period,IF(SUM($C727:AM727)&gt;0,AL384+1,0),0)</f>
        <v>0</v>
      </c>
      <c r="AN384" s="152">
        <f>IF(AN$2&lt;=analysis_period,IF(SUM($C727:AN727)&gt;0,AM384+1,0),0)</f>
        <v>0</v>
      </c>
      <c r="AO384" s="152">
        <f>IF(AO$2&lt;=analysis_period,IF(SUM($C727:AO727)&gt;0,AN384+1,0),0)</f>
        <v>0</v>
      </c>
      <c r="AP384" s="152">
        <f>IF(AP$2&lt;=analysis_period,IF(SUM($C727:AP727)&gt;0,AO384+1,0),0)</f>
        <v>0</v>
      </c>
    </row>
    <row r="385" spans="1:42" x14ac:dyDescent="0.2">
      <c r="A385" s="4">
        <f t="shared" ref="A385:A392" si="149">A384+1</f>
        <v>3</v>
      </c>
      <c r="B385" s="4">
        <v>0</v>
      </c>
      <c r="C385" s="152">
        <f>IF(C$2&lt;=analysis_period,IF(SUM($C728:C728)&gt;0,B385+1,0),0)</f>
        <v>0</v>
      </c>
      <c r="D385" s="152">
        <f>IF(D$2&lt;=analysis_period,IF(SUM($C728:D728)&gt;0,C385+1,0),0)</f>
        <v>0</v>
      </c>
      <c r="E385" s="152">
        <f>IF(E$2&lt;=analysis_period,IF(SUM($C728:E728)&gt;0,D385+1,0),0)</f>
        <v>0</v>
      </c>
      <c r="F385" s="152">
        <f>IF(F$2&lt;=analysis_period,IF(SUM($C728:F728)&gt;0,E385+1,0),0)</f>
        <v>0</v>
      </c>
      <c r="G385" s="152">
        <f>IF(G$2&lt;=analysis_period,IF(SUM($C728:G728)&gt;0,F385+1,0),0)</f>
        <v>0</v>
      </c>
      <c r="H385" s="152">
        <f>IF(H$2&lt;=analysis_period,IF(SUM($C728:H728)&gt;0,G385+1,0),0)</f>
        <v>0</v>
      </c>
      <c r="I385" s="152">
        <f>IF(I$2&lt;=analysis_period,IF(SUM($C728:I728)&gt;0,H385+1,0),0)</f>
        <v>0</v>
      </c>
      <c r="J385" s="152">
        <f>IF(J$2&lt;=analysis_period,IF(SUM($C728:J728)&gt;0,I385+1,0),0)</f>
        <v>0</v>
      </c>
      <c r="K385" s="152">
        <f>IF(K$2&lt;=analysis_period,IF(SUM($C728:K728)&gt;0,J385+1,0),0)</f>
        <v>0</v>
      </c>
      <c r="L385" s="152">
        <f>IF(L$2&lt;=analysis_period,IF(SUM($C728:L728)&gt;0,K385+1,0),0)</f>
        <v>0</v>
      </c>
      <c r="M385" s="152">
        <f>IF(M$2&lt;=analysis_period,IF(SUM($C728:M728)&gt;0,L385+1,0),0)</f>
        <v>0</v>
      </c>
      <c r="N385" s="152">
        <f>IF(N$2&lt;=analysis_period,IF(SUM($C728:N728)&gt;0,M385+1,0),0)</f>
        <v>0</v>
      </c>
      <c r="O385" s="152">
        <f>IF(O$2&lt;=analysis_period,IF(SUM($C728:O728)&gt;0,N385+1,0),0)</f>
        <v>0</v>
      </c>
      <c r="P385" s="152">
        <f>IF(P$2&lt;=analysis_period,IF(SUM($C728:P728)&gt;0,O385+1,0),0)</f>
        <v>0</v>
      </c>
      <c r="Q385" s="152">
        <f>IF(Q$2&lt;=analysis_period,IF(SUM($C728:Q728)&gt;0,P385+1,0),0)</f>
        <v>0</v>
      </c>
      <c r="R385" s="152">
        <f>IF(R$2&lt;=analysis_period,IF(SUM($C728:R728)&gt;0,Q385+1,0),0)</f>
        <v>0</v>
      </c>
      <c r="S385" s="152">
        <f>IF(S$2&lt;=analysis_period,IF(SUM($C728:S728)&gt;0,R385+1,0),0)</f>
        <v>0</v>
      </c>
      <c r="T385" s="152">
        <f>IF(T$2&lt;=analysis_period,IF(SUM($C728:T728)&gt;0,S385+1,0),0)</f>
        <v>0</v>
      </c>
      <c r="U385" s="152">
        <f>IF(U$2&lt;=analysis_period,IF(SUM($C728:U728)&gt;0,T385+1,0),0)</f>
        <v>0</v>
      </c>
      <c r="V385" s="152">
        <f>IF(V$2&lt;=analysis_period,IF(SUM($C728:V728)&gt;0,U385+1,0),0)</f>
        <v>0</v>
      </c>
      <c r="W385" s="152">
        <f>IF(W$2&lt;=analysis_period,IF(SUM($C728:W728)&gt;0,V385+1,0),0)</f>
        <v>0</v>
      </c>
      <c r="X385" s="152">
        <f>IF(X$2&lt;=analysis_period,IF(SUM($C728:X728)&gt;0,W385+1,0),0)</f>
        <v>0</v>
      </c>
      <c r="Y385" s="152">
        <f>IF(Y$2&lt;=analysis_period,IF(SUM($C728:Y728)&gt;0,X385+1,0),0)</f>
        <v>0</v>
      </c>
      <c r="Z385" s="152">
        <f>IF(Z$2&lt;=analysis_period,IF(SUM($C728:Z728)&gt;0,Y385+1,0),0)</f>
        <v>0</v>
      </c>
      <c r="AA385" s="152">
        <f>IF(AA$2&lt;=analysis_period,IF(SUM($C728:AA728)&gt;0,Z385+1,0),0)</f>
        <v>0</v>
      </c>
      <c r="AB385" s="152">
        <f>IF(AB$2&lt;=analysis_period,IF(SUM($C728:AB728)&gt;0,AA385+1,0),0)</f>
        <v>0</v>
      </c>
      <c r="AC385" s="152">
        <f>IF(AC$2&lt;=analysis_period,IF(SUM($C728:AC728)&gt;0,AB385+1,0),0)</f>
        <v>0</v>
      </c>
      <c r="AD385" s="152">
        <f>IF(AD$2&lt;=analysis_period,IF(SUM($C728:AD728)&gt;0,AC385+1,0),0)</f>
        <v>0</v>
      </c>
      <c r="AE385" s="152">
        <f>IF(AE$2&lt;=analysis_period,IF(SUM($C728:AE728)&gt;0,AD385+1,0),0)</f>
        <v>0</v>
      </c>
      <c r="AF385" s="152">
        <f>IF(AF$2&lt;=analysis_period,IF(SUM($C728:AF728)&gt;0,AE385+1,0),0)</f>
        <v>0</v>
      </c>
      <c r="AG385" s="152">
        <f>IF(AG$2&lt;=analysis_period,IF(SUM($C728:AG728)&gt;0,AF385+1,0),0)</f>
        <v>0</v>
      </c>
      <c r="AH385" s="152">
        <f>IF(AH$2&lt;=analysis_period,IF(SUM($C728:AH728)&gt;0,AG385+1,0),0)</f>
        <v>0</v>
      </c>
      <c r="AI385" s="152">
        <f>IF(AI$2&lt;=analysis_period,IF(SUM($C728:AI728)&gt;0,AH385+1,0),0)</f>
        <v>0</v>
      </c>
      <c r="AJ385" s="152">
        <f>IF(AJ$2&lt;=analysis_period,IF(SUM($C728:AJ728)&gt;0,AI385+1,0),0)</f>
        <v>0</v>
      </c>
      <c r="AK385" s="152">
        <f>IF(AK$2&lt;=analysis_period,IF(SUM($C728:AK728)&gt;0,AJ385+1,0),0)</f>
        <v>0</v>
      </c>
      <c r="AL385" s="152">
        <f>IF(AL$2&lt;=analysis_period,IF(SUM($C728:AL728)&gt;0,AK385+1,0),0)</f>
        <v>0</v>
      </c>
      <c r="AM385" s="152">
        <f>IF(AM$2&lt;=analysis_period,IF(SUM($C728:AM728)&gt;0,AL385+1,0),0)</f>
        <v>0</v>
      </c>
      <c r="AN385" s="152">
        <f>IF(AN$2&lt;=analysis_period,IF(SUM($C728:AN728)&gt;0,AM385+1,0),0)</f>
        <v>0</v>
      </c>
      <c r="AO385" s="152">
        <f>IF(AO$2&lt;=analysis_period,IF(SUM($C728:AO728)&gt;0,AN385+1,0),0)</f>
        <v>0</v>
      </c>
      <c r="AP385" s="152">
        <f>IF(AP$2&lt;=analysis_period,IF(SUM($C728:AP728)&gt;0,AO385+1,0),0)</f>
        <v>0</v>
      </c>
    </row>
    <row r="386" spans="1:42" x14ac:dyDescent="0.2">
      <c r="A386" s="4">
        <f t="shared" si="149"/>
        <v>4</v>
      </c>
      <c r="B386" s="4">
        <v>0</v>
      </c>
      <c r="C386" s="152">
        <f>IF(C$2&lt;=analysis_period,IF(SUM($C729:C729)&gt;0,B386+1,0),0)</f>
        <v>0</v>
      </c>
      <c r="D386" s="152">
        <f>IF(D$2&lt;=analysis_period,IF(SUM($C729:D729)&gt;0,C386+1,0),0)</f>
        <v>0</v>
      </c>
      <c r="E386" s="152">
        <f>IF(E$2&lt;=analysis_period,IF(SUM($C729:E729)&gt;0,D386+1,0),0)</f>
        <v>0</v>
      </c>
      <c r="F386" s="152">
        <f>IF(F$2&lt;=analysis_period,IF(SUM($C729:F729)&gt;0,E386+1,0),0)</f>
        <v>0</v>
      </c>
      <c r="G386" s="152">
        <f>IF(G$2&lt;=analysis_period,IF(SUM($C729:G729)&gt;0,F386+1,0),0)</f>
        <v>0</v>
      </c>
      <c r="H386" s="152">
        <f>IF(H$2&lt;=analysis_period,IF(SUM($C729:H729)&gt;0,G386+1,0),0)</f>
        <v>0</v>
      </c>
      <c r="I386" s="152">
        <f>IF(I$2&lt;=analysis_period,IF(SUM($C729:I729)&gt;0,H386+1,0),0)</f>
        <v>0</v>
      </c>
      <c r="J386" s="152">
        <f>IF(J$2&lt;=analysis_period,IF(SUM($C729:J729)&gt;0,I386+1,0),0)</f>
        <v>0</v>
      </c>
      <c r="K386" s="152">
        <f>IF(K$2&lt;=analysis_period,IF(SUM($C729:K729)&gt;0,J386+1,0),0)</f>
        <v>0</v>
      </c>
      <c r="L386" s="152">
        <f>IF(L$2&lt;=analysis_period,IF(SUM($C729:L729)&gt;0,K386+1,0),0)</f>
        <v>0</v>
      </c>
      <c r="M386" s="152">
        <f>IF(M$2&lt;=analysis_period,IF(SUM($C729:M729)&gt;0,L386+1,0),0)</f>
        <v>0</v>
      </c>
      <c r="N386" s="152">
        <f>IF(N$2&lt;=analysis_period,IF(SUM($C729:N729)&gt;0,M386+1,0),0)</f>
        <v>0</v>
      </c>
      <c r="O386" s="152">
        <f>IF(O$2&lt;=analysis_period,IF(SUM($C729:O729)&gt;0,N386+1,0),0)</f>
        <v>0</v>
      </c>
      <c r="P386" s="152">
        <f>IF(P$2&lt;=analysis_period,IF(SUM($C729:P729)&gt;0,O386+1,0),0)</f>
        <v>0</v>
      </c>
      <c r="Q386" s="152">
        <f>IF(Q$2&lt;=analysis_period,IF(SUM($C729:Q729)&gt;0,P386+1,0),0)</f>
        <v>0</v>
      </c>
      <c r="R386" s="152">
        <f>IF(R$2&lt;=analysis_period,IF(SUM($C729:R729)&gt;0,Q386+1,0),0)</f>
        <v>0</v>
      </c>
      <c r="S386" s="152">
        <f>IF(S$2&lt;=analysis_period,IF(SUM($C729:S729)&gt;0,R386+1,0),0)</f>
        <v>0</v>
      </c>
      <c r="T386" s="152">
        <f>IF(T$2&lt;=analysis_period,IF(SUM($C729:T729)&gt;0,S386+1,0),0)</f>
        <v>0</v>
      </c>
      <c r="U386" s="152">
        <f>IF(U$2&lt;=analysis_period,IF(SUM($C729:U729)&gt;0,T386+1,0),0)</f>
        <v>0</v>
      </c>
      <c r="V386" s="152">
        <f>IF(V$2&lt;=analysis_period,IF(SUM($C729:V729)&gt;0,U386+1,0),0)</f>
        <v>0</v>
      </c>
      <c r="W386" s="152">
        <f>IF(W$2&lt;=analysis_period,IF(SUM($C729:W729)&gt;0,V386+1,0),0)</f>
        <v>0</v>
      </c>
      <c r="X386" s="152">
        <f>IF(X$2&lt;=analysis_period,IF(SUM($C729:X729)&gt;0,W386+1,0),0)</f>
        <v>0</v>
      </c>
      <c r="Y386" s="152">
        <f>IF(Y$2&lt;=analysis_period,IF(SUM($C729:Y729)&gt;0,X386+1,0),0)</f>
        <v>0</v>
      </c>
      <c r="Z386" s="152">
        <f>IF(Z$2&lt;=analysis_period,IF(SUM($C729:Z729)&gt;0,Y386+1,0),0)</f>
        <v>0</v>
      </c>
      <c r="AA386" s="152">
        <f>IF(AA$2&lt;=analysis_period,IF(SUM($C729:AA729)&gt;0,Z386+1,0),0)</f>
        <v>0</v>
      </c>
      <c r="AB386" s="152">
        <f>IF(AB$2&lt;=analysis_period,IF(SUM($C729:AB729)&gt;0,AA386+1,0),0)</f>
        <v>0</v>
      </c>
      <c r="AC386" s="152">
        <f>IF(AC$2&lt;=analysis_period,IF(SUM($C729:AC729)&gt;0,AB386+1,0),0)</f>
        <v>0</v>
      </c>
      <c r="AD386" s="152">
        <f>IF(AD$2&lt;=analysis_period,IF(SUM($C729:AD729)&gt;0,AC386+1,0),0)</f>
        <v>0</v>
      </c>
      <c r="AE386" s="152">
        <f>IF(AE$2&lt;=analysis_period,IF(SUM($C729:AE729)&gt;0,AD386+1,0),0)</f>
        <v>0</v>
      </c>
      <c r="AF386" s="152">
        <f>IF(AF$2&lt;=analysis_period,IF(SUM($C729:AF729)&gt;0,AE386+1,0),0)</f>
        <v>0</v>
      </c>
      <c r="AG386" s="152">
        <f>IF(AG$2&lt;=analysis_period,IF(SUM($C729:AG729)&gt;0,AF386+1,0),0)</f>
        <v>0</v>
      </c>
      <c r="AH386" s="152">
        <f>IF(AH$2&lt;=analysis_period,IF(SUM($C729:AH729)&gt;0,AG386+1,0),0)</f>
        <v>0</v>
      </c>
      <c r="AI386" s="152">
        <f>IF(AI$2&lt;=analysis_period,IF(SUM($C729:AI729)&gt;0,AH386+1,0),0)</f>
        <v>0</v>
      </c>
      <c r="AJ386" s="152">
        <f>IF(AJ$2&lt;=analysis_period,IF(SUM($C729:AJ729)&gt;0,AI386+1,0),0)</f>
        <v>0</v>
      </c>
      <c r="AK386" s="152">
        <f>IF(AK$2&lt;=analysis_period,IF(SUM($C729:AK729)&gt;0,AJ386+1,0),0)</f>
        <v>0</v>
      </c>
      <c r="AL386" s="152">
        <f>IF(AL$2&lt;=analysis_period,IF(SUM($C729:AL729)&gt;0,AK386+1,0),0)</f>
        <v>0</v>
      </c>
      <c r="AM386" s="152">
        <f>IF(AM$2&lt;=analysis_period,IF(SUM($C729:AM729)&gt;0,AL386+1,0),0)</f>
        <v>0</v>
      </c>
      <c r="AN386" s="152">
        <f>IF(AN$2&lt;=analysis_period,IF(SUM($C729:AN729)&gt;0,AM386+1,0),0)</f>
        <v>0</v>
      </c>
      <c r="AO386" s="152">
        <f>IF(AO$2&lt;=analysis_period,IF(SUM($C729:AO729)&gt;0,AN386+1,0),0)</f>
        <v>0</v>
      </c>
      <c r="AP386" s="152">
        <f>IF(AP$2&lt;=analysis_period,IF(SUM($C729:AP729)&gt;0,AO386+1,0),0)</f>
        <v>0</v>
      </c>
    </row>
    <row r="387" spans="1:42" x14ac:dyDescent="0.2">
      <c r="A387" s="4">
        <f t="shared" si="149"/>
        <v>5</v>
      </c>
      <c r="B387" s="4">
        <v>0</v>
      </c>
      <c r="C387" s="152">
        <f>IF(C$2&lt;=analysis_period,IF(SUM($C730:C730)&gt;0,B387+1,0),0)</f>
        <v>0</v>
      </c>
      <c r="D387" s="152">
        <f>IF(D$2&lt;=analysis_period,IF(SUM($C730:D730)&gt;0,C387+1,0),0)</f>
        <v>0</v>
      </c>
      <c r="E387" s="152">
        <f>IF(E$2&lt;=analysis_period,IF(SUM($C730:E730)&gt;0,D387+1,0),0)</f>
        <v>0</v>
      </c>
      <c r="F387" s="152">
        <f>IF(F$2&lt;=analysis_period,IF(SUM($C730:F730)&gt;0,E387+1,0),0)</f>
        <v>0</v>
      </c>
      <c r="G387" s="152">
        <f>IF(G$2&lt;=analysis_period,IF(SUM($C730:G730)&gt;0,F387+1,0),0)</f>
        <v>0</v>
      </c>
      <c r="H387" s="152">
        <f>IF(H$2&lt;=analysis_period,IF(SUM($C730:H730)&gt;0,G387+1,0),0)</f>
        <v>0</v>
      </c>
      <c r="I387" s="152">
        <f>IF(I$2&lt;=analysis_period,IF(SUM($C730:I730)&gt;0,H387+1,0),0)</f>
        <v>0</v>
      </c>
      <c r="J387" s="152">
        <f>IF(J$2&lt;=analysis_period,IF(SUM($C730:J730)&gt;0,I387+1,0),0)</f>
        <v>0</v>
      </c>
      <c r="K387" s="152">
        <f>IF(K$2&lt;=analysis_period,IF(SUM($C730:K730)&gt;0,J387+1,0),0)</f>
        <v>0</v>
      </c>
      <c r="L387" s="152">
        <f>IF(L$2&lt;=analysis_period,IF(SUM($C730:L730)&gt;0,K387+1,0),0)</f>
        <v>0</v>
      </c>
      <c r="M387" s="152">
        <f>IF(M$2&lt;=analysis_period,IF(SUM($C730:M730)&gt;0,L387+1,0),0)</f>
        <v>0</v>
      </c>
      <c r="N387" s="152">
        <f>IF(N$2&lt;=analysis_period,IF(SUM($C730:N730)&gt;0,M387+1,0),0)</f>
        <v>0</v>
      </c>
      <c r="O387" s="152">
        <f>IF(O$2&lt;=analysis_period,IF(SUM($C730:O730)&gt;0,N387+1,0),0)</f>
        <v>0</v>
      </c>
      <c r="P387" s="152">
        <f>IF(P$2&lt;=analysis_period,IF(SUM($C730:P730)&gt;0,O387+1,0),0)</f>
        <v>0</v>
      </c>
      <c r="Q387" s="152">
        <f>IF(Q$2&lt;=analysis_period,IF(SUM($C730:Q730)&gt;0,P387+1,0),0)</f>
        <v>0</v>
      </c>
      <c r="R387" s="152">
        <f>IF(R$2&lt;=analysis_period,IF(SUM($C730:R730)&gt;0,Q387+1,0),0)</f>
        <v>0</v>
      </c>
      <c r="S387" s="152">
        <f>IF(S$2&lt;=analysis_period,IF(SUM($C730:S730)&gt;0,R387+1,0),0)</f>
        <v>0</v>
      </c>
      <c r="T387" s="152">
        <f>IF(T$2&lt;=analysis_period,IF(SUM($C730:T730)&gt;0,S387+1,0),0)</f>
        <v>0</v>
      </c>
      <c r="U387" s="152">
        <f>IF(U$2&lt;=analysis_period,IF(SUM($C730:U730)&gt;0,T387+1,0),0)</f>
        <v>0</v>
      </c>
      <c r="V387" s="152">
        <f>IF(V$2&lt;=analysis_period,IF(SUM($C730:V730)&gt;0,U387+1,0),0)</f>
        <v>0</v>
      </c>
      <c r="W387" s="152">
        <f>IF(W$2&lt;=analysis_period,IF(SUM($C730:W730)&gt;0,V387+1,0),0)</f>
        <v>0</v>
      </c>
      <c r="X387" s="152">
        <f>IF(X$2&lt;=analysis_period,IF(SUM($C730:X730)&gt;0,W387+1,0),0)</f>
        <v>0</v>
      </c>
      <c r="Y387" s="152">
        <f>IF(Y$2&lt;=analysis_period,IF(SUM($C730:Y730)&gt;0,X387+1,0),0)</f>
        <v>0</v>
      </c>
      <c r="Z387" s="152">
        <f>IF(Z$2&lt;=analysis_period,IF(SUM($C730:Z730)&gt;0,Y387+1,0),0)</f>
        <v>0</v>
      </c>
      <c r="AA387" s="152">
        <f>IF(AA$2&lt;=analysis_period,IF(SUM($C730:AA730)&gt;0,Z387+1,0),0)</f>
        <v>0</v>
      </c>
      <c r="AB387" s="152">
        <f>IF(AB$2&lt;=analysis_period,IF(SUM($C730:AB730)&gt;0,AA387+1,0),0)</f>
        <v>0</v>
      </c>
      <c r="AC387" s="152">
        <f>IF(AC$2&lt;=analysis_period,IF(SUM($C730:AC730)&gt;0,AB387+1,0),0)</f>
        <v>0</v>
      </c>
      <c r="AD387" s="152">
        <f>IF(AD$2&lt;=analysis_period,IF(SUM($C730:AD730)&gt;0,AC387+1,0),0)</f>
        <v>0</v>
      </c>
      <c r="AE387" s="152">
        <f>IF(AE$2&lt;=analysis_period,IF(SUM($C730:AE730)&gt;0,AD387+1,0),0)</f>
        <v>0</v>
      </c>
      <c r="AF387" s="152">
        <f>IF(AF$2&lt;=analysis_period,IF(SUM($C730:AF730)&gt;0,AE387+1,0),0)</f>
        <v>0</v>
      </c>
      <c r="AG387" s="152">
        <f>IF(AG$2&lt;=analysis_period,IF(SUM($C730:AG730)&gt;0,AF387+1,0),0)</f>
        <v>0</v>
      </c>
      <c r="AH387" s="152">
        <f>IF(AH$2&lt;=analysis_period,IF(SUM($C730:AH730)&gt;0,AG387+1,0),0)</f>
        <v>0</v>
      </c>
      <c r="AI387" s="152">
        <f>IF(AI$2&lt;=analysis_period,IF(SUM($C730:AI730)&gt;0,AH387+1,0),0)</f>
        <v>0</v>
      </c>
      <c r="AJ387" s="152">
        <f>IF(AJ$2&lt;=analysis_period,IF(SUM($C730:AJ730)&gt;0,AI387+1,0),0)</f>
        <v>0</v>
      </c>
      <c r="AK387" s="152">
        <f>IF(AK$2&lt;=analysis_period,IF(SUM($C730:AK730)&gt;0,AJ387+1,0),0)</f>
        <v>0</v>
      </c>
      <c r="AL387" s="152">
        <f>IF(AL$2&lt;=analysis_period,IF(SUM($C730:AL730)&gt;0,AK387+1,0),0)</f>
        <v>0</v>
      </c>
      <c r="AM387" s="152">
        <f>IF(AM$2&lt;=analysis_period,IF(SUM($C730:AM730)&gt;0,AL387+1,0),0)</f>
        <v>0</v>
      </c>
      <c r="AN387" s="152">
        <f>IF(AN$2&lt;=analysis_period,IF(SUM($C730:AN730)&gt;0,AM387+1,0),0)</f>
        <v>0</v>
      </c>
      <c r="AO387" s="152">
        <f>IF(AO$2&lt;=analysis_period,IF(SUM($C730:AO730)&gt;0,AN387+1,0),0)</f>
        <v>0</v>
      </c>
      <c r="AP387" s="152">
        <f>IF(AP$2&lt;=analysis_period,IF(SUM($C730:AP730)&gt;0,AO387+1,0),0)</f>
        <v>0</v>
      </c>
    </row>
    <row r="388" spans="1:42" x14ac:dyDescent="0.2">
      <c r="A388" s="4">
        <f t="shared" si="149"/>
        <v>6</v>
      </c>
      <c r="B388" s="4">
        <v>0</v>
      </c>
      <c r="C388" s="152">
        <f>IF(C$2&lt;=analysis_period,IF(SUM($C731:C731)&gt;0,B388+1,0),0)</f>
        <v>0</v>
      </c>
      <c r="D388" s="152">
        <f>IF(D$2&lt;=analysis_period,IF(SUM($C731:D731)&gt;0,C388+1,0),0)</f>
        <v>0</v>
      </c>
      <c r="E388" s="152">
        <f>IF(E$2&lt;=analysis_period,IF(SUM($C731:E731)&gt;0,D388+1,0),0)</f>
        <v>0</v>
      </c>
      <c r="F388" s="152">
        <f>IF(F$2&lt;=analysis_period,IF(SUM($C731:F731)&gt;0,E388+1,0),0)</f>
        <v>0</v>
      </c>
      <c r="G388" s="152">
        <f>IF(G$2&lt;=analysis_period,IF(SUM($C731:G731)&gt;0,F388+1,0),0)</f>
        <v>0</v>
      </c>
      <c r="H388" s="152">
        <f>IF(H$2&lt;=analysis_period,IF(SUM($C731:H731)&gt;0,G388+1,0),0)</f>
        <v>0</v>
      </c>
      <c r="I388" s="152">
        <f>IF(I$2&lt;=analysis_period,IF(SUM($C731:I731)&gt;0,H388+1,0),0)</f>
        <v>0</v>
      </c>
      <c r="J388" s="152">
        <f>IF(J$2&lt;=analysis_period,IF(SUM($C731:J731)&gt;0,I388+1,0),0)</f>
        <v>0</v>
      </c>
      <c r="K388" s="152">
        <f>IF(K$2&lt;=analysis_period,IF(SUM($C731:K731)&gt;0,J388+1,0),0)</f>
        <v>0</v>
      </c>
      <c r="L388" s="152">
        <f>IF(L$2&lt;=analysis_period,IF(SUM($C731:L731)&gt;0,K388+1,0),0)</f>
        <v>0</v>
      </c>
      <c r="M388" s="152">
        <f>IF(M$2&lt;=analysis_period,IF(SUM($C731:M731)&gt;0,L388+1,0),0)</f>
        <v>0</v>
      </c>
      <c r="N388" s="152">
        <f>IF(N$2&lt;=analysis_period,IF(SUM($C731:N731)&gt;0,M388+1,0),0)</f>
        <v>0</v>
      </c>
      <c r="O388" s="152">
        <f>IF(O$2&lt;=analysis_period,IF(SUM($C731:O731)&gt;0,N388+1,0),0)</f>
        <v>0</v>
      </c>
      <c r="P388" s="152">
        <f>IF(P$2&lt;=analysis_period,IF(SUM($C731:P731)&gt;0,O388+1,0),0)</f>
        <v>0</v>
      </c>
      <c r="Q388" s="152">
        <f>IF(Q$2&lt;=analysis_period,IF(SUM($C731:Q731)&gt;0,P388+1,0),0)</f>
        <v>0</v>
      </c>
      <c r="R388" s="152">
        <f>IF(R$2&lt;=analysis_period,IF(SUM($C731:R731)&gt;0,Q388+1,0),0)</f>
        <v>0</v>
      </c>
      <c r="S388" s="152">
        <f>IF(S$2&lt;=analysis_period,IF(SUM($C731:S731)&gt;0,R388+1,0),0)</f>
        <v>0</v>
      </c>
      <c r="T388" s="152">
        <f>IF(T$2&lt;=analysis_period,IF(SUM($C731:T731)&gt;0,S388+1,0),0)</f>
        <v>0</v>
      </c>
      <c r="U388" s="152">
        <f>IF(U$2&lt;=analysis_period,IF(SUM($C731:U731)&gt;0,T388+1,0),0)</f>
        <v>0</v>
      </c>
      <c r="V388" s="152">
        <f>IF(V$2&lt;=analysis_period,IF(SUM($C731:V731)&gt;0,U388+1,0),0)</f>
        <v>0</v>
      </c>
      <c r="W388" s="152">
        <f>IF(W$2&lt;=analysis_period,IF(SUM($C731:W731)&gt;0,V388+1,0),0)</f>
        <v>0</v>
      </c>
      <c r="X388" s="152">
        <f>IF(X$2&lt;=analysis_period,IF(SUM($C731:X731)&gt;0,W388+1,0),0)</f>
        <v>0</v>
      </c>
      <c r="Y388" s="152">
        <f>IF(Y$2&lt;=analysis_period,IF(SUM($C731:Y731)&gt;0,X388+1,0),0)</f>
        <v>0</v>
      </c>
      <c r="Z388" s="152">
        <f>IF(Z$2&lt;=analysis_period,IF(SUM($C731:Z731)&gt;0,Y388+1,0),0)</f>
        <v>0</v>
      </c>
      <c r="AA388" s="152">
        <f>IF(AA$2&lt;=analysis_period,IF(SUM($C731:AA731)&gt;0,Z388+1,0),0)</f>
        <v>0</v>
      </c>
      <c r="AB388" s="152">
        <f>IF(AB$2&lt;=analysis_period,IF(SUM($C731:AB731)&gt;0,AA388+1,0),0)</f>
        <v>0</v>
      </c>
      <c r="AC388" s="152">
        <f>IF(AC$2&lt;=analysis_period,IF(SUM($C731:AC731)&gt;0,AB388+1,0),0)</f>
        <v>0</v>
      </c>
      <c r="AD388" s="152">
        <f>IF(AD$2&lt;=analysis_period,IF(SUM($C731:AD731)&gt;0,AC388+1,0),0)</f>
        <v>0</v>
      </c>
      <c r="AE388" s="152">
        <f>IF(AE$2&lt;=analysis_period,IF(SUM($C731:AE731)&gt;0,AD388+1,0),0)</f>
        <v>0</v>
      </c>
      <c r="AF388" s="152">
        <f>IF(AF$2&lt;=analysis_period,IF(SUM($C731:AF731)&gt;0,AE388+1,0),0)</f>
        <v>0</v>
      </c>
      <c r="AG388" s="152">
        <f>IF(AG$2&lt;=analysis_period,IF(SUM($C731:AG731)&gt;0,AF388+1,0),0)</f>
        <v>0</v>
      </c>
      <c r="AH388" s="152">
        <f>IF(AH$2&lt;=analysis_period,IF(SUM($C731:AH731)&gt;0,AG388+1,0),0)</f>
        <v>0</v>
      </c>
      <c r="AI388" s="152">
        <f>IF(AI$2&lt;=analysis_period,IF(SUM($C731:AI731)&gt;0,AH388+1,0),0)</f>
        <v>0</v>
      </c>
      <c r="AJ388" s="152">
        <f>IF(AJ$2&lt;=analysis_period,IF(SUM($C731:AJ731)&gt;0,AI388+1,0),0)</f>
        <v>0</v>
      </c>
      <c r="AK388" s="152">
        <f>IF(AK$2&lt;=analysis_period,IF(SUM($C731:AK731)&gt;0,AJ388+1,0),0)</f>
        <v>0</v>
      </c>
      <c r="AL388" s="152">
        <f>IF(AL$2&lt;=analysis_period,IF(SUM($C731:AL731)&gt;0,AK388+1,0),0)</f>
        <v>0</v>
      </c>
      <c r="AM388" s="152">
        <f>IF(AM$2&lt;=analysis_period,IF(SUM($C731:AM731)&gt;0,AL388+1,0),0)</f>
        <v>0</v>
      </c>
      <c r="AN388" s="152">
        <f>IF(AN$2&lt;=analysis_period,IF(SUM($C731:AN731)&gt;0,AM388+1,0),0)</f>
        <v>0</v>
      </c>
      <c r="AO388" s="152">
        <f>IF(AO$2&lt;=analysis_period,IF(SUM($C731:AO731)&gt;0,AN388+1,0),0)</f>
        <v>0</v>
      </c>
      <c r="AP388" s="152">
        <f>IF(AP$2&lt;=analysis_period,IF(SUM($C731:AP731)&gt;0,AO388+1,0),0)</f>
        <v>0</v>
      </c>
    </row>
    <row r="389" spans="1:42" x14ac:dyDescent="0.2">
      <c r="A389" s="4">
        <f t="shared" si="149"/>
        <v>7</v>
      </c>
      <c r="B389" s="4">
        <v>0</v>
      </c>
      <c r="C389" s="152">
        <f>IF(C$2&lt;=analysis_period,IF(SUM($C732:C732)&gt;0,B389+1,0),0)</f>
        <v>0</v>
      </c>
      <c r="D389" s="152">
        <f>IF(D$2&lt;=analysis_period,IF(SUM($C732:D732)&gt;0,C389+1,0),0)</f>
        <v>0</v>
      </c>
      <c r="E389" s="152">
        <f>IF(E$2&lt;=analysis_period,IF(SUM($C732:E732)&gt;0,D389+1,0),0)</f>
        <v>0</v>
      </c>
      <c r="F389" s="152">
        <f>IF(F$2&lt;=analysis_period,IF(SUM($C732:F732)&gt;0,E389+1,0),0)</f>
        <v>0</v>
      </c>
      <c r="G389" s="152">
        <f>IF(G$2&lt;=analysis_period,IF(SUM($C732:G732)&gt;0,F389+1,0),0)</f>
        <v>0</v>
      </c>
      <c r="H389" s="152">
        <f>IF(H$2&lt;=analysis_period,IF(SUM($C732:H732)&gt;0,G389+1,0),0)</f>
        <v>0</v>
      </c>
      <c r="I389" s="152">
        <f>IF(I$2&lt;=analysis_period,IF(SUM($C732:I732)&gt;0,H389+1,0),0)</f>
        <v>0</v>
      </c>
      <c r="J389" s="152">
        <f>IF(J$2&lt;=analysis_period,IF(SUM($C732:J732)&gt;0,I389+1,0),0)</f>
        <v>0</v>
      </c>
      <c r="K389" s="152">
        <f>IF(K$2&lt;=analysis_period,IF(SUM($C732:K732)&gt;0,J389+1,0),0)</f>
        <v>0</v>
      </c>
      <c r="L389" s="152">
        <f>IF(L$2&lt;=analysis_period,IF(SUM($C732:L732)&gt;0,K389+1,0),0)</f>
        <v>0</v>
      </c>
      <c r="M389" s="152">
        <f>IF(M$2&lt;=analysis_period,IF(SUM($C732:M732)&gt;0,L389+1,0),0)</f>
        <v>0</v>
      </c>
      <c r="N389" s="152">
        <f>IF(N$2&lt;=analysis_period,IF(SUM($C732:N732)&gt;0,M389+1,0),0)</f>
        <v>0</v>
      </c>
      <c r="O389" s="152">
        <f>IF(O$2&lt;=analysis_period,IF(SUM($C732:O732)&gt;0,N389+1,0),0)</f>
        <v>0</v>
      </c>
      <c r="P389" s="152">
        <f>IF(P$2&lt;=analysis_period,IF(SUM($C732:P732)&gt;0,O389+1,0),0)</f>
        <v>0</v>
      </c>
      <c r="Q389" s="152">
        <f>IF(Q$2&lt;=analysis_period,IF(SUM($C732:Q732)&gt;0,P389+1,0),0)</f>
        <v>0</v>
      </c>
      <c r="R389" s="152">
        <f>IF(R$2&lt;=analysis_period,IF(SUM($C732:R732)&gt;0,Q389+1,0),0)</f>
        <v>0</v>
      </c>
      <c r="S389" s="152">
        <f>IF(S$2&lt;=analysis_period,IF(SUM($C732:S732)&gt;0,R389+1,0),0)</f>
        <v>0</v>
      </c>
      <c r="T389" s="152">
        <f>IF(T$2&lt;=analysis_period,IF(SUM($C732:T732)&gt;0,S389+1,0),0)</f>
        <v>0</v>
      </c>
      <c r="U389" s="152">
        <f>IF(U$2&lt;=analysis_period,IF(SUM($C732:U732)&gt;0,T389+1,0),0)</f>
        <v>0</v>
      </c>
      <c r="V389" s="152">
        <f>IF(V$2&lt;=analysis_period,IF(SUM($C732:V732)&gt;0,U389+1,0),0)</f>
        <v>0</v>
      </c>
      <c r="W389" s="152">
        <f>IF(W$2&lt;=analysis_period,IF(SUM($C732:W732)&gt;0,V389+1,0),0)</f>
        <v>0</v>
      </c>
      <c r="X389" s="152">
        <f>IF(X$2&lt;=analysis_period,IF(SUM($C732:X732)&gt;0,W389+1,0),0)</f>
        <v>0</v>
      </c>
      <c r="Y389" s="152">
        <f>IF(Y$2&lt;=analysis_period,IF(SUM($C732:Y732)&gt;0,X389+1,0),0)</f>
        <v>0</v>
      </c>
      <c r="Z389" s="152">
        <f>IF(Z$2&lt;=analysis_period,IF(SUM($C732:Z732)&gt;0,Y389+1,0),0)</f>
        <v>0</v>
      </c>
      <c r="AA389" s="152">
        <f>IF(AA$2&lt;=analysis_period,IF(SUM($C732:AA732)&gt;0,Z389+1,0),0)</f>
        <v>0</v>
      </c>
      <c r="AB389" s="152">
        <f>IF(AB$2&lt;=analysis_period,IF(SUM($C732:AB732)&gt;0,AA389+1,0),0)</f>
        <v>0</v>
      </c>
      <c r="AC389" s="152">
        <f>IF(AC$2&lt;=analysis_period,IF(SUM($C732:AC732)&gt;0,AB389+1,0),0)</f>
        <v>0</v>
      </c>
      <c r="AD389" s="152">
        <f>IF(AD$2&lt;=analysis_period,IF(SUM($C732:AD732)&gt;0,AC389+1,0),0)</f>
        <v>0</v>
      </c>
      <c r="AE389" s="152">
        <f>IF(AE$2&lt;=analysis_period,IF(SUM($C732:AE732)&gt;0,AD389+1,0),0)</f>
        <v>0</v>
      </c>
      <c r="AF389" s="152">
        <f>IF(AF$2&lt;=analysis_period,IF(SUM($C732:AF732)&gt;0,AE389+1,0),0)</f>
        <v>0</v>
      </c>
      <c r="AG389" s="152">
        <f>IF(AG$2&lt;=analysis_period,IF(SUM($C732:AG732)&gt;0,AF389+1,0),0)</f>
        <v>0</v>
      </c>
      <c r="AH389" s="152">
        <f>IF(AH$2&lt;=analysis_period,IF(SUM($C732:AH732)&gt;0,AG389+1,0),0)</f>
        <v>0</v>
      </c>
      <c r="AI389" s="152">
        <f>IF(AI$2&lt;=analysis_period,IF(SUM($C732:AI732)&gt;0,AH389+1,0),0)</f>
        <v>0</v>
      </c>
      <c r="AJ389" s="152">
        <f>IF(AJ$2&lt;=analysis_period,IF(SUM($C732:AJ732)&gt;0,AI389+1,0),0)</f>
        <v>0</v>
      </c>
      <c r="AK389" s="152">
        <f>IF(AK$2&lt;=analysis_period,IF(SUM($C732:AK732)&gt;0,AJ389+1,0),0)</f>
        <v>0</v>
      </c>
      <c r="AL389" s="152">
        <f>IF(AL$2&lt;=analysis_period,IF(SUM($C732:AL732)&gt;0,AK389+1,0),0)</f>
        <v>0</v>
      </c>
      <c r="AM389" s="152">
        <f>IF(AM$2&lt;=analysis_period,IF(SUM($C732:AM732)&gt;0,AL389+1,0),0)</f>
        <v>0</v>
      </c>
      <c r="AN389" s="152">
        <f>IF(AN$2&lt;=analysis_period,IF(SUM($C732:AN732)&gt;0,AM389+1,0),0)</f>
        <v>0</v>
      </c>
      <c r="AO389" s="152">
        <f>IF(AO$2&lt;=analysis_period,IF(SUM($C732:AO732)&gt;0,AN389+1,0),0)</f>
        <v>0</v>
      </c>
      <c r="AP389" s="152">
        <f>IF(AP$2&lt;=analysis_period,IF(SUM($C732:AP732)&gt;0,AO389+1,0),0)</f>
        <v>0</v>
      </c>
    </row>
    <row r="390" spans="1:42" x14ac:dyDescent="0.2">
      <c r="A390" s="4">
        <f t="shared" si="149"/>
        <v>8</v>
      </c>
      <c r="B390" s="4">
        <v>0</v>
      </c>
      <c r="C390" s="152">
        <f>IF(C$2&lt;=analysis_period,IF(SUM($C733:C733)&gt;0,B390+1,0),0)</f>
        <v>0</v>
      </c>
      <c r="D390" s="152">
        <f>IF(D$2&lt;=analysis_period,IF(SUM($C733:D733)&gt;0,C390+1,0),0)</f>
        <v>0</v>
      </c>
      <c r="E390" s="152">
        <f>IF(E$2&lt;=analysis_period,IF(SUM($C733:E733)&gt;0,D390+1,0),0)</f>
        <v>0</v>
      </c>
      <c r="F390" s="152">
        <f>IF(F$2&lt;=analysis_period,IF(SUM($C733:F733)&gt;0,E390+1,0),0)</f>
        <v>0</v>
      </c>
      <c r="G390" s="152">
        <f>IF(G$2&lt;=analysis_period,IF(SUM($C733:G733)&gt;0,F390+1,0),0)</f>
        <v>0</v>
      </c>
      <c r="H390" s="152">
        <f>IF(H$2&lt;=analysis_period,IF(SUM($C733:H733)&gt;0,G390+1,0),0)</f>
        <v>0</v>
      </c>
      <c r="I390" s="152">
        <f>IF(I$2&lt;=analysis_period,IF(SUM($C733:I733)&gt;0,H390+1,0),0)</f>
        <v>0</v>
      </c>
      <c r="J390" s="152">
        <f>IF(J$2&lt;=analysis_period,IF(SUM($C733:J733)&gt;0,I390+1,0),0)</f>
        <v>0</v>
      </c>
      <c r="K390" s="152">
        <f>IF(K$2&lt;=analysis_period,IF(SUM($C733:K733)&gt;0,J390+1,0),0)</f>
        <v>0</v>
      </c>
      <c r="L390" s="152">
        <f>IF(L$2&lt;=analysis_period,IF(SUM($C733:L733)&gt;0,K390+1,0),0)</f>
        <v>0</v>
      </c>
      <c r="M390" s="152">
        <f>IF(M$2&lt;=analysis_period,IF(SUM($C733:M733)&gt;0,L390+1,0),0)</f>
        <v>0</v>
      </c>
      <c r="N390" s="152">
        <f>IF(N$2&lt;=analysis_period,IF(SUM($C733:N733)&gt;0,M390+1,0),0)</f>
        <v>0</v>
      </c>
      <c r="O390" s="152">
        <f>IF(O$2&lt;=analysis_period,IF(SUM($C733:O733)&gt;0,N390+1,0),0)</f>
        <v>0</v>
      </c>
      <c r="P390" s="152">
        <f>IF(P$2&lt;=analysis_period,IF(SUM($C733:P733)&gt;0,O390+1,0),0)</f>
        <v>0</v>
      </c>
      <c r="Q390" s="152">
        <f>IF(Q$2&lt;=analysis_period,IF(SUM($C733:Q733)&gt;0,P390+1,0),0)</f>
        <v>0</v>
      </c>
      <c r="R390" s="152">
        <f>IF(R$2&lt;=analysis_period,IF(SUM($C733:R733)&gt;0,Q390+1,0),0)</f>
        <v>0</v>
      </c>
      <c r="S390" s="152">
        <f>IF(S$2&lt;=analysis_period,IF(SUM($C733:S733)&gt;0,R390+1,0),0)</f>
        <v>0</v>
      </c>
      <c r="T390" s="152">
        <f>IF(T$2&lt;=analysis_period,IF(SUM($C733:T733)&gt;0,S390+1,0),0)</f>
        <v>0</v>
      </c>
      <c r="U390" s="152">
        <f>IF(U$2&lt;=analysis_period,IF(SUM($C733:U733)&gt;0,T390+1,0),0)</f>
        <v>0</v>
      </c>
      <c r="V390" s="152">
        <f>IF(V$2&lt;=analysis_period,IF(SUM($C733:V733)&gt;0,U390+1,0),0)</f>
        <v>0</v>
      </c>
      <c r="W390" s="152">
        <f>IF(W$2&lt;=analysis_period,IF(SUM($C733:W733)&gt;0,V390+1,0),0)</f>
        <v>0</v>
      </c>
      <c r="X390" s="152">
        <f>IF(X$2&lt;=analysis_period,IF(SUM($C733:X733)&gt;0,W390+1,0),0)</f>
        <v>0</v>
      </c>
      <c r="Y390" s="152">
        <f>IF(Y$2&lt;=analysis_period,IF(SUM($C733:Y733)&gt;0,X390+1,0),0)</f>
        <v>0</v>
      </c>
      <c r="Z390" s="152">
        <f>IF(Z$2&lt;=analysis_period,IF(SUM($C733:Z733)&gt;0,Y390+1,0),0)</f>
        <v>0</v>
      </c>
      <c r="AA390" s="152">
        <f>IF(AA$2&lt;=analysis_period,IF(SUM($C733:AA733)&gt;0,Z390+1,0),0)</f>
        <v>0</v>
      </c>
      <c r="AB390" s="152">
        <f>IF(AB$2&lt;=analysis_period,IF(SUM($C733:AB733)&gt;0,AA390+1,0),0)</f>
        <v>0</v>
      </c>
      <c r="AC390" s="152">
        <f>IF(AC$2&lt;=analysis_period,IF(SUM($C733:AC733)&gt;0,AB390+1,0),0)</f>
        <v>0</v>
      </c>
      <c r="AD390" s="152">
        <f>IF(AD$2&lt;=analysis_period,IF(SUM($C733:AD733)&gt;0,AC390+1,0),0)</f>
        <v>0</v>
      </c>
      <c r="AE390" s="152">
        <f>IF(AE$2&lt;=analysis_period,IF(SUM($C733:AE733)&gt;0,AD390+1,0),0)</f>
        <v>0</v>
      </c>
      <c r="AF390" s="152">
        <f>IF(AF$2&lt;=analysis_period,IF(SUM($C733:AF733)&gt;0,AE390+1,0),0)</f>
        <v>0</v>
      </c>
      <c r="AG390" s="152">
        <f>IF(AG$2&lt;=analysis_period,IF(SUM($C733:AG733)&gt;0,AF390+1,0),0)</f>
        <v>0</v>
      </c>
      <c r="AH390" s="152">
        <f>IF(AH$2&lt;=analysis_period,IF(SUM($C733:AH733)&gt;0,AG390+1,0),0)</f>
        <v>0</v>
      </c>
      <c r="AI390" s="152">
        <f>IF(AI$2&lt;=analysis_period,IF(SUM($C733:AI733)&gt;0,AH390+1,0),0)</f>
        <v>0</v>
      </c>
      <c r="AJ390" s="152">
        <f>IF(AJ$2&lt;=analysis_period,IF(SUM($C733:AJ733)&gt;0,AI390+1,0),0)</f>
        <v>0</v>
      </c>
      <c r="AK390" s="152">
        <f>IF(AK$2&lt;=analysis_period,IF(SUM($C733:AK733)&gt;0,AJ390+1,0),0)</f>
        <v>0</v>
      </c>
      <c r="AL390" s="152">
        <f>IF(AL$2&lt;=analysis_period,IF(SUM($C733:AL733)&gt;0,AK390+1,0),0)</f>
        <v>0</v>
      </c>
      <c r="AM390" s="152">
        <f>IF(AM$2&lt;=analysis_period,IF(SUM($C733:AM733)&gt;0,AL390+1,0),0)</f>
        <v>0</v>
      </c>
      <c r="AN390" s="152">
        <f>IF(AN$2&lt;=analysis_period,IF(SUM($C733:AN733)&gt;0,AM390+1,0),0)</f>
        <v>0</v>
      </c>
      <c r="AO390" s="152">
        <f>IF(AO$2&lt;=analysis_period,IF(SUM($C733:AO733)&gt;0,AN390+1,0),0)</f>
        <v>0</v>
      </c>
      <c r="AP390" s="152">
        <f>IF(AP$2&lt;=analysis_period,IF(SUM($C733:AP733)&gt;0,AO390+1,0),0)</f>
        <v>0</v>
      </c>
    </row>
    <row r="391" spans="1:42" x14ac:dyDescent="0.2">
      <c r="A391" s="4">
        <f>A390+1</f>
        <v>9</v>
      </c>
      <c r="B391" s="4">
        <v>0</v>
      </c>
      <c r="C391" s="152">
        <f>IF(C$2&lt;=analysis_period,IF(SUM($C734:C734)&gt;0,B391+1,0),0)</f>
        <v>0</v>
      </c>
      <c r="D391" s="152">
        <f>IF(D$2&lt;=analysis_period,IF(SUM($C734:D734)&gt;0,C391+1,0),0)</f>
        <v>0</v>
      </c>
      <c r="E391" s="152">
        <f>IF(E$2&lt;=analysis_period,IF(SUM($C734:E734)&gt;0,D391+1,0),0)</f>
        <v>0</v>
      </c>
      <c r="F391" s="152">
        <f>IF(F$2&lt;=analysis_period,IF(SUM($C734:F734)&gt;0,E391+1,0),0)</f>
        <v>0</v>
      </c>
      <c r="G391" s="152">
        <f>IF(G$2&lt;=analysis_period,IF(SUM($C734:G734)&gt;0,F391+1,0),0)</f>
        <v>0</v>
      </c>
      <c r="H391" s="152">
        <f>IF(H$2&lt;=analysis_period,IF(SUM($C734:H734)&gt;0,G391+1,0),0)</f>
        <v>0</v>
      </c>
      <c r="I391" s="152">
        <f>IF(I$2&lt;=analysis_period,IF(SUM($C734:I734)&gt;0,H391+1,0),0)</f>
        <v>0</v>
      </c>
      <c r="J391" s="152">
        <f>IF(J$2&lt;=analysis_period,IF(SUM($C734:J734)&gt;0,I391+1,0),0)</f>
        <v>0</v>
      </c>
      <c r="K391" s="152">
        <f>IF(K$2&lt;=analysis_period,IF(SUM($C734:K734)&gt;0,J391+1,0),0)</f>
        <v>0</v>
      </c>
      <c r="L391" s="152">
        <f>IF(L$2&lt;=analysis_period,IF(SUM($C734:L734)&gt;0,K391+1,0),0)</f>
        <v>0</v>
      </c>
      <c r="M391" s="152">
        <f>IF(M$2&lt;=analysis_period,IF(SUM($C734:M734)&gt;0,L391+1,0),0)</f>
        <v>0</v>
      </c>
      <c r="N391" s="152">
        <f>IF(N$2&lt;=analysis_period,IF(SUM($C734:N734)&gt;0,M391+1,0),0)</f>
        <v>0</v>
      </c>
      <c r="O391" s="152">
        <f>IF(O$2&lt;=analysis_period,IF(SUM($C734:O734)&gt;0,N391+1,0),0)</f>
        <v>0</v>
      </c>
      <c r="P391" s="152">
        <f>IF(P$2&lt;=analysis_period,IF(SUM($C734:P734)&gt;0,O391+1,0),0)</f>
        <v>0</v>
      </c>
      <c r="Q391" s="152">
        <f>IF(Q$2&lt;=analysis_period,IF(SUM($C734:Q734)&gt;0,P391+1,0),0)</f>
        <v>0</v>
      </c>
      <c r="R391" s="152">
        <f>IF(R$2&lt;=analysis_period,IF(SUM($C734:R734)&gt;0,Q391+1,0),0)</f>
        <v>0</v>
      </c>
      <c r="S391" s="152">
        <f>IF(S$2&lt;=analysis_period,IF(SUM($C734:S734)&gt;0,R391+1,0),0)</f>
        <v>0</v>
      </c>
      <c r="T391" s="152">
        <f>IF(T$2&lt;=analysis_period,IF(SUM($C734:T734)&gt;0,S391+1,0),0)</f>
        <v>0</v>
      </c>
      <c r="U391" s="152">
        <f>IF(U$2&lt;=analysis_period,IF(SUM($C734:U734)&gt;0,T391+1,0),0)</f>
        <v>0</v>
      </c>
      <c r="V391" s="152">
        <f>IF(V$2&lt;=analysis_period,IF(SUM($C734:V734)&gt;0,U391+1,0),0)</f>
        <v>0</v>
      </c>
      <c r="W391" s="152">
        <f>IF(W$2&lt;=analysis_period,IF(SUM($C734:W734)&gt;0,V391+1,0),0)</f>
        <v>0</v>
      </c>
      <c r="X391" s="152">
        <f>IF(X$2&lt;=analysis_period,IF(SUM($C734:X734)&gt;0,W391+1,0),0)</f>
        <v>0</v>
      </c>
      <c r="Y391" s="152">
        <f>IF(Y$2&lt;=analysis_period,IF(SUM($C734:Y734)&gt;0,X391+1,0),0)</f>
        <v>0</v>
      </c>
      <c r="Z391" s="152">
        <f>IF(Z$2&lt;=analysis_period,IF(SUM($C734:Z734)&gt;0,Y391+1,0),0)</f>
        <v>0</v>
      </c>
      <c r="AA391" s="152">
        <f>IF(AA$2&lt;=analysis_period,IF(SUM($C734:AA734)&gt;0,Z391+1,0),0)</f>
        <v>0</v>
      </c>
      <c r="AB391" s="152">
        <f>IF(AB$2&lt;=analysis_period,IF(SUM($C734:AB734)&gt;0,AA391+1,0),0)</f>
        <v>0</v>
      </c>
      <c r="AC391" s="152">
        <f>IF(AC$2&lt;=analysis_period,IF(SUM($C734:AC734)&gt;0,AB391+1,0),0)</f>
        <v>0</v>
      </c>
      <c r="AD391" s="152">
        <f>IF(AD$2&lt;=analysis_period,IF(SUM($C734:AD734)&gt;0,AC391+1,0),0)</f>
        <v>0</v>
      </c>
      <c r="AE391" s="152">
        <f>IF(AE$2&lt;=analysis_period,IF(SUM($C734:AE734)&gt;0,AD391+1,0),0)</f>
        <v>0</v>
      </c>
      <c r="AF391" s="152">
        <f>IF(AF$2&lt;=analysis_period,IF(SUM($C734:AF734)&gt;0,AE391+1,0),0)</f>
        <v>0</v>
      </c>
      <c r="AG391" s="152">
        <f>IF(AG$2&lt;=analysis_period,IF(SUM($C734:AG734)&gt;0,AF391+1,0),0)</f>
        <v>0</v>
      </c>
      <c r="AH391" s="152">
        <f>IF(AH$2&lt;=analysis_period,IF(SUM($C734:AH734)&gt;0,AG391+1,0),0)</f>
        <v>0</v>
      </c>
      <c r="AI391" s="152">
        <f>IF(AI$2&lt;=analysis_period,IF(SUM($C734:AI734)&gt;0,AH391+1,0),0)</f>
        <v>0</v>
      </c>
      <c r="AJ391" s="152">
        <f>IF(AJ$2&lt;=analysis_period,IF(SUM($C734:AJ734)&gt;0,AI391+1,0),0)</f>
        <v>0</v>
      </c>
      <c r="AK391" s="152">
        <f>IF(AK$2&lt;=analysis_period,IF(SUM($C734:AK734)&gt;0,AJ391+1,0),0)</f>
        <v>0</v>
      </c>
      <c r="AL391" s="152">
        <f>IF(AL$2&lt;=analysis_period,IF(SUM($C734:AL734)&gt;0,AK391+1,0),0)</f>
        <v>0</v>
      </c>
      <c r="AM391" s="152">
        <f>IF(AM$2&lt;=analysis_period,IF(SUM($C734:AM734)&gt;0,AL391+1,0),0)</f>
        <v>0</v>
      </c>
      <c r="AN391" s="152">
        <f>IF(AN$2&lt;=analysis_period,IF(SUM($C734:AN734)&gt;0,AM391+1,0),0)</f>
        <v>0</v>
      </c>
      <c r="AO391" s="152">
        <f>IF(AO$2&lt;=analysis_period,IF(SUM($C734:AO734)&gt;0,AN391+1,0),0)</f>
        <v>0</v>
      </c>
      <c r="AP391" s="152">
        <f>IF(AP$2&lt;=analysis_period,IF(SUM($C734:AP734)&gt;0,AO391+1,0),0)</f>
        <v>0</v>
      </c>
    </row>
    <row r="392" spans="1:42" x14ac:dyDescent="0.2">
      <c r="A392" s="4">
        <f t="shared" si="149"/>
        <v>10</v>
      </c>
      <c r="B392" s="4">
        <v>0</v>
      </c>
      <c r="C392" s="152">
        <f>IF(C$2&lt;=analysis_period,IF(SUM($C735:C735)&gt;0,B392+1,0),0)</f>
        <v>0</v>
      </c>
      <c r="D392" s="152">
        <f>IF(D$2&lt;=analysis_period,IF(SUM($C735:D735)&gt;0,C392+1,0),0)</f>
        <v>0</v>
      </c>
      <c r="E392" s="152">
        <f>IF(E$2&lt;=analysis_period,IF(SUM($C735:E735)&gt;0,D392+1,0),0)</f>
        <v>0</v>
      </c>
      <c r="F392" s="152">
        <f>IF(F$2&lt;=analysis_period,IF(SUM($C735:F735)&gt;0,E392+1,0),0)</f>
        <v>0</v>
      </c>
      <c r="G392" s="152">
        <f>IF(G$2&lt;=analysis_period,IF(SUM($C735:G735)&gt;0,F392+1,0),0)</f>
        <v>0</v>
      </c>
      <c r="H392" s="152">
        <f>IF(H$2&lt;=analysis_period,IF(SUM($C735:H735)&gt;0,G392+1,0),0)</f>
        <v>0</v>
      </c>
      <c r="I392" s="152">
        <f>IF(I$2&lt;=analysis_period,IF(SUM($C735:I735)&gt;0,H392+1,0),0)</f>
        <v>0</v>
      </c>
      <c r="J392" s="152">
        <f>IF(J$2&lt;=analysis_period,IF(SUM($C735:J735)&gt;0,I392+1,0),0)</f>
        <v>0</v>
      </c>
      <c r="K392" s="152">
        <f>IF(K$2&lt;=analysis_period,IF(SUM($C735:K735)&gt;0,J392+1,0),0)</f>
        <v>0</v>
      </c>
      <c r="L392" s="152">
        <f>IF(L$2&lt;=analysis_period,IF(SUM($C735:L735)&gt;0,K392+1,0),0)</f>
        <v>0</v>
      </c>
      <c r="M392" s="152">
        <f>IF(M$2&lt;=analysis_period,IF(SUM($C735:M735)&gt;0,L392+1,0),0)</f>
        <v>0</v>
      </c>
      <c r="N392" s="152">
        <f>IF(N$2&lt;=analysis_period,IF(SUM($C735:N735)&gt;0,M392+1,0),0)</f>
        <v>0</v>
      </c>
      <c r="O392" s="152">
        <f>IF(O$2&lt;=analysis_period,IF(SUM($C735:O735)&gt;0,N392+1,0),0)</f>
        <v>0</v>
      </c>
      <c r="P392" s="152">
        <f>IF(P$2&lt;=analysis_period,IF(SUM($C735:P735)&gt;0,O392+1,0),0)</f>
        <v>0</v>
      </c>
      <c r="Q392" s="152">
        <f>IF(Q$2&lt;=analysis_period,IF(SUM($C735:Q735)&gt;0,P392+1,0),0)</f>
        <v>0</v>
      </c>
      <c r="R392" s="152">
        <f>IF(R$2&lt;=analysis_period,IF(SUM($C735:R735)&gt;0,Q392+1,0),0)</f>
        <v>0</v>
      </c>
      <c r="S392" s="152">
        <f>IF(S$2&lt;=analysis_period,IF(SUM($C735:S735)&gt;0,R392+1,0),0)</f>
        <v>0</v>
      </c>
      <c r="T392" s="152">
        <f>IF(T$2&lt;=analysis_period,IF(SUM($C735:T735)&gt;0,S392+1,0),0)</f>
        <v>0</v>
      </c>
      <c r="U392" s="152">
        <f>IF(U$2&lt;=analysis_period,IF(SUM($C735:U735)&gt;0,T392+1,0),0)</f>
        <v>0</v>
      </c>
      <c r="V392" s="152">
        <f>IF(V$2&lt;=analysis_period,IF(SUM($C735:V735)&gt;0,U392+1,0),0)</f>
        <v>0</v>
      </c>
      <c r="W392" s="152">
        <f>IF(W$2&lt;=analysis_period,IF(SUM($C735:W735)&gt;0,V392+1,0),0)</f>
        <v>0</v>
      </c>
      <c r="X392" s="152">
        <f>IF(X$2&lt;=analysis_period,IF(SUM($C735:X735)&gt;0,W392+1,0),0)</f>
        <v>0</v>
      </c>
      <c r="Y392" s="152">
        <f>IF(Y$2&lt;=analysis_period,IF(SUM($C735:Y735)&gt;0,X392+1,0),0)</f>
        <v>0</v>
      </c>
      <c r="Z392" s="152">
        <f>IF(Z$2&lt;=analysis_period,IF(SUM($C735:Z735)&gt;0,Y392+1,0),0)</f>
        <v>0</v>
      </c>
      <c r="AA392" s="152">
        <f>IF(AA$2&lt;=analysis_period,IF(SUM($C735:AA735)&gt;0,Z392+1,0),0)</f>
        <v>0</v>
      </c>
      <c r="AB392" s="152">
        <f>IF(AB$2&lt;=analysis_period,IF(SUM($C735:AB735)&gt;0,AA392+1,0),0)</f>
        <v>0</v>
      </c>
      <c r="AC392" s="152">
        <f>IF(AC$2&lt;=analysis_period,IF(SUM($C735:AC735)&gt;0,AB392+1,0),0)</f>
        <v>0</v>
      </c>
      <c r="AD392" s="152">
        <f>IF(AD$2&lt;=analysis_period,IF(SUM($C735:AD735)&gt;0,AC392+1,0),0)</f>
        <v>0</v>
      </c>
      <c r="AE392" s="152">
        <f>IF(AE$2&lt;=analysis_period,IF(SUM($C735:AE735)&gt;0,AD392+1,0),0)</f>
        <v>0</v>
      </c>
      <c r="AF392" s="152">
        <f>IF(AF$2&lt;=analysis_period,IF(SUM($C735:AF735)&gt;0,AE392+1,0),0)</f>
        <v>0</v>
      </c>
      <c r="AG392" s="152">
        <f>IF(AG$2&lt;=analysis_period,IF(SUM($C735:AG735)&gt;0,AF392+1,0),0)</f>
        <v>0</v>
      </c>
      <c r="AH392" s="152">
        <f>IF(AH$2&lt;=analysis_period,IF(SUM($C735:AH735)&gt;0,AG392+1,0),0)</f>
        <v>0</v>
      </c>
      <c r="AI392" s="152">
        <f>IF(AI$2&lt;=analysis_period,IF(SUM($C735:AI735)&gt;0,AH392+1,0),0)</f>
        <v>0</v>
      </c>
      <c r="AJ392" s="152">
        <f>IF(AJ$2&lt;=analysis_period,IF(SUM($C735:AJ735)&gt;0,AI392+1,0),0)</f>
        <v>0</v>
      </c>
      <c r="AK392" s="152">
        <f>IF(AK$2&lt;=analysis_period,IF(SUM($C735:AK735)&gt;0,AJ392+1,0),0)</f>
        <v>0</v>
      </c>
      <c r="AL392" s="152">
        <f>IF(AL$2&lt;=analysis_period,IF(SUM($C735:AL735)&gt;0,AK392+1,0),0)</f>
        <v>0</v>
      </c>
      <c r="AM392" s="152">
        <f>IF(AM$2&lt;=analysis_period,IF(SUM($C735:AM735)&gt;0,AL392+1,0),0)</f>
        <v>0</v>
      </c>
      <c r="AN392" s="152">
        <f>IF(AN$2&lt;=analysis_period,IF(SUM($C735:AN735)&gt;0,AM392+1,0),0)</f>
        <v>0</v>
      </c>
      <c r="AO392" s="152">
        <f>IF(AO$2&lt;=analysis_period,IF(SUM($C735:AO735)&gt;0,AN392+1,0),0)</f>
        <v>0</v>
      </c>
      <c r="AP392" s="152">
        <f>IF(AP$2&lt;=analysis_period,IF(SUM($C735:AP735)&gt;0,AO392+1,0),0)</f>
        <v>0</v>
      </c>
    </row>
    <row r="393" spans="1:42" x14ac:dyDescent="0.2">
      <c r="A393" s="21"/>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row>
    <row r="394" spans="1:42" x14ac:dyDescent="0.2">
      <c r="A394" s="85" t="s">
        <v>65</v>
      </c>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row>
    <row r="395" spans="1:42" x14ac:dyDescent="0.2">
      <c r="A395" s="4">
        <v>1</v>
      </c>
      <c r="B395" s="175">
        <f t="shared" ref="B395:B404" si="150">SUM(C395:AP395)</f>
        <v>0</v>
      </c>
      <c r="C395" s="152">
        <f t="shared" ref="C395:AP395" si="151">LOOKUP(C383,$B$353:$AP$353,$B$354:$AP$354)/100*$B726</f>
        <v>0</v>
      </c>
      <c r="D395" s="152">
        <f t="shared" si="151"/>
        <v>0</v>
      </c>
      <c r="E395" s="152">
        <f t="shared" si="151"/>
        <v>0</v>
      </c>
      <c r="F395" s="152">
        <f t="shared" si="151"/>
        <v>0</v>
      </c>
      <c r="G395" s="152">
        <f t="shared" si="151"/>
        <v>0</v>
      </c>
      <c r="H395" s="152">
        <f t="shared" si="151"/>
        <v>0</v>
      </c>
      <c r="I395" s="152">
        <f t="shared" si="151"/>
        <v>0</v>
      </c>
      <c r="J395" s="152">
        <f t="shared" si="151"/>
        <v>0</v>
      </c>
      <c r="K395" s="152">
        <f t="shared" si="151"/>
        <v>0</v>
      </c>
      <c r="L395" s="152">
        <f t="shared" si="151"/>
        <v>0</v>
      </c>
      <c r="M395" s="152">
        <f t="shared" si="151"/>
        <v>0</v>
      </c>
      <c r="N395" s="152">
        <f t="shared" si="151"/>
        <v>0</v>
      </c>
      <c r="O395" s="152">
        <f t="shared" si="151"/>
        <v>0</v>
      </c>
      <c r="P395" s="152">
        <f t="shared" si="151"/>
        <v>0</v>
      </c>
      <c r="Q395" s="152">
        <f t="shared" si="151"/>
        <v>0</v>
      </c>
      <c r="R395" s="152">
        <f t="shared" si="151"/>
        <v>0</v>
      </c>
      <c r="S395" s="152">
        <f t="shared" si="151"/>
        <v>0</v>
      </c>
      <c r="T395" s="152">
        <f t="shared" si="151"/>
        <v>0</v>
      </c>
      <c r="U395" s="152">
        <f t="shared" si="151"/>
        <v>0</v>
      </c>
      <c r="V395" s="152">
        <f t="shared" si="151"/>
        <v>0</v>
      </c>
      <c r="W395" s="152">
        <f t="shared" si="151"/>
        <v>0</v>
      </c>
      <c r="X395" s="152">
        <f t="shared" si="151"/>
        <v>0</v>
      </c>
      <c r="Y395" s="152">
        <f t="shared" si="151"/>
        <v>0</v>
      </c>
      <c r="Z395" s="152">
        <f t="shared" si="151"/>
        <v>0</v>
      </c>
      <c r="AA395" s="152">
        <f t="shared" si="151"/>
        <v>0</v>
      </c>
      <c r="AB395" s="152">
        <f t="shared" si="151"/>
        <v>0</v>
      </c>
      <c r="AC395" s="152">
        <f t="shared" si="151"/>
        <v>0</v>
      </c>
      <c r="AD395" s="152">
        <f t="shared" si="151"/>
        <v>0</v>
      </c>
      <c r="AE395" s="152">
        <f t="shared" si="151"/>
        <v>0</v>
      </c>
      <c r="AF395" s="152">
        <f t="shared" si="151"/>
        <v>0</v>
      </c>
      <c r="AG395" s="152">
        <f t="shared" si="151"/>
        <v>0</v>
      </c>
      <c r="AH395" s="152">
        <f t="shared" si="151"/>
        <v>0</v>
      </c>
      <c r="AI395" s="152">
        <f t="shared" si="151"/>
        <v>0</v>
      </c>
      <c r="AJ395" s="152">
        <f t="shared" si="151"/>
        <v>0</v>
      </c>
      <c r="AK395" s="152">
        <f t="shared" si="151"/>
        <v>0</v>
      </c>
      <c r="AL395" s="152">
        <f t="shared" si="151"/>
        <v>0</v>
      </c>
      <c r="AM395" s="152">
        <f t="shared" si="151"/>
        <v>0</v>
      </c>
      <c r="AN395" s="152">
        <f t="shared" si="151"/>
        <v>0</v>
      </c>
      <c r="AO395" s="152">
        <f t="shared" si="151"/>
        <v>0</v>
      </c>
      <c r="AP395" s="152">
        <f t="shared" si="151"/>
        <v>0</v>
      </c>
    </row>
    <row r="396" spans="1:42" x14ac:dyDescent="0.2">
      <c r="A396" s="4">
        <f>A395+1</f>
        <v>2</v>
      </c>
      <c r="B396" s="175">
        <f t="shared" si="150"/>
        <v>0</v>
      </c>
      <c r="C396" s="152">
        <f t="shared" ref="C396:AP396" si="152">LOOKUP(C384,$B$353:$AP$353,$B$354:$AP$354)/100*$B727</f>
        <v>0</v>
      </c>
      <c r="D396" s="152">
        <f t="shared" si="152"/>
        <v>0</v>
      </c>
      <c r="E396" s="152">
        <f t="shared" si="152"/>
        <v>0</v>
      </c>
      <c r="F396" s="152">
        <f t="shared" si="152"/>
        <v>0</v>
      </c>
      <c r="G396" s="152">
        <f t="shared" si="152"/>
        <v>0</v>
      </c>
      <c r="H396" s="152">
        <f t="shared" si="152"/>
        <v>0</v>
      </c>
      <c r="I396" s="152">
        <f t="shared" si="152"/>
        <v>0</v>
      </c>
      <c r="J396" s="152">
        <f t="shared" si="152"/>
        <v>0</v>
      </c>
      <c r="K396" s="152">
        <f t="shared" si="152"/>
        <v>0</v>
      </c>
      <c r="L396" s="152">
        <f t="shared" si="152"/>
        <v>0</v>
      </c>
      <c r="M396" s="152">
        <f t="shared" si="152"/>
        <v>0</v>
      </c>
      <c r="N396" s="152">
        <f t="shared" si="152"/>
        <v>0</v>
      </c>
      <c r="O396" s="152">
        <f t="shared" si="152"/>
        <v>0</v>
      </c>
      <c r="P396" s="152">
        <f t="shared" si="152"/>
        <v>0</v>
      </c>
      <c r="Q396" s="152">
        <f t="shared" si="152"/>
        <v>0</v>
      </c>
      <c r="R396" s="152">
        <f t="shared" si="152"/>
        <v>0</v>
      </c>
      <c r="S396" s="152">
        <f t="shared" si="152"/>
        <v>0</v>
      </c>
      <c r="T396" s="152">
        <f t="shared" si="152"/>
        <v>0</v>
      </c>
      <c r="U396" s="152">
        <f t="shared" si="152"/>
        <v>0</v>
      </c>
      <c r="V396" s="152">
        <f t="shared" si="152"/>
        <v>0</v>
      </c>
      <c r="W396" s="152">
        <f t="shared" si="152"/>
        <v>0</v>
      </c>
      <c r="X396" s="152">
        <f t="shared" si="152"/>
        <v>0</v>
      </c>
      <c r="Y396" s="152">
        <f t="shared" si="152"/>
        <v>0</v>
      </c>
      <c r="Z396" s="152">
        <f t="shared" si="152"/>
        <v>0</v>
      </c>
      <c r="AA396" s="152">
        <f t="shared" si="152"/>
        <v>0</v>
      </c>
      <c r="AB396" s="152">
        <f t="shared" si="152"/>
        <v>0</v>
      </c>
      <c r="AC396" s="152">
        <f t="shared" si="152"/>
        <v>0</v>
      </c>
      <c r="AD396" s="152">
        <f t="shared" si="152"/>
        <v>0</v>
      </c>
      <c r="AE396" s="152">
        <f t="shared" si="152"/>
        <v>0</v>
      </c>
      <c r="AF396" s="152">
        <f t="shared" si="152"/>
        <v>0</v>
      </c>
      <c r="AG396" s="152">
        <f t="shared" si="152"/>
        <v>0</v>
      </c>
      <c r="AH396" s="152">
        <f t="shared" si="152"/>
        <v>0</v>
      </c>
      <c r="AI396" s="152">
        <f t="shared" si="152"/>
        <v>0</v>
      </c>
      <c r="AJ396" s="152">
        <f t="shared" si="152"/>
        <v>0</v>
      </c>
      <c r="AK396" s="152">
        <f t="shared" si="152"/>
        <v>0</v>
      </c>
      <c r="AL396" s="152">
        <f t="shared" si="152"/>
        <v>0</v>
      </c>
      <c r="AM396" s="152">
        <f t="shared" si="152"/>
        <v>0</v>
      </c>
      <c r="AN396" s="152">
        <f t="shared" si="152"/>
        <v>0</v>
      </c>
      <c r="AO396" s="152">
        <f t="shared" si="152"/>
        <v>0</v>
      </c>
      <c r="AP396" s="152">
        <f t="shared" si="152"/>
        <v>0</v>
      </c>
    </row>
    <row r="397" spans="1:42" x14ac:dyDescent="0.2">
      <c r="A397" s="4">
        <f t="shared" ref="A397:A404" si="153">A396+1</f>
        <v>3</v>
      </c>
      <c r="B397" s="175">
        <f t="shared" si="150"/>
        <v>0</v>
      </c>
      <c r="C397" s="152">
        <f t="shared" ref="C397:AP397" si="154">LOOKUP(C385,$B$353:$AP$353,$B$354:$AP$354)/100*$B728</f>
        <v>0</v>
      </c>
      <c r="D397" s="152">
        <f t="shared" si="154"/>
        <v>0</v>
      </c>
      <c r="E397" s="152">
        <f t="shared" si="154"/>
        <v>0</v>
      </c>
      <c r="F397" s="152">
        <f t="shared" si="154"/>
        <v>0</v>
      </c>
      <c r="G397" s="152">
        <f t="shared" si="154"/>
        <v>0</v>
      </c>
      <c r="H397" s="152">
        <f t="shared" si="154"/>
        <v>0</v>
      </c>
      <c r="I397" s="152">
        <f t="shared" si="154"/>
        <v>0</v>
      </c>
      <c r="J397" s="152">
        <f t="shared" si="154"/>
        <v>0</v>
      </c>
      <c r="K397" s="152">
        <f t="shared" si="154"/>
        <v>0</v>
      </c>
      <c r="L397" s="152">
        <f t="shared" si="154"/>
        <v>0</v>
      </c>
      <c r="M397" s="152">
        <f t="shared" si="154"/>
        <v>0</v>
      </c>
      <c r="N397" s="152">
        <f t="shared" si="154"/>
        <v>0</v>
      </c>
      <c r="O397" s="152">
        <f t="shared" si="154"/>
        <v>0</v>
      </c>
      <c r="P397" s="152">
        <f t="shared" si="154"/>
        <v>0</v>
      </c>
      <c r="Q397" s="152">
        <f t="shared" si="154"/>
        <v>0</v>
      </c>
      <c r="R397" s="152">
        <f t="shared" si="154"/>
        <v>0</v>
      </c>
      <c r="S397" s="152">
        <f t="shared" si="154"/>
        <v>0</v>
      </c>
      <c r="T397" s="152">
        <f t="shared" si="154"/>
        <v>0</v>
      </c>
      <c r="U397" s="152">
        <f t="shared" si="154"/>
        <v>0</v>
      </c>
      <c r="V397" s="152">
        <f t="shared" si="154"/>
        <v>0</v>
      </c>
      <c r="W397" s="152">
        <f t="shared" si="154"/>
        <v>0</v>
      </c>
      <c r="X397" s="152">
        <f t="shared" si="154"/>
        <v>0</v>
      </c>
      <c r="Y397" s="152">
        <f t="shared" si="154"/>
        <v>0</v>
      </c>
      <c r="Z397" s="152">
        <f t="shared" si="154"/>
        <v>0</v>
      </c>
      <c r="AA397" s="152">
        <f t="shared" si="154"/>
        <v>0</v>
      </c>
      <c r="AB397" s="152">
        <f t="shared" si="154"/>
        <v>0</v>
      </c>
      <c r="AC397" s="152">
        <f t="shared" si="154"/>
        <v>0</v>
      </c>
      <c r="AD397" s="152">
        <f t="shared" si="154"/>
        <v>0</v>
      </c>
      <c r="AE397" s="152">
        <f t="shared" si="154"/>
        <v>0</v>
      </c>
      <c r="AF397" s="152">
        <f t="shared" si="154"/>
        <v>0</v>
      </c>
      <c r="AG397" s="152">
        <f t="shared" si="154"/>
        <v>0</v>
      </c>
      <c r="AH397" s="152">
        <f t="shared" si="154"/>
        <v>0</v>
      </c>
      <c r="AI397" s="152">
        <f t="shared" si="154"/>
        <v>0</v>
      </c>
      <c r="AJ397" s="152">
        <f t="shared" si="154"/>
        <v>0</v>
      </c>
      <c r="AK397" s="152">
        <f t="shared" si="154"/>
        <v>0</v>
      </c>
      <c r="AL397" s="152">
        <f t="shared" si="154"/>
        <v>0</v>
      </c>
      <c r="AM397" s="152">
        <f t="shared" si="154"/>
        <v>0</v>
      </c>
      <c r="AN397" s="152">
        <f t="shared" si="154"/>
        <v>0</v>
      </c>
      <c r="AO397" s="152">
        <f t="shared" si="154"/>
        <v>0</v>
      </c>
      <c r="AP397" s="152">
        <f t="shared" si="154"/>
        <v>0</v>
      </c>
    </row>
    <row r="398" spans="1:42" x14ac:dyDescent="0.2">
      <c r="A398" s="4">
        <f t="shared" si="153"/>
        <v>4</v>
      </c>
      <c r="B398" s="175">
        <f t="shared" si="150"/>
        <v>0</v>
      </c>
      <c r="C398" s="152">
        <f t="shared" ref="C398:AP398" si="155">LOOKUP(C386,$B$353:$AP$353,$B$354:$AP$354)/100*$B729</f>
        <v>0</v>
      </c>
      <c r="D398" s="152">
        <f t="shared" si="155"/>
        <v>0</v>
      </c>
      <c r="E398" s="152">
        <f t="shared" si="155"/>
        <v>0</v>
      </c>
      <c r="F398" s="152">
        <f t="shared" si="155"/>
        <v>0</v>
      </c>
      <c r="G398" s="152">
        <f t="shared" si="155"/>
        <v>0</v>
      </c>
      <c r="H398" s="152">
        <f t="shared" si="155"/>
        <v>0</v>
      </c>
      <c r="I398" s="152">
        <f t="shared" si="155"/>
        <v>0</v>
      </c>
      <c r="J398" s="152">
        <f t="shared" si="155"/>
        <v>0</v>
      </c>
      <c r="K398" s="152">
        <f t="shared" si="155"/>
        <v>0</v>
      </c>
      <c r="L398" s="152">
        <f t="shared" si="155"/>
        <v>0</v>
      </c>
      <c r="M398" s="152">
        <f t="shared" si="155"/>
        <v>0</v>
      </c>
      <c r="N398" s="152">
        <f t="shared" si="155"/>
        <v>0</v>
      </c>
      <c r="O398" s="152">
        <f t="shared" si="155"/>
        <v>0</v>
      </c>
      <c r="P398" s="152">
        <f t="shared" si="155"/>
        <v>0</v>
      </c>
      <c r="Q398" s="152">
        <f t="shared" si="155"/>
        <v>0</v>
      </c>
      <c r="R398" s="152">
        <f t="shared" si="155"/>
        <v>0</v>
      </c>
      <c r="S398" s="152">
        <f t="shared" si="155"/>
        <v>0</v>
      </c>
      <c r="T398" s="152">
        <f t="shared" si="155"/>
        <v>0</v>
      </c>
      <c r="U398" s="152">
        <f t="shared" si="155"/>
        <v>0</v>
      </c>
      <c r="V398" s="152">
        <f t="shared" si="155"/>
        <v>0</v>
      </c>
      <c r="W398" s="152">
        <f t="shared" si="155"/>
        <v>0</v>
      </c>
      <c r="X398" s="152">
        <f t="shared" si="155"/>
        <v>0</v>
      </c>
      <c r="Y398" s="152">
        <f t="shared" si="155"/>
        <v>0</v>
      </c>
      <c r="Z398" s="152">
        <f t="shared" si="155"/>
        <v>0</v>
      </c>
      <c r="AA398" s="152">
        <f t="shared" si="155"/>
        <v>0</v>
      </c>
      <c r="AB398" s="152">
        <f t="shared" si="155"/>
        <v>0</v>
      </c>
      <c r="AC398" s="152">
        <f t="shared" si="155"/>
        <v>0</v>
      </c>
      <c r="AD398" s="152">
        <f t="shared" si="155"/>
        <v>0</v>
      </c>
      <c r="AE398" s="152">
        <f t="shared" si="155"/>
        <v>0</v>
      </c>
      <c r="AF398" s="152">
        <f t="shared" si="155"/>
        <v>0</v>
      </c>
      <c r="AG398" s="152">
        <f t="shared" si="155"/>
        <v>0</v>
      </c>
      <c r="AH398" s="152">
        <f t="shared" si="155"/>
        <v>0</v>
      </c>
      <c r="AI398" s="152">
        <f t="shared" si="155"/>
        <v>0</v>
      </c>
      <c r="AJ398" s="152">
        <f t="shared" si="155"/>
        <v>0</v>
      </c>
      <c r="AK398" s="152">
        <f t="shared" si="155"/>
        <v>0</v>
      </c>
      <c r="AL398" s="152">
        <f t="shared" si="155"/>
        <v>0</v>
      </c>
      <c r="AM398" s="152">
        <f t="shared" si="155"/>
        <v>0</v>
      </c>
      <c r="AN398" s="152">
        <f t="shared" si="155"/>
        <v>0</v>
      </c>
      <c r="AO398" s="152">
        <f t="shared" si="155"/>
        <v>0</v>
      </c>
      <c r="AP398" s="152">
        <f t="shared" si="155"/>
        <v>0</v>
      </c>
    </row>
    <row r="399" spans="1:42" x14ac:dyDescent="0.2">
      <c r="A399" s="4">
        <f t="shared" si="153"/>
        <v>5</v>
      </c>
      <c r="B399" s="175">
        <f t="shared" si="150"/>
        <v>0</v>
      </c>
      <c r="C399" s="152">
        <f t="shared" ref="C399:AP399" si="156">LOOKUP(C387,$B$353:$AP$353,$B$354:$AP$354)/100*$B730</f>
        <v>0</v>
      </c>
      <c r="D399" s="152">
        <f t="shared" si="156"/>
        <v>0</v>
      </c>
      <c r="E399" s="152">
        <f t="shared" si="156"/>
        <v>0</v>
      </c>
      <c r="F399" s="152">
        <f t="shared" si="156"/>
        <v>0</v>
      </c>
      <c r="G399" s="152">
        <f t="shared" si="156"/>
        <v>0</v>
      </c>
      <c r="H399" s="152">
        <f t="shared" si="156"/>
        <v>0</v>
      </c>
      <c r="I399" s="152">
        <f t="shared" si="156"/>
        <v>0</v>
      </c>
      <c r="J399" s="152">
        <f t="shared" si="156"/>
        <v>0</v>
      </c>
      <c r="K399" s="152">
        <f t="shared" si="156"/>
        <v>0</v>
      </c>
      <c r="L399" s="152">
        <f t="shared" si="156"/>
        <v>0</v>
      </c>
      <c r="M399" s="152">
        <f t="shared" si="156"/>
        <v>0</v>
      </c>
      <c r="N399" s="152">
        <f t="shared" si="156"/>
        <v>0</v>
      </c>
      <c r="O399" s="152">
        <f t="shared" si="156"/>
        <v>0</v>
      </c>
      <c r="P399" s="152">
        <f t="shared" si="156"/>
        <v>0</v>
      </c>
      <c r="Q399" s="152">
        <f t="shared" si="156"/>
        <v>0</v>
      </c>
      <c r="R399" s="152">
        <f t="shared" si="156"/>
        <v>0</v>
      </c>
      <c r="S399" s="152">
        <f t="shared" si="156"/>
        <v>0</v>
      </c>
      <c r="T399" s="152">
        <f t="shared" si="156"/>
        <v>0</v>
      </c>
      <c r="U399" s="152">
        <f t="shared" si="156"/>
        <v>0</v>
      </c>
      <c r="V399" s="152">
        <f t="shared" si="156"/>
        <v>0</v>
      </c>
      <c r="W399" s="152">
        <f t="shared" si="156"/>
        <v>0</v>
      </c>
      <c r="X399" s="152">
        <f t="shared" si="156"/>
        <v>0</v>
      </c>
      <c r="Y399" s="152">
        <f t="shared" si="156"/>
        <v>0</v>
      </c>
      <c r="Z399" s="152">
        <f t="shared" si="156"/>
        <v>0</v>
      </c>
      <c r="AA399" s="152">
        <f t="shared" si="156"/>
        <v>0</v>
      </c>
      <c r="AB399" s="152">
        <f t="shared" si="156"/>
        <v>0</v>
      </c>
      <c r="AC399" s="152">
        <f t="shared" si="156"/>
        <v>0</v>
      </c>
      <c r="AD399" s="152">
        <f t="shared" si="156"/>
        <v>0</v>
      </c>
      <c r="AE399" s="152">
        <f t="shared" si="156"/>
        <v>0</v>
      </c>
      <c r="AF399" s="152">
        <f t="shared" si="156"/>
        <v>0</v>
      </c>
      <c r="AG399" s="152">
        <f t="shared" si="156"/>
        <v>0</v>
      </c>
      <c r="AH399" s="152">
        <f t="shared" si="156"/>
        <v>0</v>
      </c>
      <c r="AI399" s="152">
        <f t="shared" si="156"/>
        <v>0</v>
      </c>
      <c r="AJ399" s="152">
        <f t="shared" si="156"/>
        <v>0</v>
      </c>
      <c r="AK399" s="152">
        <f t="shared" si="156"/>
        <v>0</v>
      </c>
      <c r="AL399" s="152">
        <f t="shared" si="156"/>
        <v>0</v>
      </c>
      <c r="AM399" s="152">
        <f t="shared" si="156"/>
        <v>0</v>
      </c>
      <c r="AN399" s="152">
        <f t="shared" si="156"/>
        <v>0</v>
      </c>
      <c r="AO399" s="152">
        <f t="shared" si="156"/>
        <v>0</v>
      </c>
      <c r="AP399" s="152">
        <f t="shared" si="156"/>
        <v>0</v>
      </c>
    </row>
    <row r="400" spans="1:42" x14ac:dyDescent="0.2">
      <c r="A400" s="4">
        <f t="shared" si="153"/>
        <v>6</v>
      </c>
      <c r="B400" s="175">
        <f t="shared" si="150"/>
        <v>0</v>
      </c>
      <c r="C400" s="152">
        <f t="shared" ref="C400:AP400" si="157">LOOKUP(C388,$B$353:$AP$353,$B$354:$AP$354)/100*$B731</f>
        <v>0</v>
      </c>
      <c r="D400" s="152">
        <f t="shared" si="157"/>
        <v>0</v>
      </c>
      <c r="E400" s="152">
        <f t="shared" si="157"/>
        <v>0</v>
      </c>
      <c r="F400" s="152">
        <f t="shared" si="157"/>
        <v>0</v>
      </c>
      <c r="G400" s="152">
        <f t="shared" si="157"/>
        <v>0</v>
      </c>
      <c r="H400" s="152">
        <f t="shared" si="157"/>
        <v>0</v>
      </c>
      <c r="I400" s="152">
        <f t="shared" si="157"/>
        <v>0</v>
      </c>
      <c r="J400" s="152">
        <f t="shared" si="157"/>
        <v>0</v>
      </c>
      <c r="K400" s="152">
        <f t="shared" si="157"/>
        <v>0</v>
      </c>
      <c r="L400" s="152">
        <f t="shared" si="157"/>
        <v>0</v>
      </c>
      <c r="M400" s="152">
        <f t="shared" si="157"/>
        <v>0</v>
      </c>
      <c r="N400" s="152">
        <f t="shared" si="157"/>
        <v>0</v>
      </c>
      <c r="O400" s="152">
        <f t="shared" si="157"/>
        <v>0</v>
      </c>
      <c r="P400" s="152">
        <f t="shared" si="157"/>
        <v>0</v>
      </c>
      <c r="Q400" s="152">
        <f t="shared" si="157"/>
        <v>0</v>
      </c>
      <c r="R400" s="152">
        <f t="shared" si="157"/>
        <v>0</v>
      </c>
      <c r="S400" s="152">
        <f t="shared" si="157"/>
        <v>0</v>
      </c>
      <c r="T400" s="152">
        <f t="shared" si="157"/>
        <v>0</v>
      </c>
      <c r="U400" s="152">
        <f t="shared" si="157"/>
        <v>0</v>
      </c>
      <c r="V400" s="152">
        <f t="shared" si="157"/>
        <v>0</v>
      </c>
      <c r="W400" s="152">
        <f t="shared" si="157"/>
        <v>0</v>
      </c>
      <c r="X400" s="152">
        <f t="shared" si="157"/>
        <v>0</v>
      </c>
      <c r="Y400" s="152">
        <f t="shared" si="157"/>
        <v>0</v>
      </c>
      <c r="Z400" s="152">
        <f t="shared" si="157"/>
        <v>0</v>
      </c>
      <c r="AA400" s="152">
        <f t="shared" si="157"/>
        <v>0</v>
      </c>
      <c r="AB400" s="152">
        <f t="shared" si="157"/>
        <v>0</v>
      </c>
      <c r="AC400" s="152">
        <f t="shared" si="157"/>
        <v>0</v>
      </c>
      <c r="AD400" s="152">
        <f t="shared" si="157"/>
        <v>0</v>
      </c>
      <c r="AE400" s="152">
        <f t="shared" si="157"/>
        <v>0</v>
      </c>
      <c r="AF400" s="152">
        <f t="shared" si="157"/>
        <v>0</v>
      </c>
      <c r="AG400" s="152">
        <f t="shared" si="157"/>
        <v>0</v>
      </c>
      <c r="AH400" s="152">
        <f t="shared" si="157"/>
        <v>0</v>
      </c>
      <c r="AI400" s="152">
        <f t="shared" si="157"/>
        <v>0</v>
      </c>
      <c r="AJ400" s="152">
        <f t="shared" si="157"/>
        <v>0</v>
      </c>
      <c r="AK400" s="152">
        <f t="shared" si="157"/>
        <v>0</v>
      </c>
      <c r="AL400" s="152">
        <f t="shared" si="157"/>
        <v>0</v>
      </c>
      <c r="AM400" s="152">
        <f t="shared" si="157"/>
        <v>0</v>
      </c>
      <c r="AN400" s="152">
        <f t="shared" si="157"/>
        <v>0</v>
      </c>
      <c r="AO400" s="152">
        <f t="shared" si="157"/>
        <v>0</v>
      </c>
      <c r="AP400" s="152">
        <f t="shared" si="157"/>
        <v>0</v>
      </c>
    </row>
    <row r="401" spans="1:42" x14ac:dyDescent="0.2">
      <c r="A401" s="4">
        <f t="shared" si="153"/>
        <v>7</v>
      </c>
      <c r="B401" s="175">
        <f t="shared" si="150"/>
        <v>0</v>
      </c>
      <c r="C401" s="152">
        <f t="shared" ref="C401:AP401" si="158">LOOKUP(C389,$B$353:$AP$353,$B$354:$AP$354)/100*$B732</f>
        <v>0</v>
      </c>
      <c r="D401" s="152">
        <f t="shared" si="158"/>
        <v>0</v>
      </c>
      <c r="E401" s="152">
        <f t="shared" si="158"/>
        <v>0</v>
      </c>
      <c r="F401" s="152">
        <f t="shared" si="158"/>
        <v>0</v>
      </c>
      <c r="G401" s="152">
        <f t="shared" si="158"/>
        <v>0</v>
      </c>
      <c r="H401" s="152">
        <f t="shared" si="158"/>
        <v>0</v>
      </c>
      <c r="I401" s="152">
        <f t="shared" si="158"/>
        <v>0</v>
      </c>
      <c r="J401" s="152">
        <f t="shared" si="158"/>
        <v>0</v>
      </c>
      <c r="K401" s="152">
        <f t="shared" si="158"/>
        <v>0</v>
      </c>
      <c r="L401" s="152">
        <f t="shared" si="158"/>
        <v>0</v>
      </c>
      <c r="M401" s="152">
        <f t="shared" si="158"/>
        <v>0</v>
      </c>
      <c r="N401" s="152">
        <f t="shared" si="158"/>
        <v>0</v>
      </c>
      <c r="O401" s="152">
        <f t="shared" si="158"/>
        <v>0</v>
      </c>
      <c r="P401" s="152">
        <f t="shared" si="158"/>
        <v>0</v>
      </c>
      <c r="Q401" s="152">
        <f t="shared" si="158"/>
        <v>0</v>
      </c>
      <c r="R401" s="152">
        <f t="shared" si="158"/>
        <v>0</v>
      </c>
      <c r="S401" s="152">
        <f t="shared" si="158"/>
        <v>0</v>
      </c>
      <c r="T401" s="152">
        <f t="shared" si="158"/>
        <v>0</v>
      </c>
      <c r="U401" s="152">
        <f t="shared" si="158"/>
        <v>0</v>
      </c>
      <c r="V401" s="152">
        <f t="shared" si="158"/>
        <v>0</v>
      </c>
      <c r="W401" s="152">
        <f t="shared" si="158"/>
        <v>0</v>
      </c>
      <c r="X401" s="152">
        <f t="shared" si="158"/>
        <v>0</v>
      </c>
      <c r="Y401" s="152">
        <f t="shared" si="158"/>
        <v>0</v>
      </c>
      <c r="Z401" s="152">
        <f t="shared" si="158"/>
        <v>0</v>
      </c>
      <c r="AA401" s="152">
        <f t="shared" si="158"/>
        <v>0</v>
      </c>
      <c r="AB401" s="152">
        <f t="shared" si="158"/>
        <v>0</v>
      </c>
      <c r="AC401" s="152">
        <f t="shared" si="158"/>
        <v>0</v>
      </c>
      <c r="AD401" s="152">
        <f t="shared" si="158"/>
        <v>0</v>
      </c>
      <c r="AE401" s="152">
        <f t="shared" si="158"/>
        <v>0</v>
      </c>
      <c r="AF401" s="152">
        <f t="shared" si="158"/>
        <v>0</v>
      </c>
      <c r="AG401" s="152">
        <f t="shared" si="158"/>
        <v>0</v>
      </c>
      <c r="AH401" s="152">
        <f t="shared" si="158"/>
        <v>0</v>
      </c>
      <c r="AI401" s="152">
        <f t="shared" si="158"/>
        <v>0</v>
      </c>
      <c r="AJ401" s="152">
        <f t="shared" si="158"/>
        <v>0</v>
      </c>
      <c r="AK401" s="152">
        <f t="shared" si="158"/>
        <v>0</v>
      </c>
      <c r="AL401" s="152">
        <f t="shared" si="158"/>
        <v>0</v>
      </c>
      <c r="AM401" s="152">
        <f t="shared" si="158"/>
        <v>0</v>
      </c>
      <c r="AN401" s="152">
        <f t="shared" si="158"/>
        <v>0</v>
      </c>
      <c r="AO401" s="152">
        <f t="shared" si="158"/>
        <v>0</v>
      </c>
      <c r="AP401" s="152">
        <f t="shared" si="158"/>
        <v>0</v>
      </c>
    </row>
    <row r="402" spans="1:42" x14ac:dyDescent="0.2">
      <c r="A402" s="4">
        <f t="shared" si="153"/>
        <v>8</v>
      </c>
      <c r="B402" s="175">
        <f t="shared" si="150"/>
        <v>0</v>
      </c>
      <c r="C402" s="152">
        <f t="shared" ref="C402:AP402" si="159">LOOKUP(C390,$B$353:$AP$353,$B$354:$AP$354)/100*$B733</f>
        <v>0</v>
      </c>
      <c r="D402" s="152">
        <f t="shared" si="159"/>
        <v>0</v>
      </c>
      <c r="E402" s="152">
        <f t="shared" si="159"/>
        <v>0</v>
      </c>
      <c r="F402" s="152">
        <f t="shared" si="159"/>
        <v>0</v>
      </c>
      <c r="G402" s="152">
        <f t="shared" si="159"/>
        <v>0</v>
      </c>
      <c r="H402" s="152">
        <f t="shared" si="159"/>
        <v>0</v>
      </c>
      <c r="I402" s="152">
        <f t="shared" si="159"/>
        <v>0</v>
      </c>
      <c r="J402" s="152">
        <f t="shared" si="159"/>
        <v>0</v>
      </c>
      <c r="K402" s="152">
        <f t="shared" si="159"/>
        <v>0</v>
      </c>
      <c r="L402" s="152">
        <f t="shared" si="159"/>
        <v>0</v>
      </c>
      <c r="M402" s="152">
        <f t="shared" si="159"/>
        <v>0</v>
      </c>
      <c r="N402" s="152">
        <f t="shared" si="159"/>
        <v>0</v>
      </c>
      <c r="O402" s="152">
        <f t="shared" si="159"/>
        <v>0</v>
      </c>
      <c r="P402" s="152">
        <f t="shared" si="159"/>
        <v>0</v>
      </c>
      <c r="Q402" s="152">
        <f t="shared" si="159"/>
        <v>0</v>
      </c>
      <c r="R402" s="152">
        <f t="shared" si="159"/>
        <v>0</v>
      </c>
      <c r="S402" s="152">
        <f t="shared" si="159"/>
        <v>0</v>
      </c>
      <c r="T402" s="152">
        <f t="shared" si="159"/>
        <v>0</v>
      </c>
      <c r="U402" s="152">
        <f t="shared" si="159"/>
        <v>0</v>
      </c>
      <c r="V402" s="152">
        <f t="shared" si="159"/>
        <v>0</v>
      </c>
      <c r="W402" s="152">
        <f t="shared" si="159"/>
        <v>0</v>
      </c>
      <c r="X402" s="152">
        <f t="shared" si="159"/>
        <v>0</v>
      </c>
      <c r="Y402" s="152">
        <f t="shared" si="159"/>
        <v>0</v>
      </c>
      <c r="Z402" s="152">
        <f t="shared" si="159"/>
        <v>0</v>
      </c>
      <c r="AA402" s="152">
        <f t="shared" si="159"/>
        <v>0</v>
      </c>
      <c r="AB402" s="152">
        <f t="shared" si="159"/>
        <v>0</v>
      </c>
      <c r="AC402" s="152">
        <f t="shared" si="159"/>
        <v>0</v>
      </c>
      <c r="AD402" s="152">
        <f t="shared" si="159"/>
        <v>0</v>
      </c>
      <c r="AE402" s="152">
        <f t="shared" si="159"/>
        <v>0</v>
      </c>
      <c r="AF402" s="152">
        <f t="shared" si="159"/>
        <v>0</v>
      </c>
      <c r="AG402" s="152">
        <f t="shared" si="159"/>
        <v>0</v>
      </c>
      <c r="AH402" s="152">
        <f t="shared" si="159"/>
        <v>0</v>
      </c>
      <c r="AI402" s="152">
        <f t="shared" si="159"/>
        <v>0</v>
      </c>
      <c r="AJ402" s="152">
        <f t="shared" si="159"/>
        <v>0</v>
      </c>
      <c r="AK402" s="152">
        <f t="shared" si="159"/>
        <v>0</v>
      </c>
      <c r="AL402" s="152">
        <f t="shared" si="159"/>
        <v>0</v>
      </c>
      <c r="AM402" s="152">
        <f t="shared" si="159"/>
        <v>0</v>
      </c>
      <c r="AN402" s="152">
        <f t="shared" si="159"/>
        <v>0</v>
      </c>
      <c r="AO402" s="152">
        <f t="shared" si="159"/>
        <v>0</v>
      </c>
      <c r="AP402" s="152">
        <f t="shared" si="159"/>
        <v>0</v>
      </c>
    </row>
    <row r="403" spans="1:42" x14ac:dyDescent="0.2">
      <c r="A403" s="4">
        <f>A402+1</f>
        <v>9</v>
      </c>
      <c r="B403" s="175">
        <f t="shared" si="150"/>
        <v>0</v>
      </c>
      <c r="C403" s="152">
        <f t="shared" ref="C403:AP403" si="160">LOOKUP(C391,$B$353:$AP$353,$B$354:$AP$354)/100*$B734</f>
        <v>0</v>
      </c>
      <c r="D403" s="152">
        <f t="shared" si="160"/>
        <v>0</v>
      </c>
      <c r="E403" s="152">
        <f t="shared" si="160"/>
        <v>0</v>
      </c>
      <c r="F403" s="152">
        <f t="shared" si="160"/>
        <v>0</v>
      </c>
      <c r="G403" s="152">
        <f t="shared" si="160"/>
        <v>0</v>
      </c>
      <c r="H403" s="152">
        <f t="shared" si="160"/>
        <v>0</v>
      </c>
      <c r="I403" s="152">
        <f t="shared" si="160"/>
        <v>0</v>
      </c>
      <c r="J403" s="152">
        <f t="shared" si="160"/>
        <v>0</v>
      </c>
      <c r="K403" s="152">
        <f t="shared" si="160"/>
        <v>0</v>
      </c>
      <c r="L403" s="152">
        <f t="shared" si="160"/>
        <v>0</v>
      </c>
      <c r="M403" s="152">
        <f t="shared" si="160"/>
        <v>0</v>
      </c>
      <c r="N403" s="152">
        <f t="shared" si="160"/>
        <v>0</v>
      </c>
      <c r="O403" s="152">
        <f t="shared" si="160"/>
        <v>0</v>
      </c>
      <c r="P403" s="152">
        <f t="shared" si="160"/>
        <v>0</v>
      </c>
      <c r="Q403" s="152">
        <f t="shared" si="160"/>
        <v>0</v>
      </c>
      <c r="R403" s="152">
        <f t="shared" si="160"/>
        <v>0</v>
      </c>
      <c r="S403" s="152">
        <f t="shared" si="160"/>
        <v>0</v>
      </c>
      <c r="T403" s="152">
        <f t="shared" si="160"/>
        <v>0</v>
      </c>
      <c r="U403" s="152">
        <f t="shared" si="160"/>
        <v>0</v>
      </c>
      <c r="V403" s="152">
        <f t="shared" si="160"/>
        <v>0</v>
      </c>
      <c r="W403" s="152">
        <f t="shared" si="160"/>
        <v>0</v>
      </c>
      <c r="X403" s="152">
        <f t="shared" si="160"/>
        <v>0</v>
      </c>
      <c r="Y403" s="152">
        <f t="shared" si="160"/>
        <v>0</v>
      </c>
      <c r="Z403" s="152">
        <f t="shared" si="160"/>
        <v>0</v>
      </c>
      <c r="AA403" s="152">
        <f t="shared" si="160"/>
        <v>0</v>
      </c>
      <c r="AB403" s="152">
        <f t="shared" si="160"/>
        <v>0</v>
      </c>
      <c r="AC403" s="152">
        <f t="shared" si="160"/>
        <v>0</v>
      </c>
      <c r="AD403" s="152">
        <f t="shared" si="160"/>
        <v>0</v>
      </c>
      <c r="AE403" s="152">
        <f t="shared" si="160"/>
        <v>0</v>
      </c>
      <c r="AF403" s="152">
        <f t="shared" si="160"/>
        <v>0</v>
      </c>
      <c r="AG403" s="152">
        <f t="shared" si="160"/>
        <v>0</v>
      </c>
      <c r="AH403" s="152">
        <f t="shared" si="160"/>
        <v>0</v>
      </c>
      <c r="AI403" s="152">
        <f t="shared" si="160"/>
        <v>0</v>
      </c>
      <c r="AJ403" s="152">
        <f t="shared" si="160"/>
        <v>0</v>
      </c>
      <c r="AK403" s="152">
        <f t="shared" si="160"/>
        <v>0</v>
      </c>
      <c r="AL403" s="152">
        <f t="shared" si="160"/>
        <v>0</v>
      </c>
      <c r="AM403" s="152">
        <f t="shared" si="160"/>
        <v>0</v>
      </c>
      <c r="AN403" s="152">
        <f t="shared" si="160"/>
        <v>0</v>
      </c>
      <c r="AO403" s="152">
        <f t="shared" si="160"/>
        <v>0</v>
      </c>
      <c r="AP403" s="152">
        <f t="shared" si="160"/>
        <v>0</v>
      </c>
    </row>
    <row r="404" spans="1:42" x14ac:dyDescent="0.2">
      <c r="A404" s="4">
        <f t="shared" si="153"/>
        <v>10</v>
      </c>
      <c r="B404" s="175">
        <f t="shared" si="150"/>
        <v>0</v>
      </c>
      <c r="C404" s="153">
        <f t="shared" ref="C404:AP404" si="161">LOOKUP(C392,$B$353:$AP$353,$B$354:$AP$354)/100*$B735</f>
        <v>0</v>
      </c>
      <c r="D404" s="153">
        <f t="shared" si="161"/>
        <v>0</v>
      </c>
      <c r="E404" s="153">
        <f t="shared" si="161"/>
        <v>0</v>
      </c>
      <c r="F404" s="153">
        <f t="shared" si="161"/>
        <v>0</v>
      </c>
      <c r="G404" s="153">
        <f t="shared" si="161"/>
        <v>0</v>
      </c>
      <c r="H404" s="153">
        <f t="shared" si="161"/>
        <v>0</v>
      </c>
      <c r="I404" s="153">
        <f t="shared" si="161"/>
        <v>0</v>
      </c>
      <c r="J404" s="153">
        <f t="shared" si="161"/>
        <v>0</v>
      </c>
      <c r="K404" s="153">
        <f t="shared" si="161"/>
        <v>0</v>
      </c>
      <c r="L404" s="153">
        <f t="shared" si="161"/>
        <v>0</v>
      </c>
      <c r="M404" s="153">
        <f t="shared" si="161"/>
        <v>0</v>
      </c>
      <c r="N404" s="153">
        <f t="shared" si="161"/>
        <v>0</v>
      </c>
      <c r="O404" s="153">
        <f t="shared" si="161"/>
        <v>0</v>
      </c>
      <c r="P404" s="153">
        <f t="shared" si="161"/>
        <v>0</v>
      </c>
      <c r="Q404" s="153">
        <f t="shared" si="161"/>
        <v>0</v>
      </c>
      <c r="R404" s="153">
        <f t="shared" si="161"/>
        <v>0</v>
      </c>
      <c r="S404" s="153">
        <f t="shared" si="161"/>
        <v>0</v>
      </c>
      <c r="T404" s="153">
        <f t="shared" si="161"/>
        <v>0</v>
      </c>
      <c r="U404" s="153">
        <f t="shared" si="161"/>
        <v>0</v>
      </c>
      <c r="V404" s="153">
        <f t="shared" si="161"/>
        <v>0</v>
      </c>
      <c r="W404" s="153">
        <f t="shared" si="161"/>
        <v>0</v>
      </c>
      <c r="X404" s="153">
        <f t="shared" si="161"/>
        <v>0</v>
      </c>
      <c r="Y404" s="153">
        <f t="shared" si="161"/>
        <v>0</v>
      </c>
      <c r="Z404" s="153">
        <f t="shared" si="161"/>
        <v>0</v>
      </c>
      <c r="AA404" s="153">
        <f t="shared" si="161"/>
        <v>0</v>
      </c>
      <c r="AB404" s="153">
        <f t="shared" si="161"/>
        <v>0</v>
      </c>
      <c r="AC404" s="153">
        <f t="shared" si="161"/>
        <v>0</v>
      </c>
      <c r="AD404" s="153">
        <f t="shared" si="161"/>
        <v>0</v>
      </c>
      <c r="AE404" s="153">
        <f t="shared" si="161"/>
        <v>0</v>
      </c>
      <c r="AF404" s="153">
        <f t="shared" si="161"/>
        <v>0</v>
      </c>
      <c r="AG404" s="153">
        <f t="shared" si="161"/>
        <v>0</v>
      </c>
      <c r="AH404" s="153">
        <f t="shared" si="161"/>
        <v>0</v>
      </c>
      <c r="AI404" s="153">
        <f t="shared" si="161"/>
        <v>0</v>
      </c>
      <c r="AJ404" s="153">
        <f t="shared" si="161"/>
        <v>0</v>
      </c>
      <c r="AK404" s="153">
        <f t="shared" si="161"/>
        <v>0</v>
      </c>
      <c r="AL404" s="153">
        <f t="shared" si="161"/>
        <v>0</v>
      </c>
      <c r="AM404" s="153">
        <f t="shared" si="161"/>
        <v>0</v>
      </c>
      <c r="AN404" s="153">
        <f t="shared" si="161"/>
        <v>0</v>
      </c>
      <c r="AO404" s="153">
        <f t="shared" si="161"/>
        <v>0</v>
      </c>
      <c r="AP404" s="153">
        <f t="shared" si="161"/>
        <v>0</v>
      </c>
    </row>
    <row r="405" spans="1:42" ht="12" customHeight="1" x14ac:dyDescent="0.2">
      <c r="A405" s="24" t="s">
        <v>13</v>
      </c>
      <c r="C405" s="152">
        <f>SUM(C395:C404)</f>
        <v>0</v>
      </c>
      <c r="D405" s="152">
        <f t="shared" ref="D405:AP405" si="162">SUM(D395:D404)</f>
        <v>0</v>
      </c>
      <c r="E405" s="152">
        <f t="shared" si="162"/>
        <v>0</v>
      </c>
      <c r="F405" s="152">
        <f t="shared" si="162"/>
        <v>0</v>
      </c>
      <c r="G405" s="152">
        <f t="shared" si="162"/>
        <v>0</v>
      </c>
      <c r="H405" s="152">
        <f t="shared" si="162"/>
        <v>0</v>
      </c>
      <c r="I405" s="152">
        <f t="shared" si="162"/>
        <v>0</v>
      </c>
      <c r="J405" s="152">
        <f t="shared" si="162"/>
        <v>0</v>
      </c>
      <c r="K405" s="152">
        <f t="shared" si="162"/>
        <v>0</v>
      </c>
      <c r="L405" s="152">
        <f t="shared" si="162"/>
        <v>0</v>
      </c>
      <c r="M405" s="152">
        <f t="shared" si="162"/>
        <v>0</v>
      </c>
      <c r="N405" s="152">
        <f t="shared" si="162"/>
        <v>0</v>
      </c>
      <c r="O405" s="152">
        <f t="shared" si="162"/>
        <v>0</v>
      </c>
      <c r="P405" s="152">
        <f t="shared" si="162"/>
        <v>0</v>
      </c>
      <c r="Q405" s="152">
        <f t="shared" si="162"/>
        <v>0</v>
      </c>
      <c r="R405" s="152">
        <f t="shared" si="162"/>
        <v>0</v>
      </c>
      <c r="S405" s="152">
        <f t="shared" si="162"/>
        <v>0</v>
      </c>
      <c r="T405" s="152">
        <f t="shared" si="162"/>
        <v>0</v>
      </c>
      <c r="U405" s="152">
        <f t="shared" si="162"/>
        <v>0</v>
      </c>
      <c r="V405" s="152">
        <f t="shared" si="162"/>
        <v>0</v>
      </c>
      <c r="W405" s="152">
        <f t="shared" si="162"/>
        <v>0</v>
      </c>
      <c r="X405" s="152">
        <f t="shared" si="162"/>
        <v>0</v>
      </c>
      <c r="Y405" s="152">
        <f t="shared" si="162"/>
        <v>0</v>
      </c>
      <c r="Z405" s="152">
        <f t="shared" si="162"/>
        <v>0</v>
      </c>
      <c r="AA405" s="152">
        <f t="shared" si="162"/>
        <v>0</v>
      </c>
      <c r="AB405" s="152">
        <f t="shared" si="162"/>
        <v>0</v>
      </c>
      <c r="AC405" s="152">
        <f t="shared" si="162"/>
        <v>0</v>
      </c>
      <c r="AD405" s="152">
        <f t="shared" si="162"/>
        <v>0</v>
      </c>
      <c r="AE405" s="152">
        <f t="shared" si="162"/>
        <v>0</v>
      </c>
      <c r="AF405" s="152">
        <f t="shared" si="162"/>
        <v>0</v>
      </c>
      <c r="AG405" s="152">
        <f t="shared" si="162"/>
        <v>0</v>
      </c>
      <c r="AH405" s="152">
        <f t="shared" si="162"/>
        <v>0</v>
      </c>
      <c r="AI405" s="152">
        <f t="shared" si="162"/>
        <v>0</v>
      </c>
      <c r="AJ405" s="152">
        <f t="shared" si="162"/>
        <v>0</v>
      </c>
      <c r="AK405" s="152">
        <f t="shared" si="162"/>
        <v>0</v>
      </c>
      <c r="AL405" s="152">
        <f t="shared" si="162"/>
        <v>0</v>
      </c>
      <c r="AM405" s="152">
        <f t="shared" si="162"/>
        <v>0</v>
      </c>
      <c r="AN405" s="152">
        <f t="shared" si="162"/>
        <v>0</v>
      </c>
      <c r="AO405" s="152">
        <f t="shared" si="162"/>
        <v>0</v>
      </c>
      <c r="AP405" s="152">
        <f t="shared" si="162"/>
        <v>0</v>
      </c>
    </row>
    <row r="406" spans="1:42" x14ac:dyDescent="0.2">
      <c r="A406" s="21"/>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row>
    <row r="407" spans="1:42" x14ac:dyDescent="0.2">
      <c r="A407" s="21" t="s">
        <v>77</v>
      </c>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row>
    <row r="408" spans="1:42" x14ac:dyDescent="0.2">
      <c r="A408" s="85" t="s">
        <v>62</v>
      </c>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row>
    <row r="409" spans="1:42" x14ac:dyDescent="0.2">
      <c r="A409" s="4">
        <v>1</v>
      </c>
      <c r="B409" s="4">
        <v>0</v>
      </c>
      <c r="C409" s="152">
        <f>IF(C$2&lt;=analysis_period,IF(SUM($C758:C758)&gt;0,B409+1,0),0)</f>
        <v>0</v>
      </c>
      <c r="D409" s="152">
        <f>IF(D$2&lt;=analysis_period,IF(SUM($C758:D758)&gt;0,C409+1,0),0)</f>
        <v>0</v>
      </c>
      <c r="E409" s="152">
        <f>IF(E$2&lt;=analysis_period,IF(SUM($C758:E758)&gt;0,D409+1,0),0)</f>
        <v>0</v>
      </c>
      <c r="F409" s="152">
        <f>IF(F$2&lt;=analysis_period,IF(SUM($C758:F758)&gt;0,E409+1,0),0)</f>
        <v>0</v>
      </c>
      <c r="G409" s="152">
        <f>IF(G$2&lt;=analysis_period,IF(SUM($C758:G758)&gt;0,F409+1,0),0)</f>
        <v>0</v>
      </c>
      <c r="H409" s="152">
        <f>IF(H$2&lt;=analysis_period,IF(SUM($C758:H758)&gt;0,G409+1,0),0)</f>
        <v>0</v>
      </c>
      <c r="I409" s="152">
        <f>IF(I$2&lt;=analysis_period,IF(SUM($C758:I758)&gt;0,H409+1,0),0)</f>
        <v>0</v>
      </c>
      <c r="J409" s="152">
        <f>IF(J$2&lt;=analysis_period,IF(SUM($C758:J758)&gt;0,I409+1,0),0)</f>
        <v>0</v>
      </c>
      <c r="K409" s="152">
        <f>IF(K$2&lt;=analysis_period,IF(SUM($C758:K758)&gt;0,J409+1,0),0)</f>
        <v>0</v>
      </c>
      <c r="L409" s="152">
        <f>IF(L$2&lt;=analysis_period,IF(SUM($C758:L758)&gt;0,K409+1,0),0)</f>
        <v>0</v>
      </c>
      <c r="M409" s="152">
        <f>IF(M$2&lt;=analysis_period,IF(SUM($C758:M758)&gt;0,L409+1,0),0)</f>
        <v>0</v>
      </c>
      <c r="N409" s="152">
        <f>IF(N$2&lt;=analysis_period,IF(SUM($C758:N758)&gt;0,M409+1,0),0)</f>
        <v>0</v>
      </c>
      <c r="O409" s="152">
        <f>IF(O$2&lt;=analysis_period,IF(SUM($C758:O758)&gt;0,N409+1,0),0)</f>
        <v>0</v>
      </c>
      <c r="P409" s="152">
        <f>IF(P$2&lt;=analysis_period,IF(SUM($C758:P758)&gt;0,O409+1,0),0)</f>
        <v>0</v>
      </c>
      <c r="Q409" s="152">
        <f>IF(Q$2&lt;=analysis_period,IF(SUM($C758:Q758)&gt;0,P409+1,0),0)</f>
        <v>0</v>
      </c>
      <c r="R409" s="152">
        <f>IF(R$2&lt;=analysis_period,IF(SUM($C758:R758)&gt;0,Q409+1,0),0)</f>
        <v>0</v>
      </c>
      <c r="S409" s="152">
        <f>IF(S$2&lt;=analysis_period,IF(SUM($C758:S758)&gt;0,R409+1,0),0)</f>
        <v>0</v>
      </c>
      <c r="T409" s="152">
        <f>IF(T$2&lt;=analysis_period,IF(SUM($C758:T758)&gt;0,S409+1,0),0)</f>
        <v>0</v>
      </c>
      <c r="U409" s="152">
        <f>IF(U$2&lt;=analysis_period,IF(SUM($C758:U758)&gt;0,T409+1,0),0)</f>
        <v>0</v>
      </c>
      <c r="V409" s="152">
        <f>IF(V$2&lt;=analysis_period,IF(SUM($C758:V758)&gt;0,U409+1,0),0)</f>
        <v>0</v>
      </c>
      <c r="W409" s="152">
        <f>IF(W$2&lt;=analysis_period,IF(SUM($C758:W758)&gt;0,V409+1,0),0)</f>
        <v>0</v>
      </c>
      <c r="X409" s="152">
        <f>IF(X$2&lt;=analysis_period,IF(SUM($C758:X758)&gt;0,W409+1,0),0)</f>
        <v>0</v>
      </c>
      <c r="Y409" s="152">
        <f>IF(Y$2&lt;=analysis_period,IF(SUM($C758:Y758)&gt;0,X409+1,0),0)</f>
        <v>0</v>
      </c>
      <c r="Z409" s="152">
        <f>IF(Z$2&lt;=analysis_period,IF(SUM($C758:Z758)&gt;0,Y409+1,0),0)</f>
        <v>0</v>
      </c>
      <c r="AA409" s="152">
        <f>IF(AA$2&lt;=analysis_period,IF(SUM($C758:AA758)&gt;0,Z409+1,0),0)</f>
        <v>0</v>
      </c>
      <c r="AB409" s="152">
        <f>IF(AB$2&lt;=analysis_period,IF(SUM($C758:AB758)&gt;0,AA409+1,0),0)</f>
        <v>0</v>
      </c>
      <c r="AC409" s="152">
        <f>IF(AC$2&lt;=analysis_period,IF(SUM($C758:AC758)&gt;0,AB409+1,0),0)</f>
        <v>0</v>
      </c>
      <c r="AD409" s="152">
        <f>IF(AD$2&lt;=analysis_period,IF(SUM($C758:AD758)&gt;0,AC409+1,0),0)</f>
        <v>0</v>
      </c>
      <c r="AE409" s="152">
        <f>IF(AE$2&lt;=analysis_period,IF(SUM($C758:AE758)&gt;0,AD409+1,0),0)</f>
        <v>0</v>
      </c>
      <c r="AF409" s="152">
        <f>IF(AF$2&lt;=analysis_period,IF(SUM($C758:AF758)&gt;0,AE409+1,0),0)</f>
        <v>0</v>
      </c>
      <c r="AG409" s="152">
        <f>IF(AG$2&lt;=analysis_period,IF(SUM($C758:AG758)&gt;0,AF409+1,0),0)</f>
        <v>0</v>
      </c>
      <c r="AH409" s="152">
        <f>IF(AH$2&lt;=analysis_period,IF(SUM($C758:AH758)&gt;0,AG409+1,0),0)</f>
        <v>0</v>
      </c>
      <c r="AI409" s="152">
        <f>IF(AI$2&lt;=analysis_period,IF(SUM($C758:AI758)&gt;0,AH409+1,0),0)</f>
        <v>0</v>
      </c>
      <c r="AJ409" s="152">
        <f>IF(AJ$2&lt;=analysis_period,IF(SUM($C758:AJ758)&gt;0,AI409+1,0),0)</f>
        <v>0</v>
      </c>
      <c r="AK409" s="152">
        <f>IF(AK$2&lt;=analysis_period,IF(SUM($C758:AK758)&gt;0,AJ409+1,0),0)</f>
        <v>0</v>
      </c>
      <c r="AL409" s="152">
        <f>IF(AL$2&lt;=analysis_period,IF(SUM($C758:AL758)&gt;0,AK409+1,0),0)</f>
        <v>0</v>
      </c>
      <c r="AM409" s="152">
        <f>IF(AM$2&lt;=analysis_period,IF(SUM($C758:AM758)&gt;0,AL409+1,0),0)</f>
        <v>0</v>
      </c>
      <c r="AN409" s="152">
        <f>IF(AN$2&lt;=analysis_period,IF(SUM($C758:AN758)&gt;0,AM409+1,0),0)</f>
        <v>0</v>
      </c>
      <c r="AO409" s="152">
        <f>IF(AO$2&lt;=analysis_period,IF(SUM($C758:AO758)&gt;0,AN409+1,0),0)</f>
        <v>0</v>
      </c>
      <c r="AP409" s="152">
        <f>IF(AP$2&lt;=analysis_period,IF(SUM($C758:AP758)&gt;0,AO409+1,0),0)</f>
        <v>0</v>
      </c>
    </row>
    <row r="410" spans="1:42" x14ac:dyDescent="0.2">
      <c r="A410" s="4">
        <f>A409+1</f>
        <v>2</v>
      </c>
      <c r="B410" s="4">
        <v>0</v>
      </c>
      <c r="C410" s="152">
        <f>IF(C$2&lt;=analysis_period,IF(SUM($C759:C759)&gt;0,B410+1,0),0)</f>
        <v>0</v>
      </c>
      <c r="D410" s="152">
        <f>IF(D$2&lt;=analysis_period,IF(SUM($C759:D759)&gt;0,C410+1,0),0)</f>
        <v>0</v>
      </c>
      <c r="E410" s="152">
        <f>IF(E$2&lt;=analysis_period,IF(SUM($C759:E759)&gt;0,D410+1,0),0)</f>
        <v>0</v>
      </c>
      <c r="F410" s="152">
        <f>IF(F$2&lt;=analysis_period,IF(SUM($C759:F759)&gt;0,E410+1,0),0)</f>
        <v>0</v>
      </c>
      <c r="G410" s="152">
        <f>IF(G$2&lt;=analysis_period,IF(SUM($C759:G759)&gt;0,F410+1,0),0)</f>
        <v>0</v>
      </c>
      <c r="H410" s="152">
        <f>IF(H$2&lt;=analysis_period,IF(SUM($C759:H759)&gt;0,G410+1,0),0)</f>
        <v>0</v>
      </c>
      <c r="I410" s="152">
        <f>IF(I$2&lt;=analysis_period,IF(SUM($C759:I759)&gt;0,H410+1,0),0)</f>
        <v>0</v>
      </c>
      <c r="J410" s="152">
        <f>IF(J$2&lt;=analysis_period,IF(SUM($C759:J759)&gt;0,I410+1,0),0)</f>
        <v>0</v>
      </c>
      <c r="K410" s="152">
        <f>IF(K$2&lt;=analysis_period,IF(SUM($C759:K759)&gt;0,J410+1,0),0)</f>
        <v>0</v>
      </c>
      <c r="L410" s="152">
        <f>IF(L$2&lt;=analysis_period,IF(SUM($C759:L759)&gt;0,K410+1,0),0)</f>
        <v>0</v>
      </c>
      <c r="M410" s="152">
        <f>IF(M$2&lt;=analysis_period,IF(SUM($C759:M759)&gt;0,L410+1,0),0)</f>
        <v>0</v>
      </c>
      <c r="N410" s="152">
        <f>IF(N$2&lt;=analysis_period,IF(SUM($C759:N759)&gt;0,M410+1,0),0)</f>
        <v>0</v>
      </c>
      <c r="O410" s="152">
        <f>IF(O$2&lt;=analysis_period,IF(SUM($C759:O759)&gt;0,N410+1,0),0)</f>
        <v>0</v>
      </c>
      <c r="P410" s="152">
        <f>IF(P$2&lt;=analysis_period,IF(SUM($C759:P759)&gt;0,O410+1,0),0)</f>
        <v>0</v>
      </c>
      <c r="Q410" s="152">
        <f>IF(Q$2&lt;=analysis_period,IF(SUM($C759:Q759)&gt;0,P410+1,0),0)</f>
        <v>0</v>
      </c>
      <c r="R410" s="152">
        <f>IF(R$2&lt;=analysis_period,IF(SUM($C759:R759)&gt;0,Q410+1,0),0)</f>
        <v>0</v>
      </c>
      <c r="S410" s="152">
        <f>IF(S$2&lt;=analysis_period,IF(SUM($C759:S759)&gt;0,R410+1,0),0)</f>
        <v>0</v>
      </c>
      <c r="T410" s="152">
        <f>IF(T$2&lt;=analysis_period,IF(SUM($C759:T759)&gt;0,S410+1,0),0)</f>
        <v>0</v>
      </c>
      <c r="U410" s="152">
        <f>IF(U$2&lt;=analysis_period,IF(SUM($C759:U759)&gt;0,T410+1,0),0)</f>
        <v>0</v>
      </c>
      <c r="V410" s="152">
        <f>IF(V$2&lt;=analysis_period,IF(SUM($C759:V759)&gt;0,U410+1,0),0)</f>
        <v>0</v>
      </c>
      <c r="W410" s="152">
        <f>IF(W$2&lt;=analysis_period,IF(SUM($C759:W759)&gt;0,V410+1,0),0)</f>
        <v>0</v>
      </c>
      <c r="X410" s="152">
        <f>IF(X$2&lt;=analysis_period,IF(SUM($C759:X759)&gt;0,W410+1,0),0)</f>
        <v>0</v>
      </c>
      <c r="Y410" s="152">
        <f>IF(Y$2&lt;=analysis_period,IF(SUM($C759:Y759)&gt;0,X410+1,0),0)</f>
        <v>0</v>
      </c>
      <c r="Z410" s="152">
        <f>IF(Z$2&lt;=analysis_period,IF(SUM($C759:Z759)&gt;0,Y410+1,0),0)</f>
        <v>0</v>
      </c>
      <c r="AA410" s="152">
        <f>IF(AA$2&lt;=analysis_period,IF(SUM($C759:AA759)&gt;0,Z410+1,0),0)</f>
        <v>0</v>
      </c>
      <c r="AB410" s="152">
        <f>IF(AB$2&lt;=analysis_period,IF(SUM($C759:AB759)&gt;0,AA410+1,0),0)</f>
        <v>0</v>
      </c>
      <c r="AC410" s="152">
        <f>IF(AC$2&lt;=analysis_period,IF(SUM($C759:AC759)&gt;0,AB410+1,0),0)</f>
        <v>0</v>
      </c>
      <c r="AD410" s="152">
        <f>IF(AD$2&lt;=analysis_period,IF(SUM($C759:AD759)&gt;0,AC410+1,0),0)</f>
        <v>0</v>
      </c>
      <c r="AE410" s="152">
        <f>IF(AE$2&lt;=analysis_period,IF(SUM($C759:AE759)&gt;0,AD410+1,0),0)</f>
        <v>0</v>
      </c>
      <c r="AF410" s="152">
        <f>IF(AF$2&lt;=analysis_period,IF(SUM($C759:AF759)&gt;0,AE410+1,0),0)</f>
        <v>0</v>
      </c>
      <c r="AG410" s="152">
        <f>IF(AG$2&lt;=analysis_period,IF(SUM($C759:AG759)&gt;0,AF410+1,0),0)</f>
        <v>0</v>
      </c>
      <c r="AH410" s="152">
        <f>IF(AH$2&lt;=analysis_period,IF(SUM($C759:AH759)&gt;0,AG410+1,0),0)</f>
        <v>0</v>
      </c>
      <c r="AI410" s="152">
        <f>IF(AI$2&lt;=analysis_period,IF(SUM($C759:AI759)&gt;0,AH410+1,0),0)</f>
        <v>0</v>
      </c>
      <c r="AJ410" s="152">
        <f>IF(AJ$2&lt;=analysis_period,IF(SUM($C759:AJ759)&gt;0,AI410+1,0),0)</f>
        <v>0</v>
      </c>
      <c r="AK410" s="152">
        <f>IF(AK$2&lt;=analysis_period,IF(SUM($C759:AK759)&gt;0,AJ410+1,0),0)</f>
        <v>0</v>
      </c>
      <c r="AL410" s="152">
        <f>IF(AL$2&lt;=analysis_period,IF(SUM($C759:AL759)&gt;0,AK410+1,0),0)</f>
        <v>0</v>
      </c>
      <c r="AM410" s="152">
        <f>IF(AM$2&lt;=analysis_period,IF(SUM($C759:AM759)&gt;0,AL410+1,0),0)</f>
        <v>0</v>
      </c>
      <c r="AN410" s="152">
        <f>IF(AN$2&lt;=analysis_period,IF(SUM($C759:AN759)&gt;0,AM410+1,0),0)</f>
        <v>0</v>
      </c>
      <c r="AO410" s="152">
        <f>IF(AO$2&lt;=analysis_period,IF(SUM($C759:AO759)&gt;0,AN410+1,0),0)</f>
        <v>0</v>
      </c>
      <c r="AP410" s="152">
        <f>IF(AP$2&lt;=analysis_period,IF(SUM($C759:AP759)&gt;0,AO410+1,0),0)</f>
        <v>0</v>
      </c>
    </row>
    <row r="411" spans="1:42" x14ac:dyDescent="0.2">
      <c r="A411" s="4">
        <f t="shared" ref="A411:A418" si="163">A410+1</f>
        <v>3</v>
      </c>
      <c r="B411" s="4">
        <v>0</v>
      </c>
      <c r="C411" s="152">
        <f>IF(C$2&lt;=analysis_period,IF(SUM($C760:C760)&gt;0,B411+1,0),0)</f>
        <v>0</v>
      </c>
      <c r="D411" s="152">
        <f>IF(D$2&lt;=analysis_period,IF(SUM($C760:D760)&gt;0,C411+1,0),0)</f>
        <v>0</v>
      </c>
      <c r="E411" s="152">
        <f>IF(E$2&lt;=analysis_period,IF(SUM($C760:E760)&gt;0,D411+1,0),0)</f>
        <v>0</v>
      </c>
      <c r="F411" s="152">
        <f>IF(F$2&lt;=analysis_period,IF(SUM($C760:F760)&gt;0,E411+1,0),0)</f>
        <v>0</v>
      </c>
      <c r="G411" s="152">
        <f>IF(G$2&lt;=analysis_period,IF(SUM($C760:G760)&gt;0,F411+1,0),0)</f>
        <v>0</v>
      </c>
      <c r="H411" s="152">
        <f>IF(H$2&lt;=analysis_period,IF(SUM($C760:H760)&gt;0,G411+1,0),0)</f>
        <v>0</v>
      </c>
      <c r="I411" s="152">
        <f>IF(I$2&lt;=analysis_period,IF(SUM($C760:I760)&gt;0,H411+1,0),0)</f>
        <v>0</v>
      </c>
      <c r="J411" s="152">
        <f>IF(J$2&lt;=analysis_period,IF(SUM($C760:J760)&gt;0,I411+1,0),0)</f>
        <v>0</v>
      </c>
      <c r="K411" s="152">
        <f>IF(K$2&lt;=analysis_period,IF(SUM($C760:K760)&gt;0,J411+1,0),0)</f>
        <v>0</v>
      </c>
      <c r="L411" s="152">
        <f>IF(L$2&lt;=analysis_period,IF(SUM($C760:L760)&gt;0,K411+1,0),0)</f>
        <v>0</v>
      </c>
      <c r="M411" s="152">
        <f>IF(M$2&lt;=analysis_period,IF(SUM($C760:M760)&gt;0,L411+1,0),0)</f>
        <v>0</v>
      </c>
      <c r="N411" s="152">
        <f>IF(N$2&lt;=analysis_period,IF(SUM($C760:N760)&gt;0,M411+1,0),0)</f>
        <v>0</v>
      </c>
      <c r="O411" s="152">
        <f>IF(O$2&lt;=analysis_period,IF(SUM($C760:O760)&gt;0,N411+1,0),0)</f>
        <v>0</v>
      </c>
      <c r="P411" s="152">
        <f>IF(P$2&lt;=analysis_period,IF(SUM($C760:P760)&gt;0,O411+1,0),0)</f>
        <v>0</v>
      </c>
      <c r="Q411" s="152">
        <f>IF(Q$2&lt;=analysis_period,IF(SUM($C760:Q760)&gt;0,P411+1,0),0)</f>
        <v>0</v>
      </c>
      <c r="R411" s="152">
        <f>IF(R$2&lt;=analysis_period,IF(SUM($C760:R760)&gt;0,Q411+1,0),0)</f>
        <v>0</v>
      </c>
      <c r="S411" s="152">
        <f>IF(S$2&lt;=analysis_period,IF(SUM($C760:S760)&gt;0,R411+1,0),0)</f>
        <v>0</v>
      </c>
      <c r="T411" s="152">
        <f>IF(T$2&lt;=analysis_period,IF(SUM($C760:T760)&gt;0,S411+1,0),0)</f>
        <v>0</v>
      </c>
      <c r="U411" s="152">
        <f>IF(U$2&lt;=analysis_period,IF(SUM($C760:U760)&gt;0,T411+1,0),0)</f>
        <v>0</v>
      </c>
      <c r="V411" s="152">
        <f>IF(V$2&lt;=analysis_period,IF(SUM($C760:V760)&gt;0,U411+1,0),0)</f>
        <v>0</v>
      </c>
      <c r="W411" s="152">
        <f>IF(W$2&lt;=analysis_period,IF(SUM($C760:W760)&gt;0,V411+1,0),0)</f>
        <v>0</v>
      </c>
      <c r="X411" s="152">
        <f>IF(X$2&lt;=analysis_period,IF(SUM($C760:X760)&gt;0,W411+1,0),0)</f>
        <v>0</v>
      </c>
      <c r="Y411" s="152">
        <f>IF(Y$2&lt;=analysis_period,IF(SUM($C760:Y760)&gt;0,X411+1,0),0)</f>
        <v>0</v>
      </c>
      <c r="Z411" s="152">
        <f>IF(Z$2&lt;=analysis_period,IF(SUM($C760:Z760)&gt;0,Y411+1,0),0)</f>
        <v>0</v>
      </c>
      <c r="AA411" s="152">
        <f>IF(AA$2&lt;=analysis_period,IF(SUM($C760:AA760)&gt;0,Z411+1,0),0)</f>
        <v>0</v>
      </c>
      <c r="AB411" s="152">
        <f>IF(AB$2&lt;=analysis_period,IF(SUM($C760:AB760)&gt;0,AA411+1,0),0)</f>
        <v>0</v>
      </c>
      <c r="AC411" s="152">
        <f>IF(AC$2&lt;=analysis_period,IF(SUM($C760:AC760)&gt;0,AB411+1,0),0)</f>
        <v>0</v>
      </c>
      <c r="AD411" s="152">
        <f>IF(AD$2&lt;=analysis_period,IF(SUM($C760:AD760)&gt;0,AC411+1,0),0)</f>
        <v>0</v>
      </c>
      <c r="AE411" s="152">
        <f>IF(AE$2&lt;=analysis_period,IF(SUM($C760:AE760)&gt;0,AD411+1,0),0)</f>
        <v>0</v>
      </c>
      <c r="AF411" s="152">
        <f>IF(AF$2&lt;=analysis_period,IF(SUM($C760:AF760)&gt;0,AE411+1,0),0)</f>
        <v>0</v>
      </c>
      <c r="AG411" s="152">
        <f>IF(AG$2&lt;=analysis_period,IF(SUM($C760:AG760)&gt;0,AF411+1,0),0)</f>
        <v>0</v>
      </c>
      <c r="AH411" s="152">
        <f>IF(AH$2&lt;=analysis_period,IF(SUM($C760:AH760)&gt;0,AG411+1,0),0)</f>
        <v>0</v>
      </c>
      <c r="AI411" s="152">
        <f>IF(AI$2&lt;=analysis_period,IF(SUM($C760:AI760)&gt;0,AH411+1,0),0)</f>
        <v>0</v>
      </c>
      <c r="AJ411" s="152">
        <f>IF(AJ$2&lt;=analysis_period,IF(SUM($C760:AJ760)&gt;0,AI411+1,0),0)</f>
        <v>0</v>
      </c>
      <c r="AK411" s="152">
        <f>IF(AK$2&lt;=analysis_period,IF(SUM($C760:AK760)&gt;0,AJ411+1,0),0)</f>
        <v>0</v>
      </c>
      <c r="AL411" s="152">
        <f>IF(AL$2&lt;=analysis_period,IF(SUM($C760:AL760)&gt;0,AK411+1,0),0)</f>
        <v>0</v>
      </c>
      <c r="AM411" s="152">
        <f>IF(AM$2&lt;=analysis_period,IF(SUM($C760:AM760)&gt;0,AL411+1,0),0)</f>
        <v>0</v>
      </c>
      <c r="AN411" s="152">
        <f>IF(AN$2&lt;=analysis_period,IF(SUM($C760:AN760)&gt;0,AM411+1,0),0)</f>
        <v>0</v>
      </c>
      <c r="AO411" s="152">
        <f>IF(AO$2&lt;=analysis_period,IF(SUM($C760:AO760)&gt;0,AN411+1,0),0)</f>
        <v>0</v>
      </c>
      <c r="AP411" s="152">
        <f>IF(AP$2&lt;=analysis_period,IF(SUM($C760:AP760)&gt;0,AO411+1,0),0)</f>
        <v>0</v>
      </c>
    </row>
    <row r="412" spans="1:42" x14ac:dyDescent="0.2">
      <c r="A412" s="4">
        <f t="shared" si="163"/>
        <v>4</v>
      </c>
      <c r="B412" s="4">
        <v>0</v>
      </c>
      <c r="C412" s="152">
        <f>IF(C$2&lt;=analysis_period,IF(SUM($C761:C761)&gt;0,B412+1,0),0)</f>
        <v>0</v>
      </c>
      <c r="D412" s="152">
        <f>IF(D$2&lt;=analysis_period,IF(SUM($C761:D761)&gt;0,C412+1,0),0)</f>
        <v>0</v>
      </c>
      <c r="E412" s="152">
        <f>IF(E$2&lt;=analysis_period,IF(SUM($C761:E761)&gt;0,D412+1,0),0)</f>
        <v>0</v>
      </c>
      <c r="F412" s="152">
        <f>IF(F$2&lt;=analysis_period,IF(SUM($C761:F761)&gt;0,E412+1,0),0)</f>
        <v>0</v>
      </c>
      <c r="G412" s="152">
        <f>IF(G$2&lt;=analysis_period,IF(SUM($C761:G761)&gt;0,F412+1,0),0)</f>
        <v>0</v>
      </c>
      <c r="H412" s="152">
        <f>IF(H$2&lt;=analysis_period,IF(SUM($C761:H761)&gt;0,G412+1,0),0)</f>
        <v>0</v>
      </c>
      <c r="I412" s="152">
        <f>IF(I$2&lt;=analysis_period,IF(SUM($C761:I761)&gt;0,H412+1,0),0)</f>
        <v>0</v>
      </c>
      <c r="J412" s="152">
        <f>IF(J$2&lt;=analysis_period,IF(SUM($C761:J761)&gt;0,I412+1,0),0)</f>
        <v>0</v>
      </c>
      <c r="K412" s="152">
        <f>IF(K$2&lt;=analysis_period,IF(SUM($C761:K761)&gt;0,J412+1,0),0)</f>
        <v>0</v>
      </c>
      <c r="L412" s="152">
        <f>IF(L$2&lt;=analysis_period,IF(SUM($C761:L761)&gt;0,K412+1,0),0)</f>
        <v>0</v>
      </c>
      <c r="M412" s="152">
        <f>IF(M$2&lt;=analysis_period,IF(SUM($C761:M761)&gt;0,L412+1,0),0)</f>
        <v>0</v>
      </c>
      <c r="N412" s="152">
        <f>IF(N$2&lt;=analysis_period,IF(SUM($C761:N761)&gt;0,M412+1,0),0)</f>
        <v>0</v>
      </c>
      <c r="O412" s="152">
        <f>IF(O$2&lt;=analysis_period,IF(SUM($C761:O761)&gt;0,N412+1,0),0)</f>
        <v>0</v>
      </c>
      <c r="P412" s="152">
        <f>IF(P$2&lt;=analysis_period,IF(SUM($C761:P761)&gt;0,O412+1,0),0)</f>
        <v>0</v>
      </c>
      <c r="Q412" s="152">
        <f>IF(Q$2&lt;=analysis_period,IF(SUM($C761:Q761)&gt;0,P412+1,0),0)</f>
        <v>0</v>
      </c>
      <c r="R412" s="152">
        <f>IF(R$2&lt;=analysis_period,IF(SUM($C761:R761)&gt;0,Q412+1,0),0)</f>
        <v>0</v>
      </c>
      <c r="S412" s="152">
        <f>IF(S$2&lt;=analysis_period,IF(SUM($C761:S761)&gt;0,R412+1,0),0)</f>
        <v>0</v>
      </c>
      <c r="T412" s="152">
        <f>IF(T$2&lt;=analysis_period,IF(SUM($C761:T761)&gt;0,S412+1,0),0)</f>
        <v>0</v>
      </c>
      <c r="U412" s="152">
        <f>IF(U$2&lt;=analysis_period,IF(SUM($C761:U761)&gt;0,T412+1,0),0)</f>
        <v>0</v>
      </c>
      <c r="V412" s="152">
        <f>IF(V$2&lt;=analysis_period,IF(SUM($C761:V761)&gt;0,U412+1,0),0)</f>
        <v>0</v>
      </c>
      <c r="W412" s="152">
        <f>IF(W$2&lt;=analysis_period,IF(SUM($C761:W761)&gt;0,V412+1,0),0)</f>
        <v>0</v>
      </c>
      <c r="X412" s="152">
        <f>IF(X$2&lt;=analysis_period,IF(SUM($C761:X761)&gt;0,W412+1,0),0)</f>
        <v>0</v>
      </c>
      <c r="Y412" s="152">
        <f>IF(Y$2&lt;=analysis_period,IF(SUM($C761:Y761)&gt;0,X412+1,0),0)</f>
        <v>0</v>
      </c>
      <c r="Z412" s="152">
        <f>IF(Z$2&lt;=analysis_period,IF(SUM($C761:Z761)&gt;0,Y412+1,0),0)</f>
        <v>0</v>
      </c>
      <c r="AA412" s="152">
        <f>IF(AA$2&lt;=analysis_period,IF(SUM($C761:AA761)&gt;0,Z412+1,0),0)</f>
        <v>0</v>
      </c>
      <c r="AB412" s="152">
        <f>IF(AB$2&lt;=analysis_period,IF(SUM($C761:AB761)&gt;0,AA412+1,0),0)</f>
        <v>0</v>
      </c>
      <c r="AC412" s="152">
        <f>IF(AC$2&lt;=analysis_period,IF(SUM($C761:AC761)&gt;0,AB412+1,0),0)</f>
        <v>0</v>
      </c>
      <c r="AD412" s="152">
        <f>IF(AD$2&lt;=analysis_period,IF(SUM($C761:AD761)&gt;0,AC412+1,0),0)</f>
        <v>0</v>
      </c>
      <c r="AE412" s="152">
        <f>IF(AE$2&lt;=analysis_period,IF(SUM($C761:AE761)&gt;0,AD412+1,0),0)</f>
        <v>0</v>
      </c>
      <c r="AF412" s="152">
        <f>IF(AF$2&lt;=analysis_period,IF(SUM($C761:AF761)&gt;0,AE412+1,0),0)</f>
        <v>0</v>
      </c>
      <c r="AG412" s="152">
        <f>IF(AG$2&lt;=analysis_period,IF(SUM($C761:AG761)&gt;0,AF412+1,0),0)</f>
        <v>0</v>
      </c>
      <c r="AH412" s="152">
        <f>IF(AH$2&lt;=analysis_period,IF(SUM($C761:AH761)&gt;0,AG412+1,0),0)</f>
        <v>0</v>
      </c>
      <c r="AI412" s="152">
        <f>IF(AI$2&lt;=analysis_period,IF(SUM($C761:AI761)&gt;0,AH412+1,0),0)</f>
        <v>0</v>
      </c>
      <c r="AJ412" s="152">
        <f>IF(AJ$2&lt;=analysis_period,IF(SUM($C761:AJ761)&gt;0,AI412+1,0),0)</f>
        <v>0</v>
      </c>
      <c r="AK412" s="152">
        <f>IF(AK$2&lt;=analysis_period,IF(SUM($C761:AK761)&gt;0,AJ412+1,0),0)</f>
        <v>0</v>
      </c>
      <c r="AL412" s="152">
        <f>IF(AL$2&lt;=analysis_period,IF(SUM($C761:AL761)&gt;0,AK412+1,0),0)</f>
        <v>0</v>
      </c>
      <c r="AM412" s="152">
        <f>IF(AM$2&lt;=analysis_period,IF(SUM($C761:AM761)&gt;0,AL412+1,0),0)</f>
        <v>0</v>
      </c>
      <c r="AN412" s="152">
        <f>IF(AN$2&lt;=analysis_period,IF(SUM($C761:AN761)&gt;0,AM412+1,0),0)</f>
        <v>0</v>
      </c>
      <c r="AO412" s="152">
        <f>IF(AO$2&lt;=analysis_period,IF(SUM($C761:AO761)&gt;0,AN412+1,0),0)</f>
        <v>0</v>
      </c>
      <c r="AP412" s="152">
        <f>IF(AP$2&lt;=analysis_period,IF(SUM($C761:AP761)&gt;0,AO412+1,0),0)</f>
        <v>0</v>
      </c>
    </row>
    <row r="413" spans="1:42" x14ac:dyDescent="0.2">
      <c r="A413" s="4">
        <f t="shared" si="163"/>
        <v>5</v>
      </c>
      <c r="B413" s="4">
        <v>0</v>
      </c>
      <c r="C413" s="152">
        <f>IF(C$2&lt;=analysis_period,IF(SUM($C762:C762)&gt;0,B413+1,0),0)</f>
        <v>0</v>
      </c>
      <c r="D413" s="152">
        <f>IF(D$2&lt;=analysis_period,IF(SUM($C762:D762)&gt;0,C413+1,0),0)</f>
        <v>0</v>
      </c>
      <c r="E413" s="152">
        <f>IF(E$2&lt;=analysis_period,IF(SUM($C762:E762)&gt;0,D413+1,0),0)</f>
        <v>0</v>
      </c>
      <c r="F413" s="152">
        <f>IF(F$2&lt;=analysis_period,IF(SUM($C762:F762)&gt;0,E413+1,0),0)</f>
        <v>0</v>
      </c>
      <c r="G413" s="152">
        <f>IF(G$2&lt;=analysis_period,IF(SUM($C762:G762)&gt;0,F413+1,0),0)</f>
        <v>0</v>
      </c>
      <c r="H413" s="152">
        <f>IF(H$2&lt;=analysis_period,IF(SUM($C762:H762)&gt;0,G413+1,0),0)</f>
        <v>0</v>
      </c>
      <c r="I413" s="152">
        <f>IF(I$2&lt;=analysis_period,IF(SUM($C762:I762)&gt;0,H413+1,0),0)</f>
        <v>0</v>
      </c>
      <c r="J413" s="152">
        <f>IF(J$2&lt;=analysis_period,IF(SUM($C762:J762)&gt;0,I413+1,0),0)</f>
        <v>0</v>
      </c>
      <c r="K413" s="152">
        <f>IF(K$2&lt;=analysis_period,IF(SUM($C762:K762)&gt;0,J413+1,0),0)</f>
        <v>0</v>
      </c>
      <c r="L413" s="152">
        <f>IF(L$2&lt;=analysis_period,IF(SUM($C762:L762)&gt;0,K413+1,0),0)</f>
        <v>0</v>
      </c>
      <c r="M413" s="152">
        <f>IF(M$2&lt;=analysis_period,IF(SUM($C762:M762)&gt;0,L413+1,0),0)</f>
        <v>0</v>
      </c>
      <c r="N413" s="152">
        <f>IF(N$2&lt;=analysis_period,IF(SUM($C762:N762)&gt;0,M413+1,0),0)</f>
        <v>0</v>
      </c>
      <c r="O413" s="152">
        <f>IF(O$2&lt;=analysis_period,IF(SUM($C762:O762)&gt;0,N413+1,0),0)</f>
        <v>0</v>
      </c>
      <c r="P413" s="152">
        <f>IF(P$2&lt;=analysis_period,IF(SUM($C762:P762)&gt;0,O413+1,0),0)</f>
        <v>0</v>
      </c>
      <c r="Q413" s="152">
        <f>IF(Q$2&lt;=analysis_period,IF(SUM($C762:Q762)&gt;0,P413+1,0),0)</f>
        <v>0</v>
      </c>
      <c r="R413" s="152">
        <f>IF(R$2&lt;=analysis_period,IF(SUM($C762:R762)&gt;0,Q413+1,0),0)</f>
        <v>0</v>
      </c>
      <c r="S413" s="152">
        <f>IF(S$2&lt;=analysis_period,IF(SUM($C762:S762)&gt;0,R413+1,0),0)</f>
        <v>0</v>
      </c>
      <c r="T413" s="152">
        <f>IF(T$2&lt;=analysis_period,IF(SUM($C762:T762)&gt;0,S413+1,0),0)</f>
        <v>0</v>
      </c>
      <c r="U413" s="152">
        <f>IF(U$2&lt;=analysis_period,IF(SUM($C762:U762)&gt;0,T413+1,0),0)</f>
        <v>0</v>
      </c>
      <c r="V413" s="152">
        <f>IF(V$2&lt;=analysis_period,IF(SUM($C762:V762)&gt;0,U413+1,0),0)</f>
        <v>0</v>
      </c>
      <c r="W413" s="152">
        <f>IF(W$2&lt;=analysis_period,IF(SUM($C762:W762)&gt;0,V413+1,0),0)</f>
        <v>0</v>
      </c>
      <c r="X413" s="152">
        <f>IF(X$2&lt;=analysis_period,IF(SUM($C762:X762)&gt;0,W413+1,0),0)</f>
        <v>0</v>
      </c>
      <c r="Y413" s="152">
        <f>IF(Y$2&lt;=analysis_period,IF(SUM($C762:Y762)&gt;0,X413+1,0),0)</f>
        <v>0</v>
      </c>
      <c r="Z413" s="152">
        <f>IF(Z$2&lt;=analysis_period,IF(SUM($C762:Z762)&gt;0,Y413+1,0),0)</f>
        <v>0</v>
      </c>
      <c r="AA413" s="152">
        <f>IF(AA$2&lt;=analysis_period,IF(SUM($C762:AA762)&gt;0,Z413+1,0),0)</f>
        <v>0</v>
      </c>
      <c r="AB413" s="152">
        <f>IF(AB$2&lt;=analysis_period,IF(SUM($C762:AB762)&gt;0,AA413+1,0),0)</f>
        <v>0</v>
      </c>
      <c r="AC413" s="152">
        <f>IF(AC$2&lt;=analysis_period,IF(SUM($C762:AC762)&gt;0,AB413+1,0),0)</f>
        <v>0</v>
      </c>
      <c r="AD413" s="152">
        <f>IF(AD$2&lt;=analysis_period,IF(SUM($C762:AD762)&gt;0,AC413+1,0),0)</f>
        <v>0</v>
      </c>
      <c r="AE413" s="152">
        <f>IF(AE$2&lt;=analysis_period,IF(SUM($C762:AE762)&gt;0,AD413+1,0),0)</f>
        <v>0</v>
      </c>
      <c r="AF413" s="152">
        <f>IF(AF$2&lt;=analysis_period,IF(SUM($C762:AF762)&gt;0,AE413+1,0),0)</f>
        <v>0</v>
      </c>
      <c r="AG413" s="152">
        <f>IF(AG$2&lt;=analysis_period,IF(SUM($C762:AG762)&gt;0,AF413+1,0),0)</f>
        <v>0</v>
      </c>
      <c r="AH413" s="152">
        <f>IF(AH$2&lt;=analysis_period,IF(SUM($C762:AH762)&gt;0,AG413+1,0),0)</f>
        <v>0</v>
      </c>
      <c r="AI413" s="152">
        <f>IF(AI$2&lt;=analysis_period,IF(SUM($C762:AI762)&gt;0,AH413+1,0),0)</f>
        <v>0</v>
      </c>
      <c r="AJ413" s="152">
        <f>IF(AJ$2&lt;=analysis_period,IF(SUM($C762:AJ762)&gt;0,AI413+1,0),0)</f>
        <v>0</v>
      </c>
      <c r="AK413" s="152">
        <f>IF(AK$2&lt;=analysis_period,IF(SUM($C762:AK762)&gt;0,AJ413+1,0),0)</f>
        <v>0</v>
      </c>
      <c r="AL413" s="152">
        <f>IF(AL$2&lt;=analysis_period,IF(SUM($C762:AL762)&gt;0,AK413+1,0),0)</f>
        <v>0</v>
      </c>
      <c r="AM413" s="152">
        <f>IF(AM$2&lt;=analysis_period,IF(SUM($C762:AM762)&gt;0,AL413+1,0),0)</f>
        <v>0</v>
      </c>
      <c r="AN413" s="152">
        <f>IF(AN$2&lt;=analysis_period,IF(SUM($C762:AN762)&gt;0,AM413+1,0),0)</f>
        <v>0</v>
      </c>
      <c r="AO413" s="152">
        <f>IF(AO$2&lt;=analysis_period,IF(SUM($C762:AO762)&gt;0,AN413+1,0),0)</f>
        <v>0</v>
      </c>
      <c r="AP413" s="152">
        <f>IF(AP$2&lt;=analysis_period,IF(SUM($C762:AP762)&gt;0,AO413+1,0),0)</f>
        <v>0</v>
      </c>
    </row>
    <row r="414" spans="1:42" x14ac:dyDescent="0.2">
      <c r="A414" s="4">
        <f t="shared" si="163"/>
        <v>6</v>
      </c>
      <c r="B414" s="4">
        <v>0</v>
      </c>
      <c r="C414" s="152">
        <f>IF(C$2&lt;=analysis_period,IF(SUM($C763:C763)&gt;0,B414+1,0),0)</f>
        <v>0</v>
      </c>
      <c r="D414" s="152">
        <f>IF(D$2&lt;=analysis_period,IF(SUM($C763:D763)&gt;0,C414+1,0),0)</f>
        <v>0</v>
      </c>
      <c r="E414" s="152">
        <f>IF(E$2&lt;=analysis_period,IF(SUM($C763:E763)&gt;0,D414+1,0),0)</f>
        <v>0</v>
      </c>
      <c r="F414" s="152">
        <f>IF(F$2&lt;=analysis_period,IF(SUM($C763:F763)&gt;0,E414+1,0),0)</f>
        <v>0</v>
      </c>
      <c r="G414" s="152">
        <f>IF(G$2&lt;=analysis_period,IF(SUM($C763:G763)&gt;0,F414+1,0),0)</f>
        <v>0</v>
      </c>
      <c r="H414" s="152">
        <f>IF(H$2&lt;=analysis_period,IF(SUM($C763:H763)&gt;0,G414+1,0),0)</f>
        <v>0</v>
      </c>
      <c r="I414" s="152">
        <f>IF(I$2&lt;=analysis_period,IF(SUM($C763:I763)&gt;0,H414+1,0),0)</f>
        <v>0</v>
      </c>
      <c r="J414" s="152">
        <f>IF(J$2&lt;=analysis_period,IF(SUM($C763:J763)&gt;0,I414+1,0),0)</f>
        <v>0</v>
      </c>
      <c r="K414" s="152">
        <f>IF(K$2&lt;=analysis_period,IF(SUM($C763:K763)&gt;0,J414+1,0),0)</f>
        <v>0</v>
      </c>
      <c r="L414" s="152">
        <f>IF(L$2&lt;=analysis_period,IF(SUM($C763:L763)&gt;0,K414+1,0),0)</f>
        <v>0</v>
      </c>
      <c r="M414" s="152">
        <f>IF(M$2&lt;=analysis_period,IF(SUM($C763:M763)&gt;0,L414+1,0),0)</f>
        <v>0</v>
      </c>
      <c r="N414" s="152">
        <f>IF(N$2&lt;=analysis_period,IF(SUM($C763:N763)&gt;0,M414+1,0),0)</f>
        <v>0</v>
      </c>
      <c r="O414" s="152">
        <f>IF(O$2&lt;=analysis_period,IF(SUM($C763:O763)&gt;0,N414+1,0),0)</f>
        <v>0</v>
      </c>
      <c r="P414" s="152">
        <f>IF(P$2&lt;=analysis_period,IF(SUM($C763:P763)&gt;0,O414+1,0),0)</f>
        <v>0</v>
      </c>
      <c r="Q414" s="152">
        <f>IF(Q$2&lt;=analysis_period,IF(SUM($C763:Q763)&gt;0,P414+1,0),0)</f>
        <v>0</v>
      </c>
      <c r="R414" s="152">
        <f>IF(R$2&lt;=analysis_period,IF(SUM($C763:R763)&gt;0,Q414+1,0),0)</f>
        <v>0</v>
      </c>
      <c r="S414" s="152">
        <f>IF(S$2&lt;=analysis_period,IF(SUM($C763:S763)&gt;0,R414+1,0),0)</f>
        <v>0</v>
      </c>
      <c r="T414" s="152">
        <f>IF(T$2&lt;=analysis_period,IF(SUM($C763:T763)&gt;0,S414+1,0),0)</f>
        <v>0</v>
      </c>
      <c r="U414" s="152">
        <f>IF(U$2&lt;=analysis_period,IF(SUM($C763:U763)&gt;0,T414+1,0),0)</f>
        <v>0</v>
      </c>
      <c r="V414" s="152">
        <f>IF(V$2&lt;=analysis_period,IF(SUM($C763:V763)&gt;0,U414+1,0),0)</f>
        <v>0</v>
      </c>
      <c r="W414" s="152">
        <f>IF(W$2&lt;=analysis_period,IF(SUM($C763:W763)&gt;0,V414+1,0),0)</f>
        <v>0</v>
      </c>
      <c r="X414" s="152">
        <f>IF(X$2&lt;=analysis_period,IF(SUM($C763:X763)&gt;0,W414+1,0),0)</f>
        <v>0</v>
      </c>
      <c r="Y414" s="152">
        <f>IF(Y$2&lt;=analysis_period,IF(SUM($C763:Y763)&gt;0,X414+1,0),0)</f>
        <v>0</v>
      </c>
      <c r="Z414" s="152">
        <f>IF(Z$2&lt;=analysis_period,IF(SUM($C763:Z763)&gt;0,Y414+1,0),0)</f>
        <v>0</v>
      </c>
      <c r="AA414" s="152">
        <f>IF(AA$2&lt;=analysis_period,IF(SUM($C763:AA763)&gt;0,Z414+1,0),0)</f>
        <v>0</v>
      </c>
      <c r="AB414" s="152">
        <f>IF(AB$2&lt;=analysis_period,IF(SUM($C763:AB763)&gt;0,AA414+1,0),0)</f>
        <v>0</v>
      </c>
      <c r="AC414" s="152">
        <f>IF(AC$2&lt;=analysis_period,IF(SUM($C763:AC763)&gt;0,AB414+1,0),0)</f>
        <v>0</v>
      </c>
      <c r="AD414" s="152">
        <f>IF(AD$2&lt;=analysis_period,IF(SUM($C763:AD763)&gt;0,AC414+1,0),0)</f>
        <v>0</v>
      </c>
      <c r="AE414" s="152">
        <f>IF(AE$2&lt;=analysis_period,IF(SUM($C763:AE763)&gt;0,AD414+1,0),0)</f>
        <v>0</v>
      </c>
      <c r="AF414" s="152">
        <f>IF(AF$2&lt;=analysis_period,IF(SUM($C763:AF763)&gt;0,AE414+1,0),0)</f>
        <v>0</v>
      </c>
      <c r="AG414" s="152">
        <f>IF(AG$2&lt;=analysis_period,IF(SUM($C763:AG763)&gt;0,AF414+1,0),0)</f>
        <v>0</v>
      </c>
      <c r="AH414" s="152">
        <f>IF(AH$2&lt;=analysis_period,IF(SUM($C763:AH763)&gt;0,AG414+1,0),0)</f>
        <v>0</v>
      </c>
      <c r="AI414" s="152">
        <f>IF(AI$2&lt;=analysis_period,IF(SUM($C763:AI763)&gt;0,AH414+1,0),0)</f>
        <v>0</v>
      </c>
      <c r="AJ414" s="152">
        <f>IF(AJ$2&lt;=analysis_period,IF(SUM($C763:AJ763)&gt;0,AI414+1,0),0)</f>
        <v>0</v>
      </c>
      <c r="AK414" s="152">
        <f>IF(AK$2&lt;=analysis_period,IF(SUM($C763:AK763)&gt;0,AJ414+1,0),0)</f>
        <v>0</v>
      </c>
      <c r="AL414" s="152">
        <f>IF(AL$2&lt;=analysis_period,IF(SUM($C763:AL763)&gt;0,AK414+1,0),0)</f>
        <v>0</v>
      </c>
      <c r="AM414" s="152">
        <f>IF(AM$2&lt;=analysis_period,IF(SUM($C763:AM763)&gt;0,AL414+1,0),0)</f>
        <v>0</v>
      </c>
      <c r="AN414" s="152">
        <f>IF(AN$2&lt;=analysis_period,IF(SUM($C763:AN763)&gt;0,AM414+1,0),0)</f>
        <v>0</v>
      </c>
      <c r="AO414" s="152">
        <f>IF(AO$2&lt;=analysis_period,IF(SUM($C763:AO763)&gt;0,AN414+1,0),0)</f>
        <v>0</v>
      </c>
      <c r="AP414" s="152">
        <f>IF(AP$2&lt;=analysis_period,IF(SUM($C763:AP763)&gt;0,AO414+1,0),0)</f>
        <v>0</v>
      </c>
    </row>
    <row r="415" spans="1:42" x14ac:dyDescent="0.2">
      <c r="A415" s="4">
        <f t="shared" si="163"/>
        <v>7</v>
      </c>
      <c r="B415" s="4">
        <v>0</v>
      </c>
      <c r="C415" s="152">
        <f>IF(C$2&lt;=analysis_period,IF(SUM($C764:C764)&gt;0,B415+1,0),0)</f>
        <v>0</v>
      </c>
      <c r="D415" s="152">
        <f>IF(D$2&lt;=analysis_period,IF(SUM($C764:D764)&gt;0,C415+1,0),0)</f>
        <v>0</v>
      </c>
      <c r="E415" s="152">
        <f>IF(E$2&lt;=analysis_period,IF(SUM($C764:E764)&gt;0,D415+1,0),0)</f>
        <v>0</v>
      </c>
      <c r="F415" s="152">
        <f>IF(F$2&lt;=analysis_period,IF(SUM($C764:F764)&gt;0,E415+1,0),0)</f>
        <v>0</v>
      </c>
      <c r="G415" s="152">
        <f>IF(G$2&lt;=analysis_period,IF(SUM($C764:G764)&gt;0,F415+1,0),0)</f>
        <v>0</v>
      </c>
      <c r="H415" s="152">
        <f>IF(H$2&lt;=analysis_period,IF(SUM($C764:H764)&gt;0,G415+1,0),0)</f>
        <v>0</v>
      </c>
      <c r="I415" s="152">
        <f>IF(I$2&lt;=analysis_period,IF(SUM($C764:I764)&gt;0,H415+1,0),0)</f>
        <v>0</v>
      </c>
      <c r="J415" s="152">
        <f>IF(J$2&lt;=analysis_period,IF(SUM($C764:J764)&gt;0,I415+1,0),0)</f>
        <v>0</v>
      </c>
      <c r="K415" s="152">
        <f>IF(K$2&lt;=analysis_period,IF(SUM($C764:K764)&gt;0,J415+1,0),0)</f>
        <v>0</v>
      </c>
      <c r="L415" s="152">
        <f>IF(L$2&lt;=analysis_period,IF(SUM($C764:L764)&gt;0,K415+1,0),0)</f>
        <v>0</v>
      </c>
      <c r="M415" s="152">
        <f>IF(M$2&lt;=analysis_period,IF(SUM($C764:M764)&gt;0,L415+1,0),0)</f>
        <v>0</v>
      </c>
      <c r="N415" s="152">
        <f>IF(N$2&lt;=analysis_period,IF(SUM($C764:N764)&gt;0,M415+1,0),0)</f>
        <v>0</v>
      </c>
      <c r="O415" s="152">
        <f>IF(O$2&lt;=analysis_period,IF(SUM($C764:O764)&gt;0,N415+1,0),0)</f>
        <v>0</v>
      </c>
      <c r="P415" s="152">
        <f>IF(P$2&lt;=analysis_period,IF(SUM($C764:P764)&gt;0,O415+1,0),0)</f>
        <v>0</v>
      </c>
      <c r="Q415" s="152">
        <f>IF(Q$2&lt;=analysis_period,IF(SUM($C764:Q764)&gt;0,P415+1,0),0)</f>
        <v>0</v>
      </c>
      <c r="R415" s="152">
        <f>IF(R$2&lt;=analysis_period,IF(SUM($C764:R764)&gt;0,Q415+1,0),0)</f>
        <v>0</v>
      </c>
      <c r="S415" s="152">
        <f>IF(S$2&lt;=analysis_period,IF(SUM($C764:S764)&gt;0,R415+1,0),0)</f>
        <v>0</v>
      </c>
      <c r="T415" s="152">
        <f>IF(T$2&lt;=analysis_period,IF(SUM($C764:T764)&gt;0,S415+1,0),0)</f>
        <v>0</v>
      </c>
      <c r="U415" s="152">
        <f>IF(U$2&lt;=analysis_period,IF(SUM($C764:U764)&gt;0,T415+1,0),0)</f>
        <v>0</v>
      </c>
      <c r="V415" s="152">
        <f>IF(V$2&lt;=analysis_period,IF(SUM($C764:V764)&gt;0,U415+1,0),0)</f>
        <v>0</v>
      </c>
      <c r="W415" s="152">
        <f>IF(W$2&lt;=analysis_period,IF(SUM($C764:W764)&gt;0,V415+1,0),0)</f>
        <v>0</v>
      </c>
      <c r="X415" s="152">
        <f>IF(X$2&lt;=analysis_period,IF(SUM($C764:X764)&gt;0,W415+1,0),0)</f>
        <v>0</v>
      </c>
      <c r="Y415" s="152">
        <f>IF(Y$2&lt;=analysis_period,IF(SUM($C764:Y764)&gt;0,X415+1,0),0)</f>
        <v>0</v>
      </c>
      <c r="Z415" s="152">
        <f>IF(Z$2&lt;=analysis_period,IF(SUM($C764:Z764)&gt;0,Y415+1,0),0)</f>
        <v>0</v>
      </c>
      <c r="AA415" s="152">
        <f>IF(AA$2&lt;=analysis_period,IF(SUM($C764:AA764)&gt;0,Z415+1,0),0)</f>
        <v>0</v>
      </c>
      <c r="AB415" s="152">
        <f>IF(AB$2&lt;=analysis_period,IF(SUM($C764:AB764)&gt;0,AA415+1,0),0)</f>
        <v>0</v>
      </c>
      <c r="AC415" s="152">
        <f>IF(AC$2&lt;=analysis_period,IF(SUM($C764:AC764)&gt;0,AB415+1,0),0)</f>
        <v>0</v>
      </c>
      <c r="AD415" s="152">
        <f>IF(AD$2&lt;=analysis_period,IF(SUM($C764:AD764)&gt;0,AC415+1,0),0)</f>
        <v>0</v>
      </c>
      <c r="AE415" s="152">
        <f>IF(AE$2&lt;=analysis_period,IF(SUM($C764:AE764)&gt;0,AD415+1,0),0)</f>
        <v>0</v>
      </c>
      <c r="AF415" s="152">
        <f>IF(AF$2&lt;=analysis_period,IF(SUM($C764:AF764)&gt;0,AE415+1,0),0)</f>
        <v>0</v>
      </c>
      <c r="AG415" s="152">
        <f>IF(AG$2&lt;=analysis_period,IF(SUM($C764:AG764)&gt;0,AF415+1,0),0)</f>
        <v>0</v>
      </c>
      <c r="AH415" s="152">
        <f>IF(AH$2&lt;=analysis_period,IF(SUM($C764:AH764)&gt;0,AG415+1,0),0)</f>
        <v>0</v>
      </c>
      <c r="AI415" s="152">
        <f>IF(AI$2&lt;=analysis_period,IF(SUM($C764:AI764)&gt;0,AH415+1,0),0)</f>
        <v>0</v>
      </c>
      <c r="AJ415" s="152">
        <f>IF(AJ$2&lt;=analysis_period,IF(SUM($C764:AJ764)&gt;0,AI415+1,0),0)</f>
        <v>0</v>
      </c>
      <c r="AK415" s="152">
        <f>IF(AK$2&lt;=analysis_period,IF(SUM($C764:AK764)&gt;0,AJ415+1,0),0)</f>
        <v>0</v>
      </c>
      <c r="AL415" s="152">
        <f>IF(AL$2&lt;=analysis_period,IF(SUM($C764:AL764)&gt;0,AK415+1,0),0)</f>
        <v>0</v>
      </c>
      <c r="AM415" s="152">
        <f>IF(AM$2&lt;=analysis_period,IF(SUM($C764:AM764)&gt;0,AL415+1,0),0)</f>
        <v>0</v>
      </c>
      <c r="AN415" s="152">
        <f>IF(AN$2&lt;=analysis_period,IF(SUM($C764:AN764)&gt;0,AM415+1,0),0)</f>
        <v>0</v>
      </c>
      <c r="AO415" s="152">
        <f>IF(AO$2&lt;=analysis_period,IF(SUM($C764:AO764)&gt;0,AN415+1,0),0)</f>
        <v>0</v>
      </c>
      <c r="AP415" s="152">
        <f>IF(AP$2&lt;=analysis_period,IF(SUM($C764:AP764)&gt;0,AO415+1,0),0)</f>
        <v>0</v>
      </c>
    </row>
    <row r="416" spans="1:42" x14ac:dyDescent="0.2">
      <c r="A416" s="4">
        <f t="shared" si="163"/>
        <v>8</v>
      </c>
      <c r="B416" s="4">
        <v>0</v>
      </c>
      <c r="C416" s="152">
        <f>IF(C$2&lt;=analysis_period,IF(SUM($C765:C765)&gt;0,B416+1,0),0)</f>
        <v>0</v>
      </c>
      <c r="D416" s="152">
        <f>IF(D$2&lt;=analysis_period,IF(SUM($C765:D765)&gt;0,C416+1,0),0)</f>
        <v>0</v>
      </c>
      <c r="E416" s="152">
        <f>IF(E$2&lt;=analysis_period,IF(SUM($C765:E765)&gt;0,D416+1,0),0)</f>
        <v>0</v>
      </c>
      <c r="F416" s="152">
        <f>IF(F$2&lt;=analysis_period,IF(SUM($C765:F765)&gt;0,E416+1,0),0)</f>
        <v>0</v>
      </c>
      <c r="G416" s="152">
        <f>IF(G$2&lt;=analysis_period,IF(SUM($C765:G765)&gt;0,F416+1,0),0)</f>
        <v>0</v>
      </c>
      <c r="H416" s="152">
        <f>IF(H$2&lt;=analysis_period,IF(SUM($C765:H765)&gt;0,G416+1,0),0)</f>
        <v>0</v>
      </c>
      <c r="I416" s="152">
        <f>IF(I$2&lt;=analysis_period,IF(SUM($C765:I765)&gt;0,H416+1,0),0)</f>
        <v>0</v>
      </c>
      <c r="J416" s="152">
        <f>IF(J$2&lt;=analysis_period,IF(SUM($C765:J765)&gt;0,I416+1,0),0)</f>
        <v>0</v>
      </c>
      <c r="K416" s="152">
        <f>IF(K$2&lt;=analysis_period,IF(SUM($C765:K765)&gt;0,J416+1,0),0)</f>
        <v>0</v>
      </c>
      <c r="L416" s="152">
        <f>IF(L$2&lt;=analysis_period,IF(SUM($C765:L765)&gt;0,K416+1,0),0)</f>
        <v>0</v>
      </c>
      <c r="M416" s="152">
        <f>IF(M$2&lt;=analysis_period,IF(SUM($C765:M765)&gt;0,L416+1,0),0)</f>
        <v>0</v>
      </c>
      <c r="N416" s="152">
        <f>IF(N$2&lt;=analysis_period,IF(SUM($C765:N765)&gt;0,M416+1,0),0)</f>
        <v>0</v>
      </c>
      <c r="O416" s="152">
        <f>IF(O$2&lt;=analysis_period,IF(SUM($C765:O765)&gt;0,N416+1,0),0)</f>
        <v>0</v>
      </c>
      <c r="P416" s="152">
        <f>IF(P$2&lt;=analysis_period,IF(SUM($C765:P765)&gt;0,O416+1,0),0)</f>
        <v>0</v>
      </c>
      <c r="Q416" s="152">
        <f>IF(Q$2&lt;=analysis_period,IF(SUM($C765:Q765)&gt;0,P416+1,0),0)</f>
        <v>0</v>
      </c>
      <c r="R416" s="152">
        <f>IF(R$2&lt;=analysis_period,IF(SUM($C765:R765)&gt;0,Q416+1,0),0)</f>
        <v>0</v>
      </c>
      <c r="S416" s="152">
        <f>IF(S$2&lt;=analysis_period,IF(SUM($C765:S765)&gt;0,R416+1,0),0)</f>
        <v>0</v>
      </c>
      <c r="T416" s="152">
        <f>IF(T$2&lt;=analysis_period,IF(SUM($C765:T765)&gt;0,S416+1,0),0)</f>
        <v>0</v>
      </c>
      <c r="U416" s="152">
        <f>IF(U$2&lt;=analysis_period,IF(SUM($C765:U765)&gt;0,T416+1,0),0)</f>
        <v>0</v>
      </c>
      <c r="V416" s="152">
        <f>IF(V$2&lt;=analysis_period,IF(SUM($C765:V765)&gt;0,U416+1,0),0)</f>
        <v>0</v>
      </c>
      <c r="W416" s="152">
        <f>IF(W$2&lt;=analysis_period,IF(SUM($C765:W765)&gt;0,V416+1,0),0)</f>
        <v>0</v>
      </c>
      <c r="X416" s="152">
        <f>IF(X$2&lt;=analysis_period,IF(SUM($C765:X765)&gt;0,W416+1,0),0)</f>
        <v>0</v>
      </c>
      <c r="Y416" s="152">
        <f>IF(Y$2&lt;=analysis_period,IF(SUM($C765:Y765)&gt;0,X416+1,0),0)</f>
        <v>0</v>
      </c>
      <c r="Z416" s="152">
        <f>IF(Z$2&lt;=analysis_period,IF(SUM($C765:Z765)&gt;0,Y416+1,0),0)</f>
        <v>0</v>
      </c>
      <c r="AA416" s="152">
        <f>IF(AA$2&lt;=analysis_period,IF(SUM($C765:AA765)&gt;0,Z416+1,0),0)</f>
        <v>0</v>
      </c>
      <c r="AB416" s="152">
        <f>IF(AB$2&lt;=analysis_period,IF(SUM($C765:AB765)&gt;0,AA416+1,0),0)</f>
        <v>0</v>
      </c>
      <c r="AC416" s="152">
        <f>IF(AC$2&lt;=analysis_period,IF(SUM($C765:AC765)&gt;0,AB416+1,0),0)</f>
        <v>0</v>
      </c>
      <c r="AD416" s="152">
        <f>IF(AD$2&lt;=analysis_period,IF(SUM($C765:AD765)&gt;0,AC416+1,0),0)</f>
        <v>0</v>
      </c>
      <c r="AE416" s="152">
        <f>IF(AE$2&lt;=analysis_period,IF(SUM($C765:AE765)&gt;0,AD416+1,0),0)</f>
        <v>0</v>
      </c>
      <c r="AF416" s="152">
        <f>IF(AF$2&lt;=analysis_period,IF(SUM($C765:AF765)&gt;0,AE416+1,0),0)</f>
        <v>0</v>
      </c>
      <c r="AG416" s="152">
        <f>IF(AG$2&lt;=analysis_period,IF(SUM($C765:AG765)&gt;0,AF416+1,0),0)</f>
        <v>0</v>
      </c>
      <c r="AH416" s="152">
        <f>IF(AH$2&lt;=analysis_period,IF(SUM($C765:AH765)&gt;0,AG416+1,0),0)</f>
        <v>0</v>
      </c>
      <c r="AI416" s="152">
        <f>IF(AI$2&lt;=analysis_period,IF(SUM($C765:AI765)&gt;0,AH416+1,0),0)</f>
        <v>0</v>
      </c>
      <c r="AJ416" s="152">
        <f>IF(AJ$2&lt;=analysis_period,IF(SUM($C765:AJ765)&gt;0,AI416+1,0),0)</f>
        <v>0</v>
      </c>
      <c r="AK416" s="152">
        <f>IF(AK$2&lt;=analysis_period,IF(SUM($C765:AK765)&gt;0,AJ416+1,0),0)</f>
        <v>0</v>
      </c>
      <c r="AL416" s="152">
        <f>IF(AL$2&lt;=analysis_period,IF(SUM($C765:AL765)&gt;0,AK416+1,0),0)</f>
        <v>0</v>
      </c>
      <c r="AM416" s="152">
        <f>IF(AM$2&lt;=analysis_period,IF(SUM($C765:AM765)&gt;0,AL416+1,0),0)</f>
        <v>0</v>
      </c>
      <c r="AN416" s="152">
        <f>IF(AN$2&lt;=analysis_period,IF(SUM($C765:AN765)&gt;0,AM416+1,0),0)</f>
        <v>0</v>
      </c>
      <c r="AO416" s="152">
        <f>IF(AO$2&lt;=analysis_period,IF(SUM($C765:AO765)&gt;0,AN416+1,0),0)</f>
        <v>0</v>
      </c>
      <c r="AP416" s="152">
        <f>IF(AP$2&lt;=analysis_period,IF(SUM($C765:AP765)&gt;0,AO416+1,0),0)</f>
        <v>0</v>
      </c>
    </row>
    <row r="417" spans="1:42" x14ac:dyDescent="0.2">
      <c r="A417" s="4">
        <f>A416+1</f>
        <v>9</v>
      </c>
      <c r="B417" s="4">
        <v>0</v>
      </c>
      <c r="C417" s="152">
        <f>IF(C$2&lt;=analysis_period,IF(SUM($C766:C766)&gt;0,B417+1,0),0)</f>
        <v>0</v>
      </c>
      <c r="D417" s="152">
        <f>IF(D$2&lt;=analysis_period,IF(SUM($C766:D766)&gt;0,C417+1,0),0)</f>
        <v>0</v>
      </c>
      <c r="E417" s="152">
        <f>IF(E$2&lt;=analysis_period,IF(SUM($C766:E766)&gt;0,D417+1,0),0)</f>
        <v>0</v>
      </c>
      <c r="F417" s="152">
        <f>IF(F$2&lt;=analysis_period,IF(SUM($C766:F766)&gt;0,E417+1,0),0)</f>
        <v>0</v>
      </c>
      <c r="G417" s="152">
        <f>IF(G$2&lt;=analysis_period,IF(SUM($C766:G766)&gt;0,F417+1,0),0)</f>
        <v>0</v>
      </c>
      <c r="H417" s="152">
        <f>IF(H$2&lt;=analysis_period,IF(SUM($C766:H766)&gt;0,G417+1,0),0)</f>
        <v>0</v>
      </c>
      <c r="I417" s="152">
        <f>IF(I$2&lt;=analysis_period,IF(SUM($C766:I766)&gt;0,H417+1,0),0)</f>
        <v>0</v>
      </c>
      <c r="J417" s="152">
        <f>IF(J$2&lt;=analysis_period,IF(SUM($C766:J766)&gt;0,I417+1,0),0)</f>
        <v>0</v>
      </c>
      <c r="K417" s="152">
        <f>IF(K$2&lt;=analysis_period,IF(SUM($C766:K766)&gt;0,J417+1,0),0)</f>
        <v>0</v>
      </c>
      <c r="L417" s="152">
        <f>IF(L$2&lt;=analysis_period,IF(SUM($C766:L766)&gt;0,K417+1,0),0)</f>
        <v>0</v>
      </c>
      <c r="M417" s="152">
        <f>IF(M$2&lt;=analysis_period,IF(SUM($C766:M766)&gt;0,L417+1,0),0)</f>
        <v>0</v>
      </c>
      <c r="N417" s="152">
        <f>IF(N$2&lt;=analysis_period,IF(SUM($C766:N766)&gt;0,M417+1,0),0)</f>
        <v>0</v>
      </c>
      <c r="O417" s="152">
        <f>IF(O$2&lt;=analysis_period,IF(SUM($C766:O766)&gt;0,N417+1,0),0)</f>
        <v>0</v>
      </c>
      <c r="P417" s="152">
        <f>IF(P$2&lt;=analysis_period,IF(SUM($C766:P766)&gt;0,O417+1,0),0)</f>
        <v>0</v>
      </c>
      <c r="Q417" s="152">
        <f>IF(Q$2&lt;=analysis_period,IF(SUM($C766:Q766)&gt;0,P417+1,0),0)</f>
        <v>0</v>
      </c>
      <c r="R417" s="152">
        <f>IF(R$2&lt;=analysis_period,IF(SUM($C766:R766)&gt;0,Q417+1,0),0)</f>
        <v>0</v>
      </c>
      <c r="S417" s="152">
        <f>IF(S$2&lt;=analysis_period,IF(SUM($C766:S766)&gt;0,R417+1,0),0)</f>
        <v>0</v>
      </c>
      <c r="T417" s="152">
        <f>IF(T$2&lt;=analysis_period,IF(SUM($C766:T766)&gt;0,S417+1,0),0)</f>
        <v>0</v>
      </c>
      <c r="U417" s="152">
        <f>IF(U$2&lt;=analysis_period,IF(SUM($C766:U766)&gt;0,T417+1,0),0)</f>
        <v>0</v>
      </c>
      <c r="V417" s="152">
        <f>IF(V$2&lt;=analysis_period,IF(SUM($C766:V766)&gt;0,U417+1,0),0)</f>
        <v>0</v>
      </c>
      <c r="W417" s="152">
        <f>IF(W$2&lt;=analysis_period,IF(SUM($C766:W766)&gt;0,V417+1,0),0)</f>
        <v>0</v>
      </c>
      <c r="X417" s="152">
        <f>IF(X$2&lt;=analysis_period,IF(SUM($C766:X766)&gt;0,W417+1,0),0)</f>
        <v>0</v>
      </c>
      <c r="Y417" s="152">
        <f>IF(Y$2&lt;=analysis_period,IF(SUM($C766:Y766)&gt;0,X417+1,0),0)</f>
        <v>0</v>
      </c>
      <c r="Z417" s="152">
        <f>IF(Z$2&lt;=analysis_period,IF(SUM($C766:Z766)&gt;0,Y417+1,0),0)</f>
        <v>0</v>
      </c>
      <c r="AA417" s="152">
        <f>IF(AA$2&lt;=analysis_period,IF(SUM($C766:AA766)&gt;0,Z417+1,0),0)</f>
        <v>0</v>
      </c>
      <c r="AB417" s="152">
        <f>IF(AB$2&lt;=analysis_period,IF(SUM($C766:AB766)&gt;0,AA417+1,0),0)</f>
        <v>0</v>
      </c>
      <c r="AC417" s="152">
        <f>IF(AC$2&lt;=analysis_period,IF(SUM($C766:AC766)&gt;0,AB417+1,0),0)</f>
        <v>0</v>
      </c>
      <c r="AD417" s="152">
        <f>IF(AD$2&lt;=analysis_period,IF(SUM($C766:AD766)&gt;0,AC417+1,0),0)</f>
        <v>0</v>
      </c>
      <c r="AE417" s="152">
        <f>IF(AE$2&lt;=analysis_period,IF(SUM($C766:AE766)&gt;0,AD417+1,0),0)</f>
        <v>0</v>
      </c>
      <c r="AF417" s="152">
        <f>IF(AF$2&lt;=analysis_period,IF(SUM($C766:AF766)&gt;0,AE417+1,0),0)</f>
        <v>0</v>
      </c>
      <c r="AG417" s="152">
        <f>IF(AG$2&lt;=analysis_period,IF(SUM($C766:AG766)&gt;0,AF417+1,0),0)</f>
        <v>0</v>
      </c>
      <c r="AH417" s="152">
        <f>IF(AH$2&lt;=analysis_period,IF(SUM($C766:AH766)&gt;0,AG417+1,0),0)</f>
        <v>0</v>
      </c>
      <c r="AI417" s="152">
        <f>IF(AI$2&lt;=analysis_period,IF(SUM($C766:AI766)&gt;0,AH417+1,0),0)</f>
        <v>0</v>
      </c>
      <c r="AJ417" s="152">
        <f>IF(AJ$2&lt;=analysis_period,IF(SUM($C766:AJ766)&gt;0,AI417+1,0),0)</f>
        <v>0</v>
      </c>
      <c r="AK417" s="152">
        <f>IF(AK$2&lt;=analysis_period,IF(SUM($C766:AK766)&gt;0,AJ417+1,0),0)</f>
        <v>0</v>
      </c>
      <c r="AL417" s="152">
        <f>IF(AL$2&lt;=analysis_period,IF(SUM($C766:AL766)&gt;0,AK417+1,0),0)</f>
        <v>0</v>
      </c>
      <c r="AM417" s="152">
        <f>IF(AM$2&lt;=analysis_period,IF(SUM($C766:AM766)&gt;0,AL417+1,0),0)</f>
        <v>0</v>
      </c>
      <c r="AN417" s="152">
        <f>IF(AN$2&lt;=analysis_period,IF(SUM($C766:AN766)&gt;0,AM417+1,0),0)</f>
        <v>0</v>
      </c>
      <c r="AO417" s="152">
        <f>IF(AO$2&lt;=analysis_period,IF(SUM($C766:AO766)&gt;0,AN417+1,0),0)</f>
        <v>0</v>
      </c>
      <c r="AP417" s="152">
        <f>IF(AP$2&lt;=analysis_period,IF(SUM($C766:AP766)&gt;0,AO417+1,0),0)</f>
        <v>0</v>
      </c>
    </row>
    <row r="418" spans="1:42" x14ac:dyDescent="0.2">
      <c r="A418" s="4">
        <f t="shared" si="163"/>
        <v>10</v>
      </c>
      <c r="B418" s="4">
        <v>0</v>
      </c>
      <c r="C418" s="152">
        <f>IF(C$2&lt;=analysis_period,IF(SUM($C767:C767)&gt;0,B418+1,0),0)</f>
        <v>0</v>
      </c>
      <c r="D418" s="152">
        <f>IF(D$2&lt;=analysis_period,IF(SUM($C767:D767)&gt;0,C418+1,0),0)</f>
        <v>0</v>
      </c>
      <c r="E418" s="152">
        <f>IF(E$2&lt;=analysis_period,IF(SUM($C767:E767)&gt;0,D418+1,0),0)</f>
        <v>0</v>
      </c>
      <c r="F418" s="152">
        <f>IF(F$2&lt;=analysis_period,IF(SUM($C767:F767)&gt;0,E418+1,0),0)</f>
        <v>0</v>
      </c>
      <c r="G418" s="152">
        <f>IF(G$2&lt;=analysis_period,IF(SUM($C767:G767)&gt;0,F418+1,0),0)</f>
        <v>0</v>
      </c>
      <c r="H418" s="152">
        <f>IF(H$2&lt;=analysis_period,IF(SUM($C767:H767)&gt;0,G418+1,0),0)</f>
        <v>0</v>
      </c>
      <c r="I418" s="152">
        <f>IF(I$2&lt;=analysis_period,IF(SUM($C767:I767)&gt;0,H418+1,0),0)</f>
        <v>0</v>
      </c>
      <c r="J418" s="152">
        <f>IF(J$2&lt;=analysis_period,IF(SUM($C767:J767)&gt;0,I418+1,0),0)</f>
        <v>0</v>
      </c>
      <c r="K418" s="152">
        <f>IF(K$2&lt;=analysis_period,IF(SUM($C767:K767)&gt;0,J418+1,0),0)</f>
        <v>0</v>
      </c>
      <c r="L418" s="152">
        <f>IF(L$2&lt;=analysis_period,IF(SUM($C767:L767)&gt;0,K418+1,0),0)</f>
        <v>0</v>
      </c>
      <c r="M418" s="152">
        <f>IF(M$2&lt;=analysis_period,IF(SUM($C767:M767)&gt;0,L418+1,0),0)</f>
        <v>0</v>
      </c>
      <c r="N418" s="152">
        <f>IF(N$2&lt;=analysis_period,IF(SUM($C767:N767)&gt;0,M418+1,0),0)</f>
        <v>0</v>
      </c>
      <c r="O418" s="152">
        <f>IF(O$2&lt;=analysis_period,IF(SUM($C767:O767)&gt;0,N418+1,0),0)</f>
        <v>0</v>
      </c>
      <c r="P418" s="152">
        <f>IF(P$2&lt;=analysis_period,IF(SUM($C767:P767)&gt;0,O418+1,0),0)</f>
        <v>0</v>
      </c>
      <c r="Q418" s="152">
        <f>IF(Q$2&lt;=analysis_period,IF(SUM($C767:Q767)&gt;0,P418+1,0),0)</f>
        <v>0</v>
      </c>
      <c r="R418" s="152">
        <f>IF(R$2&lt;=analysis_period,IF(SUM($C767:R767)&gt;0,Q418+1,0),0)</f>
        <v>0</v>
      </c>
      <c r="S418" s="152">
        <f>IF(S$2&lt;=analysis_period,IF(SUM($C767:S767)&gt;0,R418+1,0),0)</f>
        <v>0</v>
      </c>
      <c r="T418" s="152">
        <f>IF(T$2&lt;=analysis_period,IF(SUM($C767:T767)&gt;0,S418+1,0),0)</f>
        <v>0</v>
      </c>
      <c r="U418" s="152">
        <f>IF(U$2&lt;=analysis_period,IF(SUM($C767:U767)&gt;0,T418+1,0),0)</f>
        <v>0</v>
      </c>
      <c r="V418" s="152">
        <f>IF(V$2&lt;=analysis_period,IF(SUM($C767:V767)&gt;0,U418+1,0),0)</f>
        <v>0</v>
      </c>
      <c r="W418" s="152">
        <f>IF(W$2&lt;=analysis_period,IF(SUM($C767:W767)&gt;0,V418+1,0),0)</f>
        <v>0</v>
      </c>
      <c r="X418" s="152">
        <f>IF(X$2&lt;=analysis_period,IF(SUM($C767:X767)&gt;0,W418+1,0),0)</f>
        <v>0</v>
      </c>
      <c r="Y418" s="152">
        <f>IF(Y$2&lt;=analysis_period,IF(SUM($C767:Y767)&gt;0,X418+1,0),0)</f>
        <v>0</v>
      </c>
      <c r="Z418" s="152">
        <f>IF(Z$2&lt;=analysis_period,IF(SUM($C767:Z767)&gt;0,Y418+1,0),0)</f>
        <v>0</v>
      </c>
      <c r="AA418" s="152">
        <f>IF(AA$2&lt;=analysis_period,IF(SUM($C767:AA767)&gt;0,Z418+1,0),0)</f>
        <v>0</v>
      </c>
      <c r="AB418" s="152">
        <f>IF(AB$2&lt;=analysis_period,IF(SUM($C767:AB767)&gt;0,AA418+1,0),0)</f>
        <v>0</v>
      </c>
      <c r="AC418" s="152">
        <f>IF(AC$2&lt;=analysis_period,IF(SUM($C767:AC767)&gt;0,AB418+1,0),0)</f>
        <v>0</v>
      </c>
      <c r="AD418" s="152">
        <f>IF(AD$2&lt;=analysis_period,IF(SUM($C767:AD767)&gt;0,AC418+1,0),0)</f>
        <v>0</v>
      </c>
      <c r="AE418" s="152">
        <f>IF(AE$2&lt;=analysis_period,IF(SUM($C767:AE767)&gt;0,AD418+1,0),0)</f>
        <v>0</v>
      </c>
      <c r="AF418" s="152">
        <f>IF(AF$2&lt;=analysis_period,IF(SUM($C767:AF767)&gt;0,AE418+1,0),0)</f>
        <v>0</v>
      </c>
      <c r="AG418" s="152">
        <f>IF(AG$2&lt;=analysis_period,IF(SUM($C767:AG767)&gt;0,AF418+1,0),0)</f>
        <v>0</v>
      </c>
      <c r="AH418" s="152">
        <f>IF(AH$2&lt;=analysis_period,IF(SUM($C767:AH767)&gt;0,AG418+1,0),0)</f>
        <v>0</v>
      </c>
      <c r="AI418" s="152">
        <f>IF(AI$2&lt;=analysis_period,IF(SUM($C767:AI767)&gt;0,AH418+1,0),0)</f>
        <v>0</v>
      </c>
      <c r="AJ418" s="152">
        <f>IF(AJ$2&lt;=analysis_period,IF(SUM($C767:AJ767)&gt;0,AI418+1,0),0)</f>
        <v>0</v>
      </c>
      <c r="AK418" s="152">
        <f>IF(AK$2&lt;=analysis_period,IF(SUM($C767:AK767)&gt;0,AJ418+1,0),0)</f>
        <v>0</v>
      </c>
      <c r="AL418" s="152">
        <f>IF(AL$2&lt;=analysis_period,IF(SUM($C767:AL767)&gt;0,AK418+1,0),0)</f>
        <v>0</v>
      </c>
      <c r="AM418" s="152">
        <f>IF(AM$2&lt;=analysis_period,IF(SUM($C767:AM767)&gt;0,AL418+1,0),0)</f>
        <v>0</v>
      </c>
      <c r="AN418" s="152">
        <f>IF(AN$2&lt;=analysis_period,IF(SUM($C767:AN767)&gt;0,AM418+1,0),0)</f>
        <v>0</v>
      </c>
      <c r="AO418" s="152">
        <f>IF(AO$2&lt;=analysis_period,IF(SUM($C767:AO767)&gt;0,AN418+1,0),0)</f>
        <v>0</v>
      </c>
      <c r="AP418" s="152">
        <f>IF(AP$2&lt;=analysis_period,IF(SUM($C767:AP767)&gt;0,AO418+1,0),0)</f>
        <v>0</v>
      </c>
    </row>
    <row r="419" spans="1:42" x14ac:dyDescent="0.2">
      <c r="A419" s="21"/>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row>
    <row r="420" spans="1:42" x14ac:dyDescent="0.2">
      <c r="A420" s="85" t="s">
        <v>65</v>
      </c>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row>
    <row r="421" spans="1:42" x14ac:dyDescent="0.2">
      <c r="A421" s="4">
        <v>1</v>
      </c>
      <c r="B421" s="175">
        <f t="shared" ref="B421:B430" si="164">SUM(C421:AP421)</f>
        <v>0</v>
      </c>
      <c r="C421" s="152">
        <f t="shared" ref="C421:AP421" si="165">LOOKUP(C409,$B$353:$AP$353,$B$354:$AP$354)/100*$B758</f>
        <v>0</v>
      </c>
      <c r="D421" s="152">
        <f t="shared" si="165"/>
        <v>0</v>
      </c>
      <c r="E421" s="152">
        <f t="shared" si="165"/>
        <v>0</v>
      </c>
      <c r="F421" s="152">
        <f t="shared" si="165"/>
        <v>0</v>
      </c>
      <c r="G421" s="152">
        <f t="shared" si="165"/>
        <v>0</v>
      </c>
      <c r="H421" s="152">
        <f t="shared" si="165"/>
        <v>0</v>
      </c>
      <c r="I421" s="152">
        <f t="shared" si="165"/>
        <v>0</v>
      </c>
      <c r="J421" s="152">
        <f t="shared" si="165"/>
        <v>0</v>
      </c>
      <c r="K421" s="152">
        <f t="shared" si="165"/>
        <v>0</v>
      </c>
      <c r="L421" s="152">
        <f t="shared" si="165"/>
        <v>0</v>
      </c>
      <c r="M421" s="152">
        <f t="shared" si="165"/>
        <v>0</v>
      </c>
      <c r="N421" s="152">
        <f t="shared" si="165"/>
        <v>0</v>
      </c>
      <c r="O421" s="152">
        <f t="shared" si="165"/>
        <v>0</v>
      </c>
      <c r="P421" s="152">
        <f t="shared" si="165"/>
        <v>0</v>
      </c>
      <c r="Q421" s="152">
        <f t="shared" si="165"/>
        <v>0</v>
      </c>
      <c r="R421" s="152">
        <f t="shared" si="165"/>
        <v>0</v>
      </c>
      <c r="S421" s="152">
        <f t="shared" si="165"/>
        <v>0</v>
      </c>
      <c r="T421" s="152">
        <f t="shared" si="165"/>
        <v>0</v>
      </c>
      <c r="U421" s="152">
        <f t="shared" si="165"/>
        <v>0</v>
      </c>
      <c r="V421" s="152">
        <f t="shared" si="165"/>
        <v>0</v>
      </c>
      <c r="W421" s="152">
        <f t="shared" si="165"/>
        <v>0</v>
      </c>
      <c r="X421" s="152">
        <f t="shared" si="165"/>
        <v>0</v>
      </c>
      <c r="Y421" s="152">
        <f t="shared" si="165"/>
        <v>0</v>
      </c>
      <c r="Z421" s="152">
        <f t="shared" si="165"/>
        <v>0</v>
      </c>
      <c r="AA421" s="152">
        <f t="shared" si="165"/>
        <v>0</v>
      </c>
      <c r="AB421" s="152">
        <f t="shared" si="165"/>
        <v>0</v>
      </c>
      <c r="AC421" s="152">
        <f t="shared" si="165"/>
        <v>0</v>
      </c>
      <c r="AD421" s="152">
        <f t="shared" si="165"/>
        <v>0</v>
      </c>
      <c r="AE421" s="152">
        <f t="shared" si="165"/>
        <v>0</v>
      </c>
      <c r="AF421" s="152">
        <f t="shared" si="165"/>
        <v>0</v>
      </c>
      <c r="AG421" s="152">
        <f t="shared" si="165"/>
        <v>0</v>
      </c>
      <c r="AH421" s="152">
        <f t="shared" si="165"/>
        <v>0</v>
      </c>
      <c r="AI421" s="152">
        <f t="shared" si="165"/>
        <v>0</v>
      </c>
      <c r="AJ421" s="152">
        <f t="shared" si="165"/>
        <v>0</v>
      </c>
      <c r="AK421" s="152">
        <f t="shared" si="165"/>
        <v>0</v>
      </c>
      <c r="AL421" s="152">
        <f t="shared" si="165"/>
        <v>0</v>
      </c>
      <c r="AM421" s="152">
        <f t="shared" si="165"/>
        <v>0</v>
      </c>
      <c r="AN421" s="152">
        <f t="shared" si="165"/>
        <v>0</v>
      </c>
      <c r="AO421" s="152">
        <f t="shared" si="165"/>
        <v>0</v>
      </c>
      <c r="AP421" s="152">
        <f t="shared" si="165"/>
        <v>0</v>
      </c>
    </row>
    <row r="422" spans="1:42" x14ac:dyDescent="0.2">
      <c r="A422" s="4">
        <f>A421+1</f>
        <v>2</v>
      </c>
      <c r="B422" s="175">
        <f t="shared" si="164"/>
        <v>0</v>
      </c>
      <c r="C422" s="152">
        <f t="shared" ref="C422:AP422" si="166">LOOKUP(C410,$B$353:$AP$353,$B$354:$AP$354)/100*$B759</f>
        <v>0</v>
      </c>
      <c r="D422" s="152">
        <f t="shared" si="166"/>
        <v>0</v>
      </c>
      <c r="E422" s="152">
        <f t="shared" si="166"/>
        <v>0</v>
      </c>
      <c r="F422" s="152">
        <f t="shared" si="166"/>
        <v>0</v>
      </c>
      <c r="G422" s="152">
        <f t="shared" si="166"/>
        <v>0</v>
      </c>
      <c r="H422" s="152">
        <f t="shared" si="166"/>
        <v>0</v>
      </c>
      <c r="I422" s="152">
        <f t="shared" si="166"/>
        <v>0</v>
      </c>
      <c r="J422" s="152">
        <f t="shared" si="166"/>
        <v>0</v>
      </c>
      <c r="K422" s="152">
        <f t="shared" si="166"/>
        <v>0</v>
      </c>
      <c r="L422" s="152">
        <f t="shared" si="166"/>
        <v>0</v>
      </c>
      <c r="M422" s="152">
        <f t="shared" si="166"/>
        <v>0</v>
      </c>
      <c r="N422" s="152">
        <f t="shared" si="166"/>
        <v>0</v>
      </c>
      <c r="O422" s="152">
        <f t="shared" si="166"/>
        <v>0</v>
      </c>
      <c r="P422" s="152">
        <f t="shared" si="166"/>
        <v>0</v>
      </c>
      <c r="Q422" s="152">
        <f t="shared" si="166"/>
        <v>0</v>
      </c>
      <c r="R422" s="152">
        <f t="shared" si="166"/>
        <v>0</v>
      </c>
      <c r="S422" s="152">
        <f t="shared" si="166"/>
        <v>0</v>
      </c>
      <c r="T422" s="152">
        <f t="shared" si="166"/>
        <v>0</v>
      </c>
      <c r="U422" s="152">
        <f t="shared" si="166"/>
        <v>0</v>
      </c>
      <c r="V422" s="152">
        <f t="shared" si="166"/>
        <v>0</v>
      </c>
      <c r="W422" s="152">
        <f t="shared" si="166"/>
        <v>0</v>
      </c>
      <c r="X422" s="152">
        <f t="shared" si="166"/>
        <v>0</v>
      </c>
      <c r="Y422" s="152">
        <f t="shared" si="166"/>
        <v>0</v>
      </c>
      <c r="Z422" s="152">
        <f t="shared" si="166"/>
        <v>0</v>
      </c>
      <c r="AA422" s="152">
        <f t="shared" si="166"/>
        <v>0</v>
      </c>
      <c r="AB422" s="152">
        <f t="shared" si="166"/>
        <v>0</v>
      </c>
      <c r="AC422" s="152">
        <f t="shared" si="166"/>
        <v>0</v>
      </c>
      <c r="AD422" s="152">
        <f t="shared" si="166"/>
        <v>0</v>
      </c>
      <c r="AE422" s="152">
        <f t="shared" si="166"/>
        <v>0</v>
      </c>
      <c r="AF422" s="152">
        <f t="shared" si="166"/>
        <v>0</v>
      </c>
      <c r="AG422" s="152">
        <f t="shared" si="166"/>
        <v>0</v>
      </c>
      <c r="AH422" s="152">
        <f t="shared" si="166"/>
        <v>0</v>
      </c>
      <c r="AI422" s="152">
        <f t="shared" si="166"/>
        <v>0</v>
      </c>
      <c r="AJ422" s="152">
        <f t="shared" si="166"/>
        <v>0</v>
      </c>
      <c r="AK422" s="152">
        <f t="shared" si="166"/>
        <v>0</v>
      </c>
      <c r="AL422" s="152">
        <f t="shared" si="166"/>
        <v>0</v>
      </c>
      <c r="AM422" s="152">
        <f t="shared" si="166"/>
        <v>0</v>
      </c>
      <c r="AN422" s="152">
        <f t="shared" si="166"/>
        <v>0</v>
      </c>
      <c r="AO422" s="152">
        <f t="shared" si="166"/>
        <v>0</v>
      </c>
      <c r="AP422" s="152">
        <f t="shared" si="166"/>
        <v>0</v>
      </c>
    </row>
    <row r="423" spans="1:42" x14ac:dyDescent="0.2">
      <c r="A423" s="4">
        <f t="shared" ref="A423:A430" si="167">A422+1</f>
        <v>3</v>
      </c>
      <c r="B423" s="175">
        <f t="shared" si="164"/>
        <v>0</v>
      </c>
      <c r="C423" s="152">
        <f t="shared" ref="C423:AP423" si="168">LOOKUP(C411,$B$353:$AP$353,$B$354:$AP$354)/100*$B760</f>
        <v>0</v>
      </c>
      <c r="D423" s="152">
        <f t="shared" si="168"/>
        <v>0</v>
      </c>
      <c r="E423" s="152">
        <f t="shared" si="168"/>
        <v>0</v>
      </c>
      <c r="F423" s="152">
        <f t="shared" si="168"/>
        <v>0</v>
      </c>
      <c r="G423" s="152">
        <f t="shared" si="168"/>
        <v>0</v>
      </c>
      <c r="H423" s="152">
        <f t="shared" si="168"/>
        <v>0</v>
      </c>
      <c r="I423" s="152">
        <f t="shared" si="168"/>
        <v>0</v>
      </c>
      <c r="J423" s="152">
        <f t="shared" si="168"/>
        <v>0</v>
      </c>
      <c r="K423" s="152">
        <f t="shared" si="168"/>
        <v>0</v>
      </c>
      <c r="L423" s="152">
        <f t="shared" si="168"/>
        <v>0</v>
      </c>
      <c r="M423" s="152">
        <f t="shared" si="168"/>
        <v>0</v>
      </c>
      <c r="N423" s="152">
        <f t="shared" si="168"/>
        <v>0</v>
      </c>
      <c r="O423" s="152">
        <f t="shared" si="168"/>
        <v>0</v>
      </c>
      <c r="P423" s="152">
        <f t="shared" si="168"/>
        <v>0</v>
      </c>
      <c r="Q423" s="152">
        <f t="shared" si="168"/>
        <v>0</v>
      </c>
      <c r="R423" s="152">
        <f t="shared" si="168"/>
        <v>0</v>
      </c>
      <c r="S423" s="152">
        <f t="shared" si="168"/>
        <v>0</v>
      </c>
      <c r="T423" s="152">
        <f t="shared" si="168"/>
        <v>0</v>
      </c>
      <c r="U423" s="152">
        <f t="shared" si="168"/>
        <v>0</v>
      </c>
      <c r="V423" s="152">
        <f t="shared" si="168"/>
        <v>0</v>
      </c>
      <c r="W423" s="152">
        <f t="shared" si="168"/>
        <v>0</v>
      </c>
      <c r="X423" s="152">
        <f t="shared" si="168"/>
        <v>0</v>
      </c>
      <c r="Y423" s="152">
        <f t="shared" si="168"/>
        <v>0</v>
      </c>
      <c r="Z423" s="152">
        <f t="shared" si="168"/>
        <v>0</v>
      </c>
      <c r="AA423" s="152">
        <f t="shared" si="168"/>
        <v>0</v>
      </c>
      <c r="AB423" s="152">
        <f t="shared" si="168"/>
        <v>0</v>
      </c>
      <c r="AC423" s="152">
        <f t="shared" si="168"/>
        <v>0</v>
      </c>
      <c r="AD423" s="152">
        <f t="shared" si="168"/>
        <v>0</v>
      </c>
      <c r="AE423" s="152">
        <f t="shared" si="168"/>
        <v>0</v>
      </c>
      <c r="AF423" s="152">
        <f t="shared" si="168"/>
        <v>0</v>
      </c>
      <c r="AG423" s="152">
        <f t="shared" si="168"/>
        <v>0</v>
      </c>
      <c r="AH423" s="152">
        <f t="shared" si="168"/>
        <v>0</v>
      </c>
      <c r="AI423" s="152">
        <f t="shared" si="168"/>
        <v>0</v>
      </c>
      <c r="AJ423" s="152">
        <f t="shared" si="168"/>
        <v>0</v>
      </c>
      <c r="AK423" s="152">
        <f t="shared" si="168"/>
        <v>0</v>
      </c>
      <c r="AL423" s="152">
        <f t="shared" si="168"/>
        <v>0</v>
      </c>
      <c r="AM423" s="152">
        <f t="shared" si="168"/>
        <v>0</v>
      </c>
      <c r="AN423" s="152">
        <f t="shared" si="168"/>
        <v>0</v>
      </c>
      <c r="AO423" s="152">
        <f t="shared" si="168"/>
        <v>0</v>
      </c>
      <c r="AP423" s="152">
        <f t="shared" si="168"/>
        <v>0</v>
      </c>
    </row>
    <row r="424" spans="1:42" x14ac:dyDescent="0.2">
      <c r="A424" s="4">
        <f t="shared" si="167"/>
        <v>4</v>
      </c>
      <c r="B424" s="175">
        <f t="shared" si="164"/>
        <v>0</v>
      </c>
      <c r="C424" s="152">
        <f t="shared" ref="C424:AP424" si="169">LOOKUP(C412,$B$353:$AP$353,$B$354:$AP$354)/100*$B761</f>
        <v>0</v>
      </c>
      <c r="D424" s="152">
        <f t="shared" si="169"/>
        <v>0</v>
      </c>
      <c r="E424" s="152">
        <f t="shared" si="169"/>
        <v>0</v>
      </c>
      <c r="F424" s="152">
        <f t="shared" si="169"/>
        <v>0</v>
      </c>
      <c r="G424" s="152">
        <f t="shared" si="169"/>
        <v>0</v>
      </c>
      <c r="H424" s="152">
        <f t="shared" si="169"/>
        <v>0</v>
      </c>
      <c r="I424" s="152">
        <f t="shared" si="169"/>
        <v>0</v>
      </c>
      <c r="J424" s="152">
        <f t="shared" si="169"/>
        <v>0</v>
      </c>
      <c r="K424" s="152">
        <f t="shared" si="169"/>
        <v>0</v>
      </c>
      <c r="L424" s="152">
        <f t="shared" si="169"/>
        <v>0</v>
      </c>
      <c r="M424" s="152">
        <f t="shared" si="169"/>
        <v>0</v>
      </c>
      <c r="N424" s="152">
        <f t="shared" si="169"/>
        <v>0</v>
      </c>
      <c r="O424" s="152">
        <f t="shared" si="169"/>
        <v>0</v>
      </c>
      <c r="P424" s="152">
        <f t="shared" si="169"/>
        <v>0</v>
      </c>
      <c r="Q424" s="152">
        <f t="shared" si="169"/>
        <v>0</v>
      </c>
      <c r="R424" s="152">
        <f t="shared" si="169"/>
        <v>0</v>
      </c>
      <c r="S424" s="152">
        <f t="shared" si="169"/>
        <v>0</v>
      </c>
      <c r="T424" s="152">
        <f t="shared" si="169"/>
        <v>0</v>
      </c>
      <c r="U424" s="152">
        <f t="shared" si="169"/>
        <v>0</v>
      </c>
      <c r="V424" s="152">
        <f t="shared" si="169"/>
        <v>0</v>
      </c>
      <c r="W424" s="152">
        <f t="shared" si="169"/>
        <v>0</v>
      </c>
      <c r="X424" s="152">
        <f t="shared" si="169"/>
        <v>0</v>
      </c>
      <c r="Y424" s="152">
        <f t="shared" si="169"/>
        <v>0</v>
      </c>
      <c r="Z424" s="152">
        <f t="shared" si="169"/>
        <v>0</v>
      </c>
      <c r="AA424" s="152">
        <f t="shared" si="169"/>
        <v>0</v>
      </c>
      <c r="AB424" s="152">
        <f t="shared" si="169"/>
        <v>0</v>
      </c>
      <c r="AC424" s="152">
        <f t="shared" si="169"/>
        <v>0</v>
      </c>
      <c r="AD424" s="152">
        <f t="shared" si="169"/>
        <v>0</v>
      </c>
      <c r="AE424" s="152">
        <f t="shared" si="169"/>
        <v>0</v>
      </c>
      <c r="AF424" s="152">
        <f t="shared" si="169"/>
        <v>0</v>
      </c>
      <c r="AG424" s="152">
        <f t="shared" si="169"/>
        <v>0</v>
      </c>
      <c r="AH424" s="152">
        <f t="shared" si="169"/>
        <v>0</v>
      </c>
      <c r="AI424" s="152">
        <f t="shared" si="169"/>
        <v>0</v>
      </c>
      <c r="AJ424" s="152">
        <f t="shared" si="169"/>
        <v>0</v>
      </c>
      <c r="AK424" s="152">
        <f t="shared" si="169"/>
        <v>0</v>
      </c>
      <c r="AL424" s="152">
        <f t="shared" si="169"/>
        <v>0</v>
      </c>
      <c r="AM424" s="152">
        <f t="shared" si="169"/>
        <v>0</v>
      </c>
      <c r="AN424" s="152">
        <f t="shared" si="169"/>
        <v>0</v>
      </c>
      <c r="AO424" s="152">
        <f t="shared" si="169"/>
        <v>0</v>
      </c>
      <c r="AP424" s="152">
        <f t="shared" si="169"/>
        <v>0</v>
      </c>
    </row>
    <row r="425" spans="1:42" x14ac:dyDescent="0.2">
      <c r="A425" s="4">
        <f t="shared" si="167"/>
        <v>5</v>
      </c>
      <c r="B425" s="175">
        <f t="shared" si="164"/>
        <v>0</v>
      </c>
      <c r="C425" s="152">
        <f t="shared" ref="C425:AP425" si="170">LOOKUP(C413,$B$353:$AP$353,$B$354:$AP$354)/100*$B762</f>
        <v>0</v>
      </c>
      <c r="D425" s="152">
        <f t="shared" si="170"/>
        <v>0</v>
      </c>
      <c r="E425" s="152">
        <f t="shared" si="170"/>
        <v>0</v>
      </c>
      <c r="F425" s="152">
        <f t="shared" si="170"/>
        <v>0</v>
      </c>
      <c r="G425" s="152">
        <f t="shared" si="170"/>
        <v>0</v>
      </c>
      <c r="H425" s="152">
        <f t="shared" si="170"/>
        <v>0</v>
      </c>
      <c r="I425" s="152">
        <f t="shared" si="170"/>
        <v>0</v>
      </c>
      <c r="J425" s="152">
        <f t="shared" si="170"/>
        <v>0</v>
      </c>
      <c r="K425" s="152">
        <f t="shared" si="170"/>
        <v>0</v>
      </c>
      <c r="L425" s="152">
        <f t="shared" si="170"/>
        <v>0</v>
      </c>
      <c r="M425" s="152">
        <f t="shared" si="170"/>
        <v>0</v>
      </c>
      <c r="N425" s="152">
        <f t="shared" si="170"/>
        <v>0</v>
      </c>
      <c r="O425" s="152">
        <f t="shared" si="170"/>
        <v>0</v>
      </c>
      <c r="P425" s="152">
        <f t="shared" si="170"/>
        <v>0</v>
      </c>
      <c r="Q425" s="152">
        <f t="shared" si="170"/>
        <v>0</v>
      </c>
      <c r="R425" s="152">
        <f t="shared" si="170"/>
        <v>0</v>
      </c>
      <c r="S425" s="152">
        <f t="shared" si="170"/>
        <v>0</v>
      </c>
      <c r="T425" s="152">
        <f t="shared" si="170"/>
        <v>0</v>
      </c>
      <c r="U425" s="152">
        <f t="shared" si="170"/>
        <v>0</v>
      </c>
      <c r="V425" s="152">
        <f t="shared" si="170"/>
        <v>0</v>
      </c>
      <c r="W425" s="152">
        <f t="shared" si="170"/>
        <v>0</v>
      </c>
      <c r="X425" s="152">
        <f t="shared" si="170"/>
        <v>0</v>
      </c>
      <c r="Y425" s="152">
        <f t="shared" si="170"/>
        <v>0</v>
      </c>
      <c r="Z425" s="152">
        <f t="shared" si="170"/>
        <v>0</v>
      </c>
      <c r="AA425" s="152">
        <f t="shared" si="170"/>
        <v>0</v>
      </c>
      <c r="AB425" s="152">
        <f t="shared" si="170"/>
        <v>0</v>
      </c>
      <c r="AC425" s="152">
        <f t="shared" si="170"/>
        <v>0</v>
      </c>
      <c r="AD425" s="152">
        <f t="shared" si="170"/>
        <v>0</v>
      </c>
      <c r="AE425" s="152">
        <f t="shared" si="170"/>
        <v>0</v>
      </c>
      <c r="AF425" s="152">
        <f t="shared" si="170"/>
        <v>0</v>
      </c>
      <c r="AG425" s="152">
        <f t="shared" si="170"/>
        <v>0</v>
      </c>
      <c r="AH425" s="152">
        <f t="shared" si="170"/>
        <v>0</v>
      </c>
      <c r="AI425" s="152">
        <f t="shared" si="170"/>
        <v>0</v>
      </c>
      <c r="AJ425" s="152">
        <f t="shared" si="170"/>
        <v>0</v>
      </c>
      <c r="AK425" s="152">
        <f t="shared" si="170"/>
        <v>0</v>
      </c>
      <c r="AL425" s="152">
        <f t="shared" si="170"/>
        <v>0</v>
      </c>
      <c r="AM425" s="152">
        <f t="shared" si="170"/>
        <v>0</v>
      </c>
      <c r="AN425" s="152">
        <f t="shared" si="170"/>
        <v>0</v>
      </c>
      <c r="AO425" s="152">
        <f t="shared" si="170"/>
        <v>0</v>
      </c>
      <c r="AP425" s="152">
        <f t="shared" si="170"/>
        <v>0</v>
      </c>
    </row>
    <row r="426" spans="1:42" x14ac:dyDescent="0.2">
      <c r="A426" s="4">
        <f t="shared" si="167"/>
        <v>6</v>
      </c>
      <c r="B426" s="175">
        <f t="shared" si="164"/>
        <v>0</v>
      </c>
      <c r="C426" s="152">
        <f t="shared" ref="C426:AP426" si="171">LOOKUP(C414,$B$353:$AP$353,$B$354:$AP$354)/100*$B763</f>
        <v>0</v>
      </c>
      <c r="D426" s="152">
        <f t="shared" si="171"/>
        <v>0</v>
      </c>
      <c r="E426" s="152">
        <f t="shared" si="171"/>
        <v>0</v>
      </c>
      <c r="F426" s="152">
        <f t="shared" si="171"/>
        <v>0</v>
      </c>
      <c r="G426" s="152">
        <f t="shared" si="171"/>
        <v>0</v>
      </c>
      <c r="H426" s="152">
        <f t="shared" si="171"/>
        <v>0</v>
      </c>
      <c r="I426" s="152">
        <f t="shared" si="171"/>
        <v>0</v>
      </c>
      <c r="J426" s="152">
        <f t="shared" si="171"/>
        <v>0</v>
      </c>
      <c r="K426" s="152">
        <f t="shared" si="171"/>
        <v>0</v>
      </c>
      <c r="L426" s="152">
        <f t="shared" si="171"/>
        <v>0</v>
      </c>
      <c r="M426" s="152">
        <f t="shared" si="171"/>
        <v>0</v>
      </c>
      <c r="N426" s="152">
        <f t="shared" si="171"/>
        <v>0</v>
      </c>
      <c r="O426" s="152">
        <f t="shared" si="171"/>
        <v>0</v>
      </c>
      <c r="P426" s="152">
        <f t="shared" si="171"/>
        <v>0</v>
      </c>
      <c r="Q426" s="152">
        <f t="shared" si="171"/>
        <v>0</v>
      </c>
      <c r="R426" s="152">
        <f t="shared" si="171"/>
        <v>0</v>
      </c>
      <c r="S426" s="152">
        <f t="shared" si="171"/>
        <v>0</v>
      </c>
      <c r="T426" s="152">
        <f t="shared" si="171"/>
        <v>0</v>
      </c>
      <c r="U426" s="152">
        <f t="shared" si="171"/>
        <v>0</v>
      </c>
      <c r="V426" s="152">
        <f t="shared" si="171"/>
        <v>0</v>
      </c>
      <c r="W426" s="152">
        <f t="shared" si="171"/>
        <v>0</v>
      </c>
      <c r="X426" s="152">
        <f t="shared" si="171"/>
        <v>0</v>
      </c>
      <c r="Y426" s="152">
        <f t="shared" si="171"/>
        <v>0</v>
      </c>
      <c r="Z426" s="152">
        <f t="shared" si="171"/>
        <v>0</v>
      </c>
      <c r="AA426" s="152">
        <f t="shared" si="171"/>
        <v>0</v>
      </c>
      <c r="AB426" s="152">
        <f t="shared" si="171"/>
        <v>0</v>
      </c>
      <c r="AC426" s="152">
        <f t="shared" si="171"/>
        <v>0</v>
      </c>
      <c r="AD426" s="152">
        <f t="shared" si="171"/>
        <v>0</v>
      </c>
      <c r="AE426" s="152">
        <f t="shared" si="171"/>
        <v>0</v>
      </c>
      <c r="AF426" s="152">
        <f t="shared" si="171"/>
        <v>0</v>
      </c>
      <c r="AG426" s="152">
        <f t="shared" si="171"/>
        <v>0</v>
      </c>
      <c r="AH426" s="152">
        <f t="shared" si="171"/>
        <v>0</v>
      </c>
      <c r="AI426" s="152">
        <f t="shared" si="171"/>
        <v>0</v>
      </c>
      <c r="AJ426" s="152">
        <f t="shared" si="171"/>
        <v>0</v>
      </c>
      <c r="AK426" s="152">
        <f t="shared" si="171"/>
        <v>0</v>
      </c>
      <c r="AL426" s="152">
        <f t="shared" si="171"/>
        <v>0</v>
      </c>
      <c r="AM426" s="152">
        <f t="shared" si="171"/>
        <v>0</v>
      </c>
      <c r="AN426" s="152">
        <f t="shared" si="171"/>
        <v>0</v>
      </c>
      <c r="AO426" s="152">
        <f t="shared" si="171"/>
        <v>0</v>
      </c>
      <c r="AP426" s="152">
        <f t="shared" si="171"/>
        <v>0</v>
      </c>
    </row>
    <row r="427" spans="1:42" x14ac:dyDescent="0.2">
      <c r="A427" s="4">
        <f t="shared" si="167"/>
        <v>7</v>
      </c>
      <c r="B427" s="175">
        <f t="shared" si="164"/>
        <v>0</v>
      </c>
      <c r="C427" s="152">
        <f t="shared" ref="C427:AP427" si="172">LOOKUP(C415,$B$353:$AP$353,$B$354:$AP$354)/100*$B764</f>
        <v>0</v>
      </c>
      <c r="D427" s="152">
        <f t="shared" si="172"/>
        <v>0</v>
      </c>
      <c r="E427" s="152">
        <f t="shared" si="172"/>
        <v>0</v>
      </c>
      <c r="F427" s="152">
        <f t="shared" si="172"/>
        <v>0</v>
      </c>
      <c r="G427" s="152">
        <f t="shared" si="172"/>
        <v>0</v>
      </c>
      <c r="H427" s="152">
        <f t="shared" si="172"/>
        <v>0</v>
      </c>
      <c r="I427" s="152">
        <f t="shared" si="172"/>
        <v>0</v>
      </c>
      <c r="J427" s="152">
        <f t="shared" si="172"/>
        <v>0</v>
      </c>
      <c r="K427" s="152">
        <f t="shared" si="172"/>
        <v>0</v>
      </c>
      <c r="L427" s="152">
        <f t="shared" si="172"/>
        <v>0</v>
      </c>
      <c r="M427" s="152">
        <f t="shared" si="172"/>
        <v>0</v>
      </c>
      <c r="N427" s="152">
        <f t="shared" si="172"/>
        <v>0</v>
      </c>
      <c r="O427" s="152">
        <f t="shared" si="172"/>
        <v>0</v>
      </c>
      <c r="P427" s="152">
        <f t="shared" si="172"/>
        <v>0</v>
      </c>
      <c r="Q427" s="152">
        <f t="shared" si="172"/>
        <v>0</v>
      </c>
      <c r="R427" s="152">
        <f t="shared" si="172"/>
        <v>0</v>
      </c>
      <c r="S427" s="152">
        <f t="shared" si="172"/>
        <v>0</v>
      </c>
      <c r="T427" s="152">
        <f t="shared" si="172"/>
        <v>0</v>
      </c>
      <c r="U427" s="152">
        <f t="shared" si="172"/>
        <v>0</v>
      </c>
      <c r="V427" s="152">
        <f t="shared" si="172"/>
        <v>0</v>
      </c>
      <c r="W427" s="152">
        <f t="shared" si="172"/>
        <v>0</v>
      </c>
      <c r="X427" s="152">
        <f t="shared" si="172"/>
        <v>0</v>
      </c>
      <c r="Y427" s="152">
        <f t="shared" si="172"/>
        <v>0</v>
      </c>
      <c r="Z427" s="152">
        <f t="shared" si="172"/>
        <v>0</v>
      </c>
      <c r="AA427" s="152">
        <f t="shared" si="172"/>
        <v>0</v>
      </c>
      <c r="AB427" s="152">
        <f t="shared" si="172"/>
        <v>0</v>
      </c>
      <c r="AC427" s="152">
        <f t="shared" si="172"/>
        <v>0</v>
      </c>
      <c r="AD427" s="152">
        <f t="shared" si="172"/>
        <v>0</v>
      </c>
      <c r="AE427" s="152">
        <f t="shared" si="172"/>
        <v>0</v>
      </c>
      <c r="AF427" s="152">
        <f t="shared" si="172"/>
        <v>0</v>
      </c>
      <c r="AG427" s="152">
        <f t="shared" si="172"/>
        <v>0</v>
      </c>
      <c r="AH427" s="152">
        <f t="shared" si="172"/>
        <v>0</v>
      </c>
      <c r="AI427" s="152">
        <f t="shared" si="172"/>
        <v>0</v>
      </c>
      <c r="AJ427" s="152">
        <f t="shared" si="172"/>
        <v>0</v>
      </c>
      <c r="AK427" s="152">
        <f t="shared" si="172"/>
        <v>0</v>
      </c>
      <c r="AL427" s="152">
        <f t="shared" si="172"/>
        <v>0</v>
      </c>
      <c r="AM427" s="152">
        <f t="shared" si="172"/>
        <v>0</v>
      </c>
      <c r="AN427" s="152">
        <f t="shared" si="172"/>
        <v>0</v>
      </c>
      <c r="AO427" s="152">
        <f t="shared" si="172"/>
        <v>0</v>
      </c>
      <c r="AP427" s="152">
        <f t="shared" si="172"/>
        <v>0</v>
      </c>
    </row>
    <row r="428" spans="1:42" x14ac:dyDescent="0.2">
      <c r="A428" s="4">
        <f t="shared" si="167"/>
        <v>8</v>
      </c>
      <c r="B428" s="175">
        <f t="shared" si="164"/>
        <v>0</v>
      </c>
      <c r="C428" s="152">
        <f t="shared" ref="C428:AP428" si="173">LOOKUP(C416,$B$353:$AP$353,$B$354:$AP$354)/100*$B765</f>
        <v>0</v>
      </c>
      <c r="D428" s="152">
        <f t="shared" si="173"/>
        <v>0</v>
      </c>
      <c r="E428" s="152">
        <f t="shared" si="173"/>
        <v>0</v>
      </c>
      <c r="F428" s="152">
        <f t="shared" si="173"/>
        <v>0</v>
      </c>
      <c r="G428" s="152">
        <f t="shared" si="173"/>
        <v>0</v>
      </c>
      <c r="H428" s="152">
        <f t="shared" si="173"/>
        <v>0</v>
      </c>
      <c r="I428" s="152">
        <f t="shared" si="173"/>
        <v>0</v>
      </c>
      <c r="J428" s="152">
        <f t="shared" si="173"/>
        <v>0</v>
      </c>
      <c r="K428" s="152">
        <f t="shared" si="173"/>
        <v>0</v>
      </c>
      <c r="L428" s="152">
        <f t="shared" si="173"/>
        <v>0</v>
      </c>
      <c r="M428" s="152">
        <f t="shared" si="173"/>
        <v>0</v>
      </c>
      <c r="N428" s="152">
        <f t="shared" si="173"/>
        <v>0</v>
      </c>
      <c r="O428" s="152">
        <f t="shared" si="173"/>
        <v>0</v>
      </c>
      <c r="P428" s="152">
        <f t="shared" si="173"/>
        <v>0</v>
      </c>
      <c r="Q428" s="152">
        <f t="shared" si="173"/>
        <v>0</v>
      </c>
      <c r="R428" s="152">
        <f t="shared" si="173"/>
        <v>0</v>
      </c>
      <c r="S428" s="152">
        <f t="shared" si="173"/>
        <v>0</v>
      </c>
      <c r="T428" s="152">
        <f t="shared" si="173"/>
        <v>0</v>
      </c>
      <c r="U428" s="152">
        <f t="shared" si="173"/>
        <v>0</v>
      </c>
      <c r="V428" s="152">
        <f t="shared" si="173"/>
        <v>0</v>
      </c>
      <c r="W428" s="152">
        <f t="shared" si="173"/>
        <v>0</v>
      </c>
      <c r="X428" s="152">
        <f t="shared" si="173"/>
        <v>0</v>
      </c>
      <c r="Y428" s="152">
        <f t="shared" si="173"/>
        <v>0</v>
      </c>
      <c r="Z428" s="152">
        <f t="shared" si="173"/>
        <v>0</v>
      </c>
      <c r="AA428" s="152">
        <f t="shared" si="173"/>
        <v>0</v>
      </c>
      <c r="AB428" s="152">
        <f t="shared" si="173"/>
        <v>0</v>
      </c>
      <c r="AC428" s="152">
        <f t="shared" si="173"/>
        <v>0</v>
      </c>
      <c r="AD428" s="152">
        <f t="shared" si="173"/>
        <v>0</v>
      </c>
      <c r="AE428" s="152">
        <f t="shared" si="173"/>
        <v>0</v>
      </c>
      <c r="AF428" s="152">
        <f t="shared" si="173"/>
        <v>0</v>
      </c>
      <c r="AG428" s="152">
        <f t="shared" si="173"/>
        <v>0</v>
      </c>
      <c r="AH428" s="152">
        <f t="shared" si="173"/>
        <v>0</v>
      </c>
      <c r="AI428" s="152">
        <f t="shared" si="173"/>
        <v>0</v>
      </c>
      <c r="AJ428" s="152">
        <f t="shared" si="173"/>
        <v>0</v>
      </c>
      <c r="AK428" s="152">
        <f t="shared" si="173"/>
        <v>0</v>
      </c>
      <c r="AL428" s="152">
        <f t="shared" si="173"/>
        <v>0</v>
      </c>
      <c r="AM428" s="152">
        <f t="shared" si="173"/>
        <v>0</v>
      </c>
      <c r="AN428" s="152">
        <f t="shared" si="173"/>
        <v>0</v>
      </c>
      <c r="AO428" s="152">
        <f t="shared" si="173"/>
        <v>0</v>
      </c>
      <c r="AP428" s="152">
        <f t="shared" si="173"/>
        <v>0</v>
      </c>
    </row>
    <row r="429" spans="1:42" x14ac:dyDescent="0.2">
      <c r="A429" s="4">
        <f>A428+1</f>
        <v>9</v>
      </c>
      <c r="B429" s="175">
        <f t="shared" si="164"/>
        <v>0</v>
      </c>
      <c r="C429" s="152">
        <f t="shared" ref="C429:AP429" si="174">LOOKUP(C417,$B$353:$AP$353,$B$354:$AP$354)/100*$B766</f>
        <v>0</v>
      </c>
      <c r="D429" s="152">
        <f t="shared" si="174"/>
        <v>0</v>
      </c>
      <c r="E429" s="152">
        <f t="shared" si="174"/>
        <v>0</v>
      </c>
      <c r="F429" s="152">
        <f t="shared" si="174"/>
        <v>0</v>
      </c>
      <c r="G429" s="152">
        <f t="shared" si="174"/>
        <v>0</v>
      </c>
      <c r="H429" s="152">
        <f t="shared" si="174"/>
        <v>0</v>
      </c>
      <c r="I429" s="152">
        <f t="shared" si="174"/>
        <v>0</v>
      </c>
      <c r="J429" s="152">
        <f t="shared" si="174"/>
        <v>0</v>
      </c>
      <c r="K429" s="152">
        <f t="shared" si="174"/>
        <v>0</v>
      </c>
      <c r="L429" s="152">
        <f t="shared" si="174"/>
        <v>0</v>
      </c>
      <c r="M429" s="152">
        <f t="shared" si="174"/>
        <v>0</v>
      </c>
      <c r="N429" s="152">
        <f t="shared" si="174"/>
        <v>0</v>
      </c>
      <c r="O429" s="152">
        <f t="shared" si="174"/>
        <v>0</v>
      </c>
      <c r="P429" s="152">
        <f t="shared" si="174"/>
        <v>0</v>
      </c>
      <c r="Q429" s="152">
        <f t="shared" si="174"/>
        <v>0</v>
      </c>
      <c r="R429" s="152">
        <f t="shared" si="174"/>
        <v>0</v>
      </c>
      <c r="S429" s="152">
        <f t="shared" si="174"/>
        <v>0</v>
      </c>
      <c r="T429" s="152">
        <f t="shared" si="174"/>
        <v>0</v>
      </c>
      <c r="U429" s="152">
        <f t="shared" si="174"/>
        <v>0</v>
      </c>
      <c r="V429" s="152">
        <f t="shared" si="174"/>
        <v>0</v>
      </c>
      <c r="W429" s="152">
        <f t="shared" si="174"/>
        <v>0</v>
      </c>
      <c r="X429" s="152">
        <f t="shared" si="174"/>
        <v>0</v>
      </c>
      <c r="Y429" s="152">
        <f t="shared" si="174"/>
        <v>0</v>
      </c>
      <c r="Z429" s="152">
        <f t="shared" si="174"/>
        <v>0</v>
      </c>
      <c r="AA429" s="152">
        <f t="shared" si="174"/>
        <v>0</v>
      </c>
      <c r="AB429" s="152">
        <f t="shared" si="174"/>
        <v>0</v>
      </c>
      <c r="AC429" s="152">
        <f t="shared" si="174"/>
        <v>0</v>
      </c>
      <c r="AD429" s="152">
        <f t="shared" si="174"/>
        <v>0</v>
      </c>
      <c r="AE429" s="152">
        <f t="shared" si="174"/>
        <v>0</v>
      </c>
      <c r="AF429" s="152">
        <f t="shared" si="174"/>
        <v>0</v>
      </c>
      <c r="AG429" s="152">
        <f t="shared" si="174"/>
        <v>0</v>
      </c>
      <c r="AH429" s="152">
        <f t="shared" si="174"/>
        <v>0</v>
      </c>
      <c r="AI429" s="152">
        <f t="shared" si="174"/>
        <v>0</v>
      </c>
      <c r="AJ429" s="152">
        <f t="shared" si="174"/>
        <v>0</v>
      </c>
      <c r="AK429" s="152">
        <f t="shared" si="174"/>
        <v>0</v>
      </c>
      <c r="AL429" s="152">
        <f t="shared" si="174"/>
        <v>0</v>
      </c>
      <c r="AM429" s="152">
        <f t="shared" si="174"/>
        <v>0</v>
      </c>
      <c r="AN429" s="152">
        <f t="shared" si="174"/>
        <v>0</v>
      </c>
      <c r="AO429" s="152">
        <f t="shared" si="174"/>
        <v>0</v>
      </c>
      <c r="AP429" s="152">
        <f t="shared" si="174"/>
        <v>0</v>
      </c>
    </row>
    <row r="430" spans="1:42" x14ac:dyDescent="0.2">
      <c r="A430" s="4">
        <f t="shared" si="167"/>
        <v>10</v>
      </c>
      <c r="B430" s="175">
        <f t="shared" si="164"/>
        <v>0</v>
      </c>
      <c r="C430" s="153">
        <f t="shared" ref="C430:AP430" si="175">LOOKUP(C418,$B$353:$AP$353,$B$354:$AP$354)/100*$B767</f>
        <v>0</v>
      </c>
      <c r="D430" s="153">
        <f t="shared" si="175"/>
        <v>0</v>
      </c>
      <c r="E430" s="153">
        <f t="shared" si="175"/>
        <v>0</v>
      </c>
      <c r="F430" s="153">
        <f t="shared" si="175"/>
        <v>0</v>
      </c>
      <c r="G430" s="153">
        <f t="shared" si="175"/>
        <v>0</v>
      </c>
      <c r="H430" s="153">
        <f t="shared" si="175"/>
        <v>0</v>
      </c>
      <c r="I430" s="153">
        <f t="shared" si="175"/>
        <v>0</v>
      </c>
      <c r="J430" s="153">
        <f t="shared" si="175"/>
        <v>0</v>
      </c>
      <c r="K430" s="153">
        <f t="shared" si="175"/>
        <v>0</v>
      </c>
      <c r="L430" s="153">
        <f t="shared" si="175"/>
        <v>0</v>
      </c>
      <c r="M430" s="153">
        <f t="shared" si="175"/>
        <v>0</v>
      </c>
      <c r="N430" s="153">
        <f t="shared" si="175"/>
        <v>0</v>
      </c>
      <c r="O430" s="153">
        <f t="shared" si="175"/>
        <v>0</v>
      </c>
      <c r="P430" s="153">
        <f t="shared" si="175"/>
        <v>0</v>
      </c>
      <c r="Q430" s="153">
        <f t="shared" si="175"/>
        <v>0</v>
      </c>
      <c r="R430" s="153">
        <f t="shared" si="175"/>
        <v>0</v>
      </c>
      <c r="S430" s="153">
        <f t="shared" si="175"/>
        <v>0</v>
      </c>
      <c r="T430" s="153">
        <f t="shared" si="175"/>
        <v>0</v>
      </c>
      <c r="U430" s="153">
        <f t="shared" si="175"/>
        <v>0</v>
      </c>
      <c r="V430" s="153">
        <f t="shared" si="175"/>
        <v>0</v>
      </c>
      <c r="W430" s="153">
        <f t="shared" si="175"/>
        <v>0</v>
      </c>
      <c r="X430" s="153">
        <f t="shared" si="175"/>
        <v>0</v>
      </c>
      <c r="Y430" s="153">
        <f t="shared" si="175"/>
        <v>0</v>
      </c>
      <c r="Z430" s="153">
        <f t="shared" si="175"/>
        <v>0</v>
      </c>
      <c r="AA430" s="153">
        <f t="shared" si="175"/>
        <v>0</v>
      </c>
      <c r="AB430" s="153">
        <f t="shared" si="175"/>
        <v>0</v>
      </c>
      <c r="AC430" s="153">
        <f t="shared" si="175"/>
        <v>0</v>
      </c>
      <c r="AD430" s="153">
        <f t="shared" si="175"/>
        <v>0</v>
      </c>
      <c r="AE430" s="153">
        <f t="shared" si="175"/>
        <v>0</v>
      </c>
      <c r="AF430" s="153">
        <f t="shared" si="175"/>
        <v>0</v>
      </c>
      <c r="AG430" s="153">
        <f t="shared" si="175"/>
        <v>0</v>
      </c>
      <c r="AH430" s="153">
        <f t="shared" si="175"/>
        <v>0</v>
      </c>
      <c r="AI430" s="153">
        <f t="shared" si="175"/>
        <v>0</v>
      </c>
      <c r="AJ430" s="153">
        <f t="shared" si="175"/>
        <v>0</v>
      </c>
      <c r="AK430" s="153">
        <f t="shared" si="175"/>
        <v>0</v>
      </c>
      <c r="AL430" s="153">
        <f t="shared" si="175"/>
        <v>0</v>
      </c>
      <c r="AM430" s="153">
        <f t="shared" si="175"/>
        <v>0</v>
      </c>
      <c r="AN430" s="153">
        <f t="shared" si="175"/>
        <v>0</v>
      </c>
      <c r="AO430" s="153">
        <f t="shared" si="175"/>
        <v>0</v>
      </c>
      <c r="AP430" s="153">
        <f t="shared" si="175"/>
        <v>0</v>
      </c>
    </row>
    <row r="431" spans="1:42" ht="12" customHeight="1" x14ac:dyDescent="0.2">
      <c r="A431" s="24" t="s">
        <v>13</v>
      </c>
      <c r="B431" s="14"/>
      <c r="C431" s="152">
        <f>SUM(C421:C430)</f>
        <v>0</v>
      </c>
      <c r="D431" s="152">
        <f t="shared" ref="D431:AP431" si="176">SUM(D421:D430)</f>
        <v>0</v>
      </c>
      <c r="E431" s="152">
        <f t="shared" si="176"/>
        <v>0</v>
      </c>
      <c r="F431" s="152">
        <f t="shared" si="176"/>
        <v>0</v>
      </c>
      <c r="G431" s="152">
        <f t="shared" si="176"/>
        <v>0</v>
      </c>
      <c r="H431" s="152">
        <f t="shared" si="176"/>
        <v>0</v>
      </c>
      <c r="I431" s="152">
        <f t="shared" si="176"/>
        <v>0</v>
      </c>
      <c r="J431" s="152">
        <f t="shared" si="176"/>
        <v>0</v>
      </c>
      <c r="K431" s="152">
        <f t="shared" si="176"/>
        <v>0</v>
      </c>
      <c r="L431" s="152">
        <f t="shared" si="176"/>
        <v>0</v>
      </c>
      <c r="M431" s="152">
        <f t="shared" si="176"/>
        <v>0</v>
      </c>
      <c r="N431" s="152">
        <f t="shared" si="176"/>
        <v>0</v>
      </c>
      <c r="O431" s="152">
        <f t="shared" si="176"/>
        <v>0</v>
      </c>
      <c r="P431" s="152">
        <f t="shared" si="176"/>
        <v>0</v>
      </c>
      <c r="Q431" s="152">
        <f t="shared" si="176"/>
        <v>0</v>
      </c>
      <c r="R431" s="152">
        <f t="shared" si="176"/>
        <v>0</v>
      </c>
      <c r="S431" s="152">
        <f t="shared" si="176"/>
        <v>0</v>
      </c>
      <c r="T431" s="152">
        <f t="shared" si="176"/>
        <v>0</v>
      </c>
      <c r="U431" s="152">
        <f t="shared" si="176"/>
        <v>0</v>
      </c>
      <c r="V431" s="152">
        <f t="shared" si="176"/>
        <v>0</v>
      </c>
      <c r="W431" s="152">
        <f t="shared" si="176"/>
        <v>0</v>
      </c>
      <c r="X431" s="152">
        <f t="shared" si="176"/>
        <v>0</v>
      </c>
      <c r="Y431" s="152">
        <f t="shared" si="176"/>
        <v>0</v>
      </c>
      <c r="Z431" s="152">
        <f t="shared" si="176"/>
        <v>0</v>
      </c>
      <c r="AA431" s="152">
        <f t="shared" si="176"/>
        <v>0</v>
      </c>
      <c r="AB431" s="152">
        <f t="shared" si="176"/>
        <v>0</v>
      </c>
      <c r="AC431" s="152">
        <f t="shared" si="176"/>
        <v>0</v>
      </c>
      <c r="AD431" s="152">
        <f t="shared" si="176"/>
        <v>0</v>
      </c>
      <c r="AE431" s="152">
        <f t="shared" si="176"/>
        <v>0</v>
      </c>
      <c r="AF431" s="152">
        <f t="shared" si="176"/>
        <v>0</v>
      </c>
      <c r="AG431" s="152">
        <f t="shared" si="176"/>
        <v>0</v>
      </c>
      <c r="AH431" s="152">
        <f t="shared" si="176"/>
        <v>0</v>
      </c>
      <c r="AI431" s="152">
        <f t="shared" si="176"/>
        <v>0</v>
      </c>
      <c r="AJ431" s="152">
        <f t="shared" si="176"/>
        <v>0</v>
      </c>
      <c r="AK431" s="152">
        <f t="shared" si="176"/>
        <v>0</v>
      </c>
      <c r="AL431" s="152">
        <f t="shared" si="176"/>
        <v>0</v>
      </c>
      <c r="AM431" s="152">
        <f t="shared" si="176"/>
        <v>0</v>
      </c>
      <c r="AN431" s="152">
        <f t="shared" si="176"/>
        <v>0</v>
      </c>
      <c r="AO431" s="152">
        <f t="shared" si="176"/>
        <v>0</v>
      </c>
      <c r="AP431" s="152">
        <f t="shared" si="176"/>
        <v>0</v>
      </c>
    </row>
    <row r="432" spans="1:42" x14ac:dyDescent="0.2">
      <c r="A432" s="21"/>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row>
    <row r="433" spans="1:17" x14ac:dyDescent="0.2">
      <c r="A433" s="19" t="s">
        <v>481</v>
      </c>
    </row>
    <row r="434" spans="1:17" ht="15" customHeight="1" x14ac:dyDescent="0.2">
      <c r="A434" s="276" t="s">
        <v>482</v>
      </c>
      <c r="B434" s="338" t="s">
        <v>455</v>
      </c>
      <c r="C434" s="340"/>
      <c r="D434" s="343" t="s">
        <v>456</v>
      </c>
      <c r="E434" s="344"/>
      <c r="F434" s="345"/>
      <c r="G434" s="343" t="s">
        <v>457</v>
      </c>
      <c r="H434" s="344"/>
      <c r="I434" s="344"/>
      <c r="J434" s="345"/>
      <c r="K434" s="346" t="s">
        <v>458</v>
      </c>
      <c r="L434" s="347"/>
      <c r="M434" s="338" t="s">
        <v>459</v>
      </c>
      <c r="N434" s="339"/>
      <c r="O434" s="340"/>
      <c r="P434" s="329" t="s">
        <v>460</v>
      </c>
      <c r="Q434" s="341" t="s">
        <v>482</v>
      </c>
    </row>
    <row r="435" spans="1:17" ht="51" x14ac:dyDescent="0.2">
      <c r="A435" s="35" t="s">
        <v>483</v>
      </c>
      <c r="B435" s="226" t="s">
        <v>486</v>
      </c>
      <c r="C435" s="330" t="s">
        <v>462</v>
      </c>
      <c r="D435" s="331" t="s">
        <v>463</v>
      </c>
      <c r="E435" s="332" t="s">
        <v>464</v>
      </c>
      <c r="F435" s="334" t="s">
        <v>465</v>
      </c>
      <c r="G435" s="330" t="s">
        <v>54</v>
      </c>
      <c r="H435" s="330" t="s">
        <v>55</v>
      </c>
      <c r="I435" s="330" t="s">
        <v>466</v>
      </c>
      <c r="J435" s="330" t="s">
        <v>484</v>
      </c>
      <c r="K435" s="226" t="s">
        <v>56</v>
      </c>
      <c r="L435" s="330" t="s">
        <v>485</v>
      </c>
      <c r="M435" s="226" t="s">
        <v>469</v>
      </c>
      <c r="N435" s="330" t="s">
        <v>470</v>
      </c>
      <c r="O435" s="333" t="s">
        <v>471</v>
      </c>
      <c r="P435" s="211" t="s">
        <v>472</v>
      </c>
      <c r="Q435" s="342"/>
    </row>
    <row r="436" spans="1:17" x14ac:dyDescent="0.2">
      <c r="A436" s="21" t="str">
        <f t="shared" ref="A436:A441" si="177">A298</f>
        <v>5-yr MACRS</v>
      </c>
      <c r="B436" s="207">
        <f>IF(Inputs!$C$158=0,0,depr_alloc_macrs_5_percent*100/Inputs!$C$158)</f>
        <v>0</v>
      </c>
      <c r="C436" s="115">
        <f>$B$292*depr_alloc_macrs_5_percent/100</f>
        <v>0</v>
      </c>
      <c r="D436" s="118">
        <f>$B436/100*($B$454+$B$460)</f>
        <v>0</v>
      </c>
      <c r="E436" s="121">
        <f>$B436/100*$B$466</f>
        <v>0</v>
      </c>
      <c r="F436" s="122">
        <f>C436-D436-E436</f>
        <v>0</v>
      </c>
      <c r="G436" s="121">
        <f>IF(depr_itc_fed_macrs_5="Yes",F436,0)</f>
        <v>0</v>
      </c>
      <c r="H436" s="128">
        <f t="shared" ref="H436:H442" si="178">IF($G$443=0,0,G436/$G$443)*100</f>
        <v>0</v>
      </c>
      <c r="I436" s="121">
        <f t="shared" ref="I436:I442" si="179">$I$443*H436/100</f>
        <v>0</v>
      </c>
      <c r="J436" s="122">
        <f>I436*0.5</f>
        <v>0</v>
      </c>
      <c r="K436" s="117">
        <f t="shared" ref="K436:K442" si="180">H436/100*$K$443</f>
        <v>0</v>
      </c>
      <c r="L436" s="117">
        <f>K436*0.5</f>
        <v>0</v>
      </c>
      <c r="M436" s="115">
        <f t="shared" ref="M436:M442" si="181">IF(itc_sta_amount_deprbas_fed="Yes",L298,0)+IF(itc_sta_percent_deprbas_fed="Yes",J298,0)</f>
        <v>0</v>
      </c>
      <c r="N436" s="115">
        <f t="shared" ref="N436:N442" si="182">IF(itc_fed_amount_deprbas_fed="Yes",L436,0)+IF(itc_fed_percent_deprbas_fed="Yes",J436,0)</f>
        <v>0</v>
      </c>
      <c r="O436" s="123">
        <f t="shared" ref="O436:O440" si="183">F436-M436-N436</f>
        <v>0</v>
      </c>
      <c r="P436" s="115">
        <f>IF(depr_bonus_fed_macrs_5="Yes",O436*depr_bonus_fed/100,0)</f>
        <v>0</v>
      </c>
      <c r="Q436" s="117">
        <f>O436-P436</f>
        <v>0</v>
      </c>
    </row>
    <row r="437" spans="1:17" x14ac:dyDescent="0.2">
      <c r="A437" s="21" t="str">
        <f t="shared" si="177"/>
        <v>15-yr MACRS</v>
      </c>
      <c r="B437" s="207">
        <f>IF(Inputs!$C$158=0,0,depr_alloc_macrs_15_percent*100/Inputs!$C$158)</f>
        <v>0</v>
      </c>
      <c r="C437" s="115">
        <f>$B$292*depr_alloc_macrs_15_percent/100</f>
        <v>0</v>
      </c>
      <c r="D437" s="119">
        <f t="shared" ref="D437:D442" si="184">$B437/100*($B$454+$B$460)</f>
        <v>0</v>
      </c>
      <c r="E437" s="115">
        <f t="shared" ref="E437:E442" si="185">$B437/100*$B$466</f>
        <v>0</v>
      </c>
      <c r="F437" s="124">
        <f t="shared" ref="F437:F440" si="186">C437-D437-E437</f>
        <v>0</v>
      </c>
      <c r="G437" s="115">
        <f>IF(depr_itc_fed_macrs_15="Yes",F437,0)</f>
        <v>0</v>
      </c>
      <c r="H437" s="129">
        <f t="shared" si="178"/>
        <v>0</v>
      </c>
      <c r="I437" s="115">
        <f t="shared" si="179"/>
        <v>0</v>
      </c>
      <c r="J437" s="124">
        <f t="shared" ref="J437:J442" si="187">I437*0.5</f>
        <v>0</v>
      </c>
      <c r="K437" s="117">
        <f t="shared" si="180"/>
        <v>0</v>
      </c>
      <c r="L437" s="117">
        <f t="shared" ref="L437:L442" si="188">K437*0.5</f>
        <v>0</v>
      </c>
      <c r="M437" s="115">
        <f t="shared" si="181"/>
        <v>0</v>
      </c>
      <c r="N437" s="115">
        <f t="shared" si="182"/>
        <v>0</v>
      </c>
      <c r="O437" s="117">
        <f t="shared" si="183"/>
        <v>0</v>
      </c>
      <c r="P437" s="115">
        <f>IF(depr_bonus_fed_macrs_15="Yes",O437*depr_bonus_fed/100,0)</f>
        <v>0</v>
      </c>
      <c r="Q437" s="117">
        <f t="shared" ref="Q437:Q440" si="189">O437-P437</f>
        <v>0</v>
      </c>
    </row>
    <row r="438" spans="1:17" x14ac:dyDescent="0.2">
      <c r="A438" s="21" t="str">
        <f t="shared" si="177"/>
        <v>5-yr SL</v>
      </c>
      <c r="B438" s="207">
        <f>IF(Inputs!$C$158=0,0,depr_alloc_sl_5_percent*100/Inputs!$C$158)</f>
        <v>0</v>
      </c>
      <c r="C438" s="115">
        <f>$B$292*depr_alloc_sl_5_percent/100</f>
        <v>0</v>
      </c>
      <c r="D438" s="119">
        <f t="shared" si="184"/>
        <v>0</v>
      </c>
      <c r="E438" s="115">
        <f t="shared" si="185"/>
        <v>0</v>
      </c>
      <c r="F438" s="124">
        <f t="shared" si="186"/>
        <v>0</v>
      </c>
      <c r="G438" s="115">
        <f>IF(depr_itc_fed_sl_5="Yes",F438,0)</f>
        <v>0</v>
      </c>
      <c r="H438" s="129">
        <f t="shared" si="178"/>
        <v>0</v>
      </c>
      <c r="I438" s="115">
        <f t="shared" si="179"/>
        <v>0</v>
      </c>
      <c r="J438" s="124">
        <f t="shared" si="187"/>
        <v>0</v>
      </c>
      <c r="K438" s="117">
        <f t="shared" si="180"/>
        <v>0</v>
      </c>
      <c r="L438" s="117">
        <f t="shared" si="188"/>
        <v>0</v>
      </c>
      <c r="M438" s="115">
        <f t="shared" si="181"/>
        <v>0</v>
      </c>
      <c r="N438" s="115">
        <f t="shared" si="182"/>
        <v>0</v>
      </c>
      <c r="O438" s="117">
        <f t="shared" si="183"/>
        <v>0</v>
      </c>
      <c r="P438" s="115">
        <f>IF(depr_bonus_fed_sl_5="Yes",O438*depr_bonus_fed/100,0)</f>
        <v>0</v>
      </c>
      <c r="Q438" s="117">
        <f t="shared" si="189"/>
        <v>0</v>
      </c>
    </row>
    <row r="439" spans="1:17" x14ac:dyDescent="0.2">
      <c r="A439" s="21" t="str">
        <f t="shared" si="177"/>
        <v>15-yr SL</v>
      </c>
      <c r="B439" s="207">
        <f>IF(Inputs!$C$158=0,0,depr_alloc_sl_15_percent*100/Inputs!$C$158)</f>
        <v>0</v>
      </c>
      <c r="C439" s="115">
        <f>$B$292*depr_alloc_sl_15_percent/100</f>
        <v>0</v>
      </c>
      <c r="D439" s="119">
        <f t="shared" si="184"/>
        <v>0</v>
      </c>
      <c r="E439" s="115">
        <f t="shared" si="185"/>
        <v>0</v>
      </c>
      <c r="F439" s="124">
        <f t="shared" si="186"/>
        <v>0</v>
      </c>
      <c r="G439" s="115">
        <f>IF(depr_itc_fed_sl_15="Yes",F439,0)</f>
        <v>0</v>
      </c>
      <c r="H439" s="129">
        <f t="shared" si="178"/>
        <v>0</v>
      </c>
      <c r="I439" s="115">
        <f t="shared" si="179"/>
        <v>0</v>
      </c>
      <c r="J439" s="124">
        <f t="shared" si="187"/>
        <v>0</v>
      </c>
      <c r="K439" s="117">
        <f t="shared" si="180"/>
        <v>0</v>
      </c>
      <c r="L439" s="117">
        <f t="shared" si="188"/>
        <v>0</v>
      </c>
      <c r="M439" s="115">
        <f t="shared" si="181"/>
        <v>0</v>
      </c>
      <c r="N439" s="115">
        <f t="shared" si="182"/>
        <v>0</v>
      </c>
      <c r="O439" s="117">
        <f t="shared" si="183"/>
        <v>0</v>
      </c>
      <c r="P439" s="115">
        <f>IF(depr_bonus_fed_sl_15="Yes",O439*depr_bonus_fed/100,0)</f>
        <v>0</v>
      </c>
      <c r="Q439" s="117">
        <f t="shared" si="189"/>
        <v>0</v>
      </c>
    </row>
    <row r="440" spans="1:17" x14ac:dyDescent="0.2">
      <c r="A440" s="21" t="str">
        <f t="shared" si="177"/>
        <v>20-yr SL</v>
      </c>
      <c r="B440" s="207">
        <f>IF(Inputs!$C$158=0,0,depr_alloc_sl_20_percent*100/Inputs!$C$158)</f>
        <v>0</v>
      </c>
      <c r="C440" s="115">
        <f>$B$292*depr_alloc_sl_20_percent/100</f>
        <v>0</v>
      </c>
      <c r="D440" s="119">
        <f t="shared" si="184"/>
        <v>0</v>
      </c>
      <c r="E440" s="115">
        <f t="shared" si="185"/>
        <v>0</v>
      </c>
      <c r="F440" s="124">
        <f t="shared" si="186"/>
        <v>0</v>
      </c>
      <c r="G440" s="115">
        <f>IF(depr_itc_fed_sl_20="Yes",F440,0)</f>
        <v>0</v>
      </c>
      <c r="H440" s="129">
        <f t="shared" si="178"/>
        <v>0</v>
      </c>
      <c r="I440" s="115">
        <f t="shared" si="179"/>
        <v>0</v>
      </c>
      <c r="J440" s="124">
        <f t="shared" si="187"/>
        <v>0</v>
      </c>
      <c r="K440" s="117">
        <f t="shared" si="180"/>
        <v>0</v>
      </c>
      <c r="L440" s="117">
        <f t="shared" si="188"/>
        <v>0</v>
      </c>
      <c r="M440" s="115">
        <f t="shared" si="181"/>
        <v>0</v>
      </c>
      <c r="N440" s="115">
        <f t="shared" si="182"/>
        <v>0</v>
      </c>
      <c r="O440" s="117">
        <f t="shared" si="183"/>
        <v>0</v>
      </c>
      <c r="P440" s="115">
        <f>IF(depr_bonus_fed_sl_20="Yes",O440*depr_bonus_fed/100,0)</f>
        <v>0</v>
      </c>
      <c r="Q440" s="117">
        <f t="shared" si="189"/>
        <v>0</v>
      </c>
    </row>
    <row r="441" spans="1:17" x14ac:dyDescent="0.2">
      <c r="A441" s="21" t="str">
        <f t="shared" si="177"/>
        <v>39-yr SL</v>
      </c>
      <c r="B441" s="207">
        <f>IF(Inputs!$C$158=0,0,depr_alloc_sl_39_percent*100/Inputs!$C$158)</f>
        <v>0</v>
      </c>
      <c r="C441" s="115">
        <f>$B$292*depr_alloc_sl_39_percent/100</f>
        <v>0</v>
      </c>
      <c r="D441" s="119">
        <f t="shared" si="184"/>
        <v>0</v>
      </c>
      <c r="E441" s="115">
        <f t="shared" si="185"/>
        <v>0</v>
      </c>
      <c r="F441" s="124">
        <f>C441-D441-E441</f>
        <v>0</v>
      </c>
      <c r="G441" s="115">
        <f>IF(depr_itc_fed_sl_39="Yes",F441,0)</f>
        <v>0</v>
      </c>
      <c r="H441" s="129">
        <f t="shared" si="178"/>
        <v>0</v>
      </c>
      <c r="I441" s="115">
        <f t="shared" si="179"/>
        <v>0</v>
      </c>
      <c r="J441" s="124">
        <f t="shared" si="187"/>
        <v>0</v>
      </c>
      <c r="K441" s="117">
        <f t="shared" si="180"/>
        <v>0</v>
      </c>
      <c r="L441" s="117">
        <f t="shared" si="188"/>
        <v>0</v>
      </c>
      <c r="M441" s="119">
        <f t="shared" si="181"/>
        <v>0</v>
      </c>
      <c r="N441" s="115">
        <f t="shared" si="182"/>
        <v>0</v>
      </c>
      <c r="O441" s="117">
        <f>F441-M441-N441</f>
        <v>0</v>
      </c>
      <c r="P441" s="115">
        <f>IF(depr_bonus_fed_sl_39="Yes",O441*depr_bonus_fed/100,0)</f>
        <v>0</v>
      </c>
      <c r="Q441" s="117">
        <f>O441-P441</f>
        <v>0</v>
      </c>
    </row>
    <row r="442" spans="1:17" x14ac:dyDescent="0.2">
      <c r="A442" s="21" t="s">
        <v>301</v>
      </c>
      <c r="B442" s="208">
        <f>IF(Inputs!$C$158=0,0,depr_alloc_custom_percent*100/Inputs!$C$158)</f>
        <v>0</v>
      </c>
      <c r="C442" s="116">
        <f>$B$292*depr_alloc_custom_percent/100</f>
        <v>0</v>
      </c>
      <c r="D442" s="130">
        <f t="shared" si="184"/>
        <v>0</v>
      </c>
      <c r="E442" s="116">
        <f t="shared" si="185"/>
        <v>0</v>
      </c>
      <c r="F442" s="273">
        <f>C442-D442-E442</f>
        <v>0</v>
      </c>
      <c r="G442" s="115">
        <f>IF(depr_itc_fed_custom="Yes",F442,0)</f>
        <v>0</v>
      </c>
      <c r="H442" s="129">
        <f t="shared" si="178"/>
        <v>0</v>
      </c>
      <c r="I442" s="115">
        <f t="shared" si="179"/>
        <v>0</v>
      </c>
      <c r="J442" s="124">
        <f t="shared" si="187"/>
        <v>0</v>
      </c>
      <c r="K442" s="117">
        <f t="shared" si="180"/>
        <v>0</v>
      </c>
      <c r="L442" s="117">
        <f t="shared" si="188"/>
        <v>0</v>
      </c>
      <c r="M442" s="130">
        <f t="shared" si="181"/>
        <v>0</v>
      </c>
      <c r="N442" s="273">
        <f t="shared" si="182"/>
        <v>0</v>
      </c>
      <c r="O442" s="120">
        <f>F442-M442-N442</f>
        <v>0</v>
      </c>
      <c r="P442" s="116">
        <f>IF(depr_bonus_fed_custom="Yes",O442*depr_bonus_fed/100,0)</f>
        <v>0</v>
      </c>
      <c r="Q442" s="120">
        <f>O442-P442</f>
        <v>0</v>
      </c>
    </row>
    <row r="443" spans="1:17" x14ac:dyDescent="0.2">
      <c r="A443" s="45" t="s">
        <v>13</v>
      </c>
      <c r="B443" s="208">
        <f t="shared" ref="B443:H443" si="190">SUM(B436:B442)</f>
        <v>0</v>
      </c>
      <c r="C443" s="116">
        <f t="shared" si="190"/>
        <v>0</v>
      </c>
      <c r="D443" s="131">
        <f t="shared" si="190"/>
        <v>0</v>
      </c>
      <c r="E443" s="133">
        <f t="shared" si="190"/>
        <v>0</v>
      </c>
      <c r="F443" s="134">
        <f t="shared" si="190"/>
        <v>0</v>
      </c>
      <c r="G443" s="133">
        <f t="shared" si="190"/>
        <v>0</v>
      </c>
      <c r="H443" s="132">
        <f t="shared" si="190"/>
        <v>0</v>
      </c>
      <c r="I443" s="133">
        <f>SUM(C583:AP583)</f>
        <v>0</v>
      </c>
      <c r="J443" s="133">
        <f>SUM(J436:J442)</f>
        <v>0</v>
      </c>
      <c r="K443" s="131">
        <f>SUM(C580:AP580)</f>
        <v>0</v>
      </c>
      <c r="L443" s="134">
        <f t="shared" ref="L443:Q443" si="191">SUM(L436:L442)</f>
        <v>0</v>
      </c>
      <c r="M443" s="116">
        <f t="shared" si="191"/>
        <v>0</v>
      </c>
      <c r="N443" s="116">
        <f t="shared" si="191"/>
        <v>0</v>
      </c>
      <c r="O443" s="120">
        <f t="shared" si="191"/>
        <v>0</v>
      </c>
      <c r="P443" s="120">
        <f t="shared" si="191"/>
        <v>0</v>
      </c>
      <c r="Q443" s="120">
        <f t="shared" si="191"/>
        <v>0</v>
      </c>
    </row>
    <row r="444" spans="1:17" x14ac:dyDescent="0.2">
      <c r="B444" s="335"/>
      <c r="C444" s="115"/>
      <c r="D444" s="115"/>
      <c r="E444" s="115"/>
      <c r="F444" s="115"/>
      <c r="G444" s="115"/>
      <c r="H444" s="129"/>
      <c r="I444" s="115"/>
      <c r="J444" s="115"/>
      <c r="K444" s="115"/>
      <c r="L444" s="115"/>
      <c r="M444" s="115"/>
      <c r="N444" s="115"/>
      <c r="O444" s="115"/>
      <c r="P444" s="115"/>
      <c r="Q444" s="115"/>
    </row>
    <row r="445" spans="1:17" x14ac:dyDescent="0.2">
      <c r="A445" s="17" t="s">
        <v>487</v>
      </c>
      <c r="B445" s="335">
        <f>G443</f>
        <v>0</v>
      </c>
      <c r="C445" s="115"/>
      <c r="D445" s="115"/>
      <c r="E445" s="115"/>
      <c r="F445" s="115"/>
      <c r="G445" s="115"/>
      <c r="H445" s="129"/>
      <c r="I445" s="115"/>
      <c r="J445" s="115"/>
      <c r="K445" s="115"/>
      <c r="L445" s="115"/>
      <c r="M445" s="115"/>
      <c r="N445" s="115"/>
      <c r="O445" s="115"/>
      <c r="P445" s="115"/>
      <c r="Q445" s="115"/>
    </row>
    <row r="447" spans="1:17" x14ac:dyDescent="0.2">
      <c r="A447" s="4" t="s">
        <v>474</v>
      </c>
    </row>
    <row r="448" spans="1:17" x14ac:dyDescent="0.2">
      <c r="A448" s="84" t="str">
        <f>A310</f>
        <v>Investment Based Incentive (IBI)</v>
      </c>
    </row>
    <row r="449" spans="1:2" x14ac:dyDescent="0.2">
      <c r="A449" s="21" t="str">
        <f>A311</f>
        <v>As fixed amount</v>
      </c>
    </row>
    <row r="450" spans="1:2" x14ac:dyDescent="0.2">
      <c r="A450" s="85" t="s">
        <v>4</v>
      </c>
      <c r="B450" s="152">
        <f>IF(ibi_fed_amount_deprbas_fed="Yes",ibi_fed_amount,0)</f>
        <v>0</v>
      </c>
    </row>
    <row r="451" spans="1:2" x14ac:dyDescent="0.2">
      <c r="A451" s="85" t="s">
        <v>5</v>
      </c>
      <c r="B451" s="152">
        <f>IF(ibi_sta_amount_deprbas_fed="Yes",ibi_sta_amount,0)</f>
        <v>0</v>
      </c>
    </row>
    <row r="452" spans="1:2" x14ac:dyDescent="0.2">
      <c r="A452" s="85" t="s">
        <v>165</v>
      </c>
      <c r="B452" s="152">
        <f>IF(ibi_uti_amount_deprbas_fed="Yes",ibi_uti_amount,0)</f>
        <v>0</v>
      </c>
    </row>
    <row r="453" spans="1:2" x14ac:dyDescent="0.2">
      <c r="A453" s="85" t="s">
        <v>166</v>
      </c>
      <c r="B453" s="153">
        <f>IF(ibi_oth_amount_deprbas_fed="Yes",ibi_oth_amount,0)</f>
        <v>0</v>
      </c>
    </row>
    <row r="454" spans="1:2" x14ac:dyDescent="0.2">
      <c r="A454" s="85" t="str">
        <f>A316</f>
        <v>Total basis reduction for IBI as fixed amount</v>
      </c>
      <c r="B454" s="152">
        <f>SUM(B450:B453)</f>
        <v>0</v>
      </c>
    </row>
    <row r="455" spans="1:2" x14ac:dyDescent="0.2">
      <c r="A455" s="21" t="str">
        <f>A317</f>
        <v>As percentage</v>
      </c>
    </row>
    <row r="456" spans="1:2" x14ac:dyDescent="0.2">
      <c r="A456" s="85" t="s">
        <v>4</v>
      </c>
      <c r="B456" s="152">
        <f>IF(ibi_fed_percent_deprbas_fed="Yes",C607,0)</f>
        <v>0</v>
      </c>
    </row>
    <row r="457" spans="1:2" x14ac:dyDescent="0.2">
      <c r="A457" s="85" t="s">
        <v>5</v>
      </c>
      <c r="B457" s="152">
        <f>IF(ibi_sta_percent_deprbas_fed="Yes",C608,0)</f>
        <v>0</v>
      </c>
    </row>
    <row r="458" spans="1:2" x14ac:dyDescent="0.2">
      <c r="A458" s="85" t="s">
        <v>165</v>
      </c>
      <c r="B458" s="152">
        <f>IF(ibi_uti_percent_deprbas_fed="Yes",C609,0)</f>
        <v>0</v>
      </c>
    </row>
    <row r="459" spans="1:2" x14ac:dyDescent="0.2">
      <c r="A459" s="85" t="s">
        <v>166</v>
      </c>
      <c r="B459" s="153">
        <f>IF(ibi_oth_percent_deprbas_fed="Yes",C610,0)</f>
        <v>0</v>
      </c>
    </row>
    <row r="460" spans="1:2" x14ac:dyDescent="0.2">
      <c r="A460" s="85" t="str">
        <f>A322</f>
        <v>Total basis reduction for IBI as percentage</v>
      </c>
      <c r="B460" s="152">
        <f>SUM(B456:B459)</f>
        <v>0</v>
      </c>
    </row>
    <row r="461" spans="1:2" x14ac:dyDescent="0.2">
      <c r="A461" s="84" t="str">
        <f>A323</f>
        <v>Capacity Based Incentive (CBI)</v>
      </c>
    </row>
    <row r="462" spans="1:2" x14ac:dyDescent="0.2">
      <c r="A462" s="21" t="s">
        <v>4</v>
      </c>
      <c r="B462" s="152">
        <f>IF(cbi_fed_deprbas_fed="Yes",C614,0)</f>
        <v>0</v>
      </c>
    </row>
    <row r="463" spans="1:2" x14ac:dyDescent="0.2">
      <c r="A463" s="21" t="s">
        <v>5</v>
      </c>
      <c r="B463" s="152">
        <f>IF(cbi_sta_deprbas_fed="Yes",C615,0)</f>
        <v>0</v>
      </c>
    </row>
    <row r="464" spans="1:2" x14ac:dyDescent="0.2">
      <c r="A464" s="21" t="s">
        <v>165</v>
      </c>
      <c r="B464" s="152">
        <f>IF(cbi_uti_deprbas_fed="Yes",C616,0)</f>
        <v>0</v>
      </c>
    </row>
    <row r="465" spans="1:42" x14ac:dyDescent="0.2">
      <c r="A465" s="21" t="s">
        <v>166</v>
      </c>
      <c r="B465" s="153">
        <f>IF(cbi_oth_deprbas_fed="Yes",C617,0)</f>
        <v>0</v>
      </c>
    </row>
    <row r="466" spans="1:42" x14ac:dyDescent="0.2">
      <c r="A466" s="21" t="str">
        <f>A328</f>
        <v>Total basis reduction for CBI</v>
      </c>
      <c r="B466" s="153">
        <f>SUM(B462:B465)</f>
        <v>0</v>
      </c>
    </row>
    <row r="468" spans="1:42" x14ac:dyDescent="0.2">
      <c r="A468" s="4" t="s">
        <v>69</v>
      </c>
    </row>
    <row r="469" spans="1:42" x14ac:dyDescent="0.2">
      <c r="A469" s="21" t="s">
        <v>52</v>
      </c>
    </row>
    <row r="470" spans="1:42" x14ac:dyDescent="0.2">
      <c r="A470" s="22" t="str">
        <f t="shared" ref="A470:A475" si="192">A436</f>
        <v>5-yr MACRS</v>
      </c>
      <c r="B470" s="160">
        <f t="array" ref="B470">SUM(IF(ISNUMBER(C470:AP470),C470:AP470))</f>
        <v>0</v>
      </c>
      <c r="C470" s="161" t="e">
        <f>LOOKUP(C$2,'Depreciation Schedules'!$A$3:$A$42,'Depreciation Schedules'!$B$3:$B$42)</f>
        <v>#N/A</v>
      </c>
      <c r="D470" s="161" t="e">
        <f>LOOKUP(D$2,'Depreciation Schedules'!$A$3:$A$42,'Depreciation Schedules'!$B$3:$B$42)</f>
        <v>#N/A</v>
      </c>
      <c r="E470" s="161" t="e">
        <f>LOOKUP(E$2,'Depreciation Schedules'!$A$3:$A$42,'Depreciation Schedules'!$B$3:$B$42)</f>
        <v>#N/A</v>
      </c>
      <c r="F470" s="161" t="e">
        <f>LOOKUP(F$2,'Depreciation Schedules'!$A$3:$A$42,'Depreciation Schedules'!$B$3:$B$42)</f>
        <v>#N/A</v>
      </c>
      <c r="G470" s="161" t="e">
        <f>LOOKUP(G$2,'Depreciation Schedules'!$A$3:$A$42,'Depreciation Schedules'!$B$3:$B$42)</f>
        <v>#N/A</v>
      </c>
      <c r="H470" s="161" t="e">
        <f>LOOKUP(H$2,'Depreciation Schedules'!$A$3:$A$42,'Depreciation Schedules'!$B$3:$B$42)</f>
        <v>#N/A</v>
      </c>
      <c r="I470" s="161" t="e">
        <f>LOOKUP(I$2,'Depreciation Schedules'!$A$3:$A$42,'Depreciation Schedules'!$B$3:$B$42)</f>
        <v>#N/A</v>
      </c>
      <c r="J470" s="161" t="e">
        <f>LOOKUP(J$2,'Depreciation Schedules'!$A$3:$A$42,'Depreciation Schedules'!$B$3:$B$42)</f>
        <v>#N/A</v>
      </c>
      <c r="K470" s="161" t="e">
        <f>LOOKUP(K$2,'Depreciation Schedules'!$A$3:$A$42,'Depreciation Schedules'!$B$3:$B$42)</f>
        <v>#N/A</v>
      </c>
      <c r="L470" s="161" t="e">
        <f>LOOKUP(L$2,'Depreciation Schedules'!$A$3:$A$42,'Depreciation Schedules'!$B$3:$B$42)</f>
        <v>#N/A</v>
      </c>
      <c r="M470" s="161" t="e">
        <f>LOOKUP(M$2,'Depreciation Schedules'!$A$3:$A$42,'Depreciation Schedules'!$B$3:$B$42)</f>
        <v>#N/A</v>
      </c>
      <c r="N470" s="161" t="e">
        <f>LOOKUP(N$2,'Depreciation Schedules'!$A$3:$A$42,'Depreciation Schedules'!$B$3:$B$42)</f>
        <v>#N/A</v>
      </c>
      <c r="O470" s="161" t="e">
        <f>LOOKUP(O$2,'Depreciation Schedules'!$A$3:$A$42,'Depreciation Schedules'!$B$3:$B$42)</f>
        <v>#N/A</v>
      </c>
      <c r="P470" s="161" t="e">
        <f>LOOKUP(P$2,'Depreciation Schedules'!$A$3:$A$42,'Depreciation Schedules'!$B$3:$B$42)</f>
        <v>#N/A</v>
      </c>
      <c r="Q470" s="161" t="e">
        <f>LOOKUP(Q$2,'Depreciation Schedules'!$A$3:$A$42,'Depreciation Schedules'!$B$3:$B$42)</f>
        <v>#N/A</v>
      </c>
      <c r="R470" s="161" t="e">
        <f>LOOKUP(R$2,'Depreciation Schedules'!$A$3:$A$42,'Depreciation Schedules'!$B$3:$B$42)</f>
        <v>#N/A</v>
      </c>
      <c r="S470" s="161" t="e">
        <f>LOOKUP(S$2,'Depreciation Schedules'!$A$3:$A$42,'Depreciation Schedules'!$B$3:$B$42)</f>
        <v>#N/A</v>
      </c>
      <c r="T470" s="161" t="e">
        <f>LOOKUP(T$2,'Depreciation Schedules'!$A$3:$A$42,'Depreciation Schedules'!$B$3:$B$42)</f>
        <v>#N/A</v>
      </c>
      <c r="U470" s="161" t="e">
        <f>LOOKUP(U$2,'Depreciation Schedules'!$A$3:$A$42,'Depreciation Schedules'!$B$3:$B$42)</f>
        <v>#N/A</v>
      </c>
      <c r="V470" s="161" t="e">
        <f>LOOKUP(V$2,'Depreciation Schedules'!$A$3:$A$42,'Depreciation Schedules'!$B$3:$B$42)</f>
        <v>#N/A</v>
      </c>
      <c r="W470" s="161" t="e">
        <f>LOOKUP(W$2,'Depreciation Schedules'!$A$3:$A$42,'Depreciation Schedules'!$B$3:$B$42)</f>
        <v>#N/A</v>
      </c>
      <c r="X470" s="161" t="e">
        <f>LOOKUP(X$2,'Depreciation Schedules'!$A$3:$A$42,'Depreciation Schedules'!$B$3:$B$42)</f>
        <v>#N/A</v>
      </c>
      <c r="Y470" s="161" t="e">
        <f>LOOKUP(Y$2,'Depreciation Schedules'!$A$3:$A$42,'Depreciation Schedules'!$B$3:$B$42)</f>
        <v>#N/A</v>
      </c>
      <c r="Z470" s="161" t="e">
        <f>LOOKUP(Z$2,'Depreciation Schedules'!$A$3:$A$42,'Depreciation Schedules'!$B$3:$B$42)</f>
        <v>#N/A</v>
      </c>
      <c r="AA470" s="161" t="e">
        <f>LOOKUP(AA$2,'Depreciation Schedules'!$A$3:$A$42,'Depreciation Schedules'!$B$3:$B$42)</f>
        <v>#N/A</v>
      </c>
      <c r="AB470" s="161" t="e">
        <f>LOOKUP(AB$2,'Depreciation Schedules'!$A$3:$A$42,'Depreciation Schedules'!$B$3:$B$42)</f>
        <v>#N/A</v>
      </c>
      <c r="AC470" s="161" t="e">
        <f>LOOKUP(AC$2,'Depreciation Schedules'!$A$3:$A$42,'Depreciation Schedules'!$B$3:$B$42)</f>
        <v>#N/A</v>
      </c>
      <c r="AD470" s="161" t="e">
        <f>LOOKUP(AD$2,'Depreciation Schedules'!$A$3:$A$42,'Depreciation Schedules'!$B$3:$B$42)</f>
        <v>#N/A</v>
      </c>
      <c r="AE470" s="161" t="e">
        <f>LOOKUP(AE$2,'Depreciation Schedules'!$A$3:$A$42,'Depreciation Schedules'!$B$3:$B$42)</f>
        <v>#N/A</v>
      </c>
      <c r="AF470" s="161" t="e">
        <f>LOOKUP(AF$2,'Depreciation Schedules'!$A$3:$A$42,'Depreciation Schedules'!$B$3:$B$42)</f>
        <v>#N/A</v>
      </c>
      <c r="AG470" s="161" t="e">
        <f>LOOKUP(AG$2,'Depreciation Schedules'!$A$3:$A$42,'Depreciation Schedules'!$B$3:$B$42)</f>
        <v>#N/A</v>
      </c>
      <c r="AH470" s="161" t="e">
        <f>LOOKUP(AH$2,'Depreciation Schedules'!$A$3:$A$42,'Depreciation Schedules'!$B$3:$B$42)</f>
        <v>#N/A</v>
      </c>
      <c r="AI470" s="161" t="e">
        <f>LOOKUP(AI$2,'Depreciation Schedules'!$A$3:$A$42,'Depreciation Schedules'!$B$3:$B$42)</f>
        <v>#N/A</v>
      </c>
      <c r="AJ470" s="161" t="e">
        <f>LOOKUP(AJ$2,'Depreciation Schedules'!$A$3:$A$42,'Depreciation Schedules'!$B$3:$B$42)</f>
        <v>#N/A</v>
      </c>
      <c r="AK470" s="161" t="e">
        <f>LOOKUP(AK$2,'Depreciation Schedules'!$A$3:$A$42,'Depreciation Schedules'!$B$3:$B$42)</f>
        <v>#N/A</v>
      </c>
      <c r="AL470" s="161" t="e">
        <f>LOOKUP(AL$2,'Depreciation Schedules'!$A$3:$A$42,'Depreciation Schedules'!$B$3:$B$42)</f>
        <v>#N/A</v>
      </c>
      <c r="AM470" s="161" t="e">
        <f>LOOKUP(AM$2,'Depreciation Schedules'!$A$3:$A$42,'Depreciation Schedules'!$B$3:$B$42)</f>
        <v>#N/A</v>
      </c>
      <c r="AN470" s="161" t="e">
        <f>LOOKUP(AN$2,'Depreciation Schedules'!$A$3:$A$42,'Depreciation Schedules'!$B$3:$B$42)</f>
        <v>#N/A</v>
      </c>
      <c r="AO470" s="161" t="e">
        <f>LOOKUP(AO$2,'Depreciation Schedules'!$A$3:$A$42,'Depreciation Schedules'!$B$3:$B$42)</f>
        <v>#N/A</v>
      </c>
      <c r="AP470" s="161" t="e">
        <f>LOOKUP(AP$2,'Depreciation Schedules'!$A$3:$A$42,'Depreciation Schedules'!$B$3:$B$42)</f>
        <v>#N/A</v>
      </c>
    </row>
    <row r="471" spans="1:42" x14ac:dyDescent="0.2">
      <c r="A471" s="22" t="str">
        <f t="shared" si="192"/>
        <v>15-yr MACRS</v>
      </c>
      <c r="B471" s="160">
        <f t="array" ref="B471">SUM(IF(ISNUMBER(C471:AP471),C471:AP471))</f>
        <v>0</v>
      </c>
      <c r="C471" s="161" t="e">
        <f>LOOKUP(C$2,'Depreciation Schedules'!$A$3:$A$42,'Depreciation Schedules'!$C$3:$C$42)</f>
        <v>#N/A</v>
      </c>
      <c r="D471" s="161" t="e">
        <f>LOOKUP(D$2,'Depreciation Schedules'!$A$3:$A$42,'Depreciation Schedules'!$C$3:$C$42)</f>
        <v>#N/A</v>
      </c>
      <c r="E471" s="161" t="e">
        <f>LOOKUP(E$2,'Depreciation Schedules'!$A$3:$A$42,'Depreciation Schedules'!$C$3:$C$42)</f>
        <v>#N/A</v>
      </c>
      <c r="F471" s="161" t="e">
        <f>LOOKUP(F$2,'Depreciation Schedules'!$A$3:$A$42,'Depreciation Schedules'!$C$3:$C$42)</f>
        <v>#N/A</v>
      </c>
      <c r="G471" s="161" t="e">
        <f>LOOKUP(G$2,'Depreciation Schedules'!$A$3:$A$42,'Depreciation Schedules'!$C$3:$C$42)</f>
        <v>#N/A</v>
      </c>
      <c r="H471" s="161" t="e">
        <f>LOOKUP(H$2,'Depreciation Schedules'!$A$3:$A$42,'Depreciation Schedules'!$C$3:$C$42)</f>
        <v>#N/A</v>
      </c>
      <c r="I471" s="161" t="e">
        <f>LOOKUP(I$2,'Depreciation Schedules'!$A$3:$A$42,'Depreciation Schedules'!$C$3:$C$42)</f>
        <v>#N/A</v>
      </c>
      <c r="J471" s="161" t="e">
        <f>LOOKUP(J$2,'Depreciation Schedules'!$A$3:$A$42,'Depreciation Schedules'!$C$3:$C$42)</f>
        <v>#N/A</v>
      </c>
      <c r="K471" s="161" t="e">
        <f>LOOKUP(K$2,'Depreciation Schedules'!$A$3:$A$42,'Depreciation Schedules'!$C$3:$C$42)</f>
        <v>#N/A</v>
      </c>
      <c r="L471" s="161" t="e">
        <f>LOOKUP(L$2,'Depreciation Schedules'!$A$3:$A$42,'Depreciation Schedules'!$C$3:$C$42)</f>
        <v>#N/A</v>
      </c>
      <c r="M471" s="161" t="e">
        <f>LOOKUP(M$2,'Depreciation Schedules'!$A$3:$A$42,'Depreciation Schedules'!$C$3:$C$42)</f>
        <v>#N/A</v>
      </c>
      <c r="N471" s="161" t="e">
        <f>LOOKUP(N$2,'Depreciation Schedules'!$A$3:$A$42,'Depreciation Schedules'!$C$3:$C$42)</f>
        <v>#N/A</v>
      </c>
      <c r="O471" s="161" t="e">
        <f>LOOKUP(O$2,'Depreciation Schedules'!$A$3:$A$42,'Depreciation Schedules'!$C$3:$C$42)</f>
        <v>#N/A</v>
      </c>
      <c r="P471" s="161" t="e">
        <f>LOOKUP(P$2,'Depreciation Schedules'!$A$3:$A$42,'Depreciation Schedules'!$C$3:$C$42)</f>
        <v>#N/A</v>
      </c>
      <c r="Q471" s="161" t="e">
        <f>LOOKUP(Q$2,'Depreciation Schedules'!$A$3:$A$42,'Depreciation Schedules'!$C$3:$C$42)</f>
        <v>#N/A</v>
      </c>
      <c r="R471" s="161" t="e">
        <f>LOOKUP(R$2,'Depreciation Schedules'!$A$3:$A$42,'Depreciation Schedules'!$C$3:$C$42)</f>
        <v>#N/A</v>
      </c>
      <c r="S471" s="161" t="e">
        <f>LOOKUP(S$2,'Depreciation Schedules'!$A$3:$A$42,'Depreciation Schedules'!$C$3:$C$42)</f>
        <v>#N/A</v>
      </c>
      <c r="T471" s="161" t="e">
        <f>LOOKUP(T$2,'Depreciation Schedules'!$A$3:$A$42,'Depreciation Schedules'!$C$3:$C$42)</f>
        <v>#N/A</v>
      </c>
      <c r="U471" s="161" t="e">
        <f>LOOKUP(U$2,'Depreciation Schedules'!$A$3:$A$42,'Depreciation Schedules'!$C$3:$C$42)</f>
        <v>#N/A</v>
      </c>
      <c r="V471" s="161" t="e">
        <f>LOOKUP(V$2,'Depreciation Schedules'!$A$3:$A$42,'Depreciation Schedules'!$C$3:$C$42)</f>
        <v>#N/A</v>
      </c>
      <c r="W471" s="161" t="e">
        <f>LOOKUP(W$2,'Depreciation Schedules'!$A$3:$A$42,'Depreciation Schedules'!$C$3:$C$42)</f>
        <v>#N/A</v>
      </c>
      <c r="X471" s="161" t="e">
        <f>LOOKUP(X$2,'Depreciation Schedules'!$A$3:$A$42,'Depreciation Schedules'!$C$3:$C$42)</f>
        <v>#N/A</v>
      </c>
      <c r="Y471" s="161" t="e">
        <f>LOOKUP(Y$2,'Depreciation Schedules'!$A$3:$A$42,'Depreciation Schedules'!$C$3:$C$42)</f>
        <v>#N/A</v>
      </c>
      <c r="Z471" s="161" t="e">
        <f>LOOKUP(Z$2,'Depreciation Schedules'!$A$3:$A$42,'Depreciation Schedules'!$C$3:$C$42)</f>
        <v>#N/A</v>
      </c>
      <c r="AA471" s="161" t="e">
        <f>LOOKUP(AA$2,'Depreciation Schedules'!$A$3:$A$42,'Depreciation Schedules'!$C$3:$C$42)</f>
        <v>#N/A</v>
      </c>
      <c r="AB471" s="161" t="e">
        <f>LOOKUP(AB$2,'Depreciation Schedules'!$A$3:$A$42,'Depreciation Schedules'!$C$3:$C$42)</f>
        <v>#N/A</v>
      </c>
      <c r="AC471" s="161" t="e">
        <f>LOOKUP(AC$2,'Depreciation Schedules'!$A$3:$A$42,'Depreciation Schedules'!$C$3:$C$42)</f>
        <v>#N/A</v>
      </c>
      <c r="AD471" s="161" t="e">
        <f>LOOKUP(AD$2,'Depreciation Schedules'!$A$3:$A$42,'Depreciation Schedules'!$C$3:$C$42)</f>
        <v>#N/A</v>
      </c>
      <c r="AE471" s="161" t="e">
        <f>LOOKUP(AE$2,'Depreciation Schedules'!$A$3:$A$42,'Depreciation Schedules'!$C$3:$C$42)</f>
        <v>#N/A</v>
      </c>
      <c r="AF471" s="161" t="e">
        <f>LOOKUP(AF$2,'Depreciation Schedules'!$A$3:$A$42,'Depreciation Schedules'!$C$3:$C$42)</f>
        <v>#N/A</v>
      </c>
      <c r="AG471" s="161" t="e">
        <f>LOOKUP(AG$2,'Depreciation Schedules'!$A$3:$A$42,'Depreciation Schedules'!$C$3:$C$42)</f>
        <v>#N/A</v>
      </c>
      <c r="AH471" s="161" t="e">
        <f>LOOKUP(AH$2,'Depreciation Schedules'!$A$3:$A$42,'Depreciation Schedules'!$C$3:$C$42)</f>
        <v>#N/A</v>
      </c>
      <c r="AI471" s="161" t="e">
        <f>LOOKUP(AI$2,'Depreciation Schedules'!$A$3:$A$42,'Depreciation Schedules'!$C$3:$C$42)</f>
        <v>#N/A</v>
      </c>
      <c r="AJ471" s="161" t="e">
        <f>LOOKUP(AJ$2,'Depreciation Schedules'!$A$3:$A$42,'Depreciation Schedules'!$C$3:$C$42)</f>
        <v>#N/A</v>
      </c>
      <c r="AK471" s="161" t="e">
        <f>LOOKUP(AK$2,'Depreciation Schedules'!$A$3:$A$42,'Depreciation Schedules'!$C$3:$C$42)</f>
        <v>#N/A</v>
      </c>
      <c r="AL471" s="161" t="e">
        <f>LOOKUP(AL$2,'Depreciation Schedules'!$A$3:$A$42,'Depreciation Schedules'!$C$3:$C$42)</f>
        <v>#N/A</v>
      </c>
      <c r="AM471" s="161" t="e">
        <f>LOOKUP(AM$2,'Depreciation Schedules'!$A$3:$A$42,'Depreciation Schedules'!$C$3:$C$42)</f>
        <v>#N/A</v>
      </c>
      <c r="AN471" s="161" t="e">
        <f>LOOKUP(AN$2,'Depreciation Schedules'!$A$3:$A$42,'Depreciation Schedules'!$C$3:$C$42)</f>
        <v>#N/A</v>
      </c>
      <c r="AO471" s="161" t="e">
        <f>LOOKUP(AO$2,'Depreciation Schedules'!$A$3:$A$42,'Depreciation Schedules'!$C$3:$C$42)</f>
        <v>#N/A</v>
      </c>
      <c r="AP471" s="161" t="e">
        <f>LOOKUP(AP$2,'Depreciation Schedules'!$A$3:$A$42,'Depreciation Schedules'!$C$3:$C$42)</f>
        <v>#N/A</v>
      </c>
    </row>
    <row r="472" spans="1:42" x14ac:dyDescent="0.2">
      <c r="A472" s="22" t="str">
        <f t="shared" si="192"/>
        <v>5-yr SL</v>
      </c>
      <c r="B472" s="160">
        <f t="array" ref="B472">SUM(IF(ISNUMBER(C472:AP472),C472:AP472))</f>
        <v>0</v>
      </c>
      <c r="C472" s="161" t="e">
        <f>LOOKUP(C$2,'Depreciation Schedules'!$A$3:$A$42,'Depreciation Schedules'!$D$3:$D$42)</f>
        <v>#N/A</v>
      </c>
      <c r="D472" s="161" t="e">
        <f>LOOKUP(D$2,'Depreciation Schedules'!$A$3:$A$42,'Depreciation Schedules'!$D$3:$D$42)</f>
        <v>#N/A</v>
      </c>
      <c r="E472" s="161" t="e">
        <f>LOOKUP(E$2,'Depreciation Schedules'!$A$3:$A$42,'Depreciation Schedules'!$D$3:$D$42)</f>
        <v>#N/A</v>
      </c>
      <c r="F472" s="161" t="e">
        <f>LOOKUP(F$2,'Depreciation Schedules'!$A$3:$A$42,'Depreciation Schedules'!$D$3:$D$42)</f>
        <v>#N/A</v>
      </c>
      <c r="G472" s="161" t="e">
        <f>LOOKUP(G$2,'Depreciation Schedules'!$A$3:$A$42,'Depreciation Schedules'!$D$3:$D$42)</f>
        <v>#N/A</v>
      </c>
      <c r="H472" s="161" t="e">
        <f>LOOKUP(H$2,'Depreciation Schedules'!$A$3:$A$42,'Depreciation Schedules'!$D$3:$D$42)</f>
        <v>#N/A</v>
      </c>
      <c r="I472" s="161" t="e">
        <f>LOOKUP(I$2,'Depreciation Schedules'!$A$3:$A$42,'Depreciation Schedules'!$D$3:$D$42)</f>
        <v>#N/A</v>
      </c>
      <c r="J472" s="161" t="e">
        <f>LOOKUP(J$2,'Depreciation Schedules'!$A$3:$A$42,'Depreciation Schedules'!$D$3:$D$42)</f>
        <v>#N/A</v>
      </c>
      <c r="K472" s="161" t="e">
        <f>LOOKUP(K$2,'Depreciation Schedules'!$A$3:$A$42,'Depreciation Schedules'!$D$3:$D$42)</f>
        <v>#N/A</v>
      </c>
      <c r="L472" s="161" t="e">
        <f>LOOKUP(L$2,'Depreciation Schedules'!$A$3:$A$42,'Depreciation Schedules'!$D$3:$D$42)</f>
        <v>#N/A</v>
      </c>
      <c r="M472" s="161" t="e">
        <f>LOOKUP(M$2,'Depreciation Schedules'!$A$3:$A$42,'Depreciation Schedules'!$D$3:$D$42)</f>
        <v>#N/A</v>
      </c>
      <c r="N472" s="161" t="e">
        <f>LOOKUP(N$2,'Depreciation Schedules'!$A$3:$A$42,'Depreciation Schedules'!$D$3:$D$42)</f>
        <v>#N/A</v>
      </c>
      <c r="O472" s="161" t="e">
        <f>LOOKUP(O$2,'Depreciation Schedules'!$A$3:$A$42,'Depreciation Schedules'!$D$3:$D$42)</f>
        <v>#N/A</v>
      </c>
      <c r="P472" s="161" t="e">
        <f>LOOKUP(P$2,'Depreciation Schedules'!$A$3:$A$42,'Depreciation Schedules'!$D$3:$D$42)</f>
        <v>#N/A</v>
      </c>
      <c r="Q472" s="161" t="e">
        <f>LOOKUP(Q$2,'Depreciation Schedules'!$A$3:$A$42,'Depreciation Schedules'!$D$3:$D$42)</f>
        <v>#N/A</v>
      </c>
      <c r="R472" s="161" t="e">
        <f>LOOKUP(R$2,'Depreciation Schedules'!$A$3:$A$42,'Depreciation Schedules'!$D$3:$D$42)</f>
        <v>#N/A</v>
      </c>
      <c r="S472" s="161" t="e">
        <f>LOOKUP(S$2,'Depreciation Schedules'!$A$3:$A$42,'Depreciation Schedules'!$D$3:$D$42)</f>
        <v>#N/A</v>
      </c>
      <c r="T472" s="161" t="e">
        <f>LOOKUP(T$2,'Depreciation Schedules'!$A$3:$A$42,'Depreciation Schedules'!$D$3:$D$42)</f>
        <v>#N/A</v>
      </c>
      <c r="U472" s="161" t="e">
        <f>LOOKUP(U$2,'Depreciation Schedules'!$A$3:$A$42,'Depreciation Schedules'!$D$3:$D$42)</f>
        <v>#N/A</v>
      </c>
      <c r="V472" s="161" t="e">
        <f>LOOKUP(V$2,'Depreciation Schedules'!$A$3:$A$42,'Depreciation Schedules'!$D$3:$D$42)</f>
        <v>#N/A</v>
      </c>
      <c r="W472" s="161" t="e">
        <f>LOOKUP(W$2,'Depreciation Schedules'!$A$3:$A$42,'Depreciation Schedules'!$D$3:$D$42)</f>
        <v>#N/A</v>
      </c>
      <c r="X472" s="161" t="e">
        <f>LOOKUP(X$2,'Depreciation Schedules'!$A$3:$A$42,'Depreciation Schedules'!$D$3:$D$42)</f>
        <v>#N/A</v>
      </c>
      <c r="Y472" s="161" t="e">
        <f>LOOKUP(Y$2,'Depreciation Schedules'!$A$3:$A$42,'Depreciation Schedules'!$D$3:$D$42)</f>
        <v>#N/A</v>
      </c>
      <c r="Z472" s="161" t="e">
        <f>LOOKUP(Z$2,'Depreciation Schedules'!$A$3:$A$42,'Depreciation Schedules'!$D$3:$D$42)</f>
        <v>#N/A</v>
      </c>
      <c r="AA472" s="161" t="e">
        <f>LOOKUP(AA$2,'Depreciation Schedules'!$A$3:$A$42,'Depreciation Schedules'!$D$3:$D$42)</f>
        <v>#N/A</v>
      </c>
      <c r="AB472" s="161" t="e">
        <f>LOOKUP(AB$2,'Depreciation Schedules'!$A$3:$A$42,'Depreciation Schedules'!$D$3:$D$42)</f>
        <v>#N/A</v>
      </c>
      <c r="AC472" s="161" t="e">
        <f>LOOKUP(AC$2,'Depreciation Schedules'!$A$3:$A$42,'Depreciation Schedules'!$D$3:$D$42)</f>
        <v>#N/A</v>
      </c>
      <c r="AD472" s="161" t="e">
        <f>LOOKUP(AD$2,'Depreciation Schedules'!$A$3:$A$42,'Depreciation Schedules'!$D$3:$D$42)</f>
        <v>#N/A</v>
      </c>
      <c r="AE472" s="161" t="e">
        <f>LOOKUP(AE$2,'Depreciation Schedules'!$A$3:$A$42,'Depreciation Schedules'!$D$3:$D$42)</f>
        <v>#N/A</v>
      </c>
      <c r="AF472" s="161" t="e">
        <f>LOOKUP(AF$2,'Depreciation Schedules'!$A$3:$A$42,'Depreciation Schedules'!$D$3:$D$42)</f>
        <v>#N/A</v>
      </c>
      <c r="AG472" s="161" t="e">
        <f>LOOKUP(AG$2,'Depreciation Schedules'!$A$3:$A$42,'Depreciation Schedules'!$D$3:$D$42)</f>
        <v>#N/A</v>
      </c>
      <c r="AH472" s="161" t="e">
        <f>LOOKUP(AH$2,'Depreciation Schedules'!$A$3:$A$42,'Depreciation Schedules'!$D$3:$D$42)</f>
        <v>#N/A</v>
      </c>
      <c r="AI472" s="161" t="e">
        <f>LOOKUP(AI$2,'Depreciation Schedules'!$A$3:$A$42,'Depreciation Schedules'!$D$3:$D$42)</f>
        <v>#N/A</v>
      </c>
      <c r="AJ472" s="161" t="e">
        <f>LOOKUP(AJ$2,'Depreciation Schedules'!$A$3:$A$42,'Depreciation Schedules'!$D$3:$D$42)</f>
        <v>#N/A</v>
      </c>
      <c r="AK472" s="161" t="e">
        <f>LOOKUP(AK$2,'Depreciation Schedules'!$A$3:$A$42,'Depreciation Schedules'!$D$3:$D$42)</f>
        <v>#N/A</v>
      </c>
      <c r="AL472" s="161" t="e">
        <f>LOOKUP(AL$2,'Depreciation Schedules'!$A$3:$A$42,'Depreciation Schedules'!$D$3:$D$42)</f>
        <v>#N/A</v>
      </c>
      <c r="AM472" s="161" t="e">
        <f>LOOKUP(AM$2,'Depreciation Schedules'!$A$3:$A$42,'Depreciation Schedules'!$D$3:$D$42)</f>
        <v>#N/A</v>
      </c>
      <c r="AN472" s="161" t="e">
        <f>LOOKUP(AN$2,'Depreciation Schedules'!$A$3:$A$42,'Depreciation Schedules'!$D$3:$D$42)</f>
        <v>#N/A</v>
      </c>
      <c r="AO472" s="161" t="e">
        <f>LOOKUP(AO$2,'Depreciation Schedules'!$A$3:$A$42,'Depreciation Schedules'!$D$3:$D$42)</f>
        <v>#N/A</v>
      </c>
      <c r="AP472" s="161" t="e">
        <f>LOOKUP(AP$2,'Depreciation Schedules'!$A$3:$A$42,'Depreciation Schedules'!$D$3:$D$42)</f>
        <v>#N/A</v>
      </c>
    </row>
    <row r="473" spans="1:42" x14ac:dyDescent="0.2">
      <c r="A473" s="22" t="str">
        <f t="shared" si="192"/>
        <v>15-yr SL</v>
      </c>
      <c r="B473" s="160">
        <f t="array" ref="B473">SUM(IF(ISNUMBER(C473:AP473),C473:AP473))</f>
        <v>0</v>
      </c>
      <c r="C473" s="161" t="e">
        <f>LOOKUP(C$2,'Depreciation Schedules'!$A$3:$A$42,'Depreciation Schedules'!$E$3:$E$42)</f>
        <v>#N/A</v>
      </c>
      <c r="D473" s="161" t="e">
        <f>LOOKUP(D$2,'Depreciation Schedules'!$A$3:$A$42,'Depreciation Schedules'!$E$3:$E$42)</f>
        <v>#N/A</v>
      </c>
      <c r="E473" s="161" t="e">
        <f>LOOKUP(E$2,'Depreciation Schedules'!$A$3:$A$42,'Depreciation Schedules'!$E$3:$E$42)</f>
        <v>#N/A</v>
      </c>
      <c r="F473" s="161" t="e">
        <f>LOOKUP(F$2,'Depreciation Schedules'!$A$3:$A$42,'Depreciation Schedules'!$E$3:$E$42)</f>
        <v>#N/A</v>
      </c>
      <c r="G473" s="161" t="e">
        <f>LOOKUP(G$2,'Depreciation Schedules'!$A$3:$A$42,'Depreciation Schedules'!$E$3:$E$42)</f>
        <v>#N/A</v>
      </c>
      <c r="H473" s="161" t="e">
        <f>LOOKUP(H$2,'Depreciation Schedules'!$A$3:$A$42,'Depreciation Schedules'!$E$3:$E$42)</f>
        <v>#N/A</v>
      </c>
      <c r="I473" s="161" t="e">
        <f>LOOKUP(I$2,'Depreciation Schedules'!$A$3:$A$42,'Depreciation Schedules'!$E$3:$E$42)</f>
        <v>#N/A</v>
      </c>
      <c r="J473" s="161" t="e">
        <f>LOOKUP(J$2,'Depreciation Schedules'!$A$3:$A$42,'Depreciation Schedules'!$E$3:$E$42)</f>
        <v>#N/A</v>
      </c>
      <c r="K473" s="161" t="e">
        <f>LOOKUP(K$2,'Depreciation Schedules'!$A$3:$A$42,'Depreciation Schedules'!$E$3:$E$42)</f>
        <v>#N/A</v>
      </c>
      <c r="L473" s="161" t="e">
        <f>LOOKUP(L$2,'Depreciation Schedules'!$A$3:$A$42,'Depreciation Schedules'!$E$3:$E$42)</f>
        <v>#N/A</v>
      </c>
      <c r="M473" s="161" t="e">
        <f>LOOKUP(M$2,'Depreciation Schedules'!$A$3:$A$42,'Depreciation Schedules'!$E$3:$E$42)</f>
        <v>#N/A</v>
      </c>
      <c r="N473" s="161" t="e">
        <f>LOOKUP(N$2,'Depreciation Schedules'!$A$3:$A$42,'Depreciation Schedules'!$E$3:$E$42)</f>
        <v>#N/A</v>
      </c>
      <c r="O473" s="161" t="e">
        <f>LOOKUP(O$2,'Depreciation Schedules'!$A$3:$A$42,'Depreciation Schedules'!$E$3:$E$42)</f>
        <v>#N/A</v>
      </c>
      <c r="P473" s="161" t="e">
        <f>LOOKUP(P$2,'Depreciation Schedules'!$A$3:$A$42,'Depreciation Schedules'!$E$3:$E$42)</f>
        <v>#N/A</v>
      </c>
      <c r="Q473" s="161" t="e">
        <f>LOOKUP(Q$2,'Depreciation Schedules'!$A$3:$A$42,'Depreciation Schedules'!$E$3:$E$42)</f>
        <v>#N/A</v>
      </c>
      <c r="R473" s="161" t="e">
        <f>LOOKUP(R$2,'Depreciation Schedules'!$A$3:$A$42,'Depreciation Schedules'!$E$3:$E$42)</f>
        <v>#N/A</v>
      </c>
      <c r="S473" s="161" t="e">
        <f>LOOKUP(S$2,'Depreciation Schedules'!$A$3:$A$42,'Depreciation Schedules'!$E$3:$E$42)</f>
        <v>#N/A</v>
      </c>
      <c r="T473" s="161" t="e">
        <f>LOOKUP(T$2,'Depreciation Schedules'!$A$3:$A$42,'Depreciation Schedules'!$E$3:$E$42)</f>
        <v>#N/A</v>
      </c>
      <c r="U473" s="161" t="e">
        <f>LOOKUP(U$2,'Depreciation Schedules'!$A$3:$A$42,'Depreciation Schedules'!$E$3:$E$42)</f>
        <v>#N/A</v>
      </c>
      <c r="V473" s="161" t="e">
        <f>LOOKUP(V$2,'Depreciation Schedules'!$A$3:$A$42,'Depreciation Schedules'!$E$3:$E$42)</f>
        <v>#N/A</v>
      </c>
      <c r="W473" s="161" t="e">
        <f>LOOKUP(W$2,'Depreciation Schedules'!$A$3:$A$42,'Depreciation Schedules'!$E$3:$E$42)</f>
        <v>#N/A</v>
      </c>
      <c r="X473" s="161" t="e">
        <f>LOOKUP(X$2,'Depreciation Schedules'!$A$3:$A$42,'Depreciation Schedules'!$E$3:$E$42)</f>
        <v>#N/A</v>
      </c>
      <c r="Y473" s="161" t="e">
        <f>LOOKUP(Y$2,'Depreciation Schedules'!$A$3:$A$42,'Depreciation Schedules'!$E$3:$E$42)</f>
        <v>#N/A</v>
      </c>
      <c r="Z473" s="161" t="e">
        <f>LOOKUP(Z$2,'Depreciation Schedules'!$A$3:$A$42,'Depreciation Schedules'!$E$3:$E$42)</f>
        <v>#N/A</v>
      </c>
      <c r="AA473" s="161" t="e">
        <f>LOOKUP(AA$2,'Depreciation Schedules'!$A$3:$A$42,'Depreciation Schedules'!$E$3:$E$42)</f>
        <v>#N/A</v>
      </c>
      <c r="AB473" s="161" t="e">
        <f>LOOKUP(AB$2,'Depreciation Schedules'!$A$3:$A$42,'Depreciation Schedules'!$E$3:$E$42)</f>
        <v>#N/A</v>
      </c>
      <c r="AC473" s="161" t="e">
        <f>LOOKUP(AC$2,'Depreciation Schedules'!$A$3:$A$42,'Depreciation Schedules'!$E$3:$E$42)</f>
        <v>#N/A</v>
      </c>
      <c r="AD473" s="161" t="e">
        <f>LOOKUP(AD$2,'Depreciation Schedules'!$A$3:$A$42,'Depreciation Schedules'!$E$3:$E$42)</f>
        <v>#N/A</v>
      </c>
      <c r="AE473" s="161" t="e">
        <f>LOOKUP(AE$2,'Depreciation Schedules'!$A$3:$A$42,'Depreciation Schedules'!$E$3:$E$42)</f>
        <v>#N/A</v>
      </c>
      <c r="AF473" s="161" t="e">
        <f>LOOKUP(AF$2,'Depreciation Schedules'!$A$3:$A$42,'Depreciation Schedules'!$E$3:$E$42)</f>
        <v>#N/A</v>
      </c>
      <c r="AG473" s="161" t="e">
        <f>LOOKUP(AG$2,'Depreciation Schedules'!$A$3:$A$42,'Depreciation Schedules'!$E$3:$E$42)</f>
        <v>#N/A</v>
      </c>
      <c r="AH473" s="161" t="e">
        <f>LOOKUP(AH$2,'Depreciation Schedules'!$A$3:$A$42,'Depreciation Schedules'!$E$3:$E$42)</f>
        <v>#N/A</v>
      </c>
      <c r="AI473" s="161" t="e">
        <f>LOOKUP(AI$2,'Depreciation Schedules'!$A$3:$A$42,'Depreciation Schedules'!$E$3:$E$42)</f>
        <v>#N/A</v>
      </c>
      <c r="AJ473" s="161" t="e">
        <f>LOOKUP(AJ$2,'Depreciation Schedules'!$A$3:$A$42,'Depreciation Schedules'!$E$3:$E$42)</f>
        <v>#N/A</v>
      </c>
      <c r="AK473" s="161" t="e">
        <f>LOOKUP(AK$2,'Depreciation Schedules'!$A$3:$A$42,'Depreciation Schedules'!$E$3:$E$42)</f>
        <v>#N/A</v>
      </c>
      <c r="AL473" s="161" t="e">
        <f>LOOKUP(AL$2,'Depreciation Schedules'!$A$3:$A$42,'Depreciation Schedules'!$E$3:$E$42)</f>
        <v>#N/A</v>
      </c>
      <c r="AM473" s="161" t="e">
        <f>LOOKUP(AM$2,'Depreciation Schedules'!$A$3:$A$42,'Depreciation Schedules'!$E$3:$E$42)</f>
        <v>#N/A</v>
      </c>
      <c r="AN473" s="161" t="e">
        <f>LOOKUP(AN$2,'Depreciation Schedules'!$A$3:$A$42,'Depreciation Schedules'!$E$3:$E$42)</f>
        <v>#N/A</v>
      </c>
      <c r="AO473" s="161" t="e">
        <f>LOOKUP(AO$2,'Depreciation Schedules'!$A$3:$A$42,'Depreciation Schedules'!$E$3:$E$42)</f>
        <v>#N/A</v>
      </c>
      <c r="AP473" s="161" t="e">
        <f>LOOKUP(AP$2,'Depreciation Schedules'!$A$3:$A$42,'Depreciation Schedules'!$E$3:$E$42)</f>
        <v>#N/A</v>
      </c>
    </row>
    <row r="474" spans="1:42" x14ac:dyDescent="0.2">
      <c r="A474" s="22" t="str">
        <f t="shared" si="192"/>
        <v>20-yr SL</v>
      </c>
      <c r="B474" s="160">
        <f t="array" ref="B474">SUM(IF(ISNUMBER(C474:AP474),C474:AP474))</f>
        <v>0</v>
      </c>
      <c r="C474" s="161" t="e">
        <f>LOOKUP(C$2,'Depreciation Schedules'!$A$3:$A$42,'Depreciation Schedules'!$F$3:$F$42)</f>
        <v>#N/A</v>
      </c>
      <c r="D474" s="161" t="e">
        <f>LOOKUP(D$2,'Depreciation Schedules'!$A$3:$A$42,'Depreciation Schedules'!$F$3:$F$42)</f>
        <v>#N/A</v>
      </c>
      <c r="E474" s="161" t="e">
        <f>LOOKUP(E$2,'Depreciation Schedules'!$A$3:$A$42,'Depreciation Schedules'!$F$3:$F$42)</f>
        <v>#N/A</v>
      </c>
      <c r="F474" s="161" t="e">
        <f>LOOKUP(F$2,'Depreciation Schedules'!$A$3:$A$42,'Depreciation Schedules'!$F$3:$F$42)</f>
        <v>#N/A</v>
      </c>
      <c r="G474" s="161" t="e">
        <f>LOOKUP(G$2,'Depreciation Schedules'!$A$3:$A$42,'Depreciation Schedules'!$F$3:$F$42)</f>
        <v>#N/A</v>
      </c>
      <c r="H474" s="161" t="e">
        <f>LOOKUP(H$2,'Depreciation Schedules'!$A$3:$A$42,'Depreciation Schedules'!$F$3:$F$42)</f>
        <v>#N/A</v>
      </c>
      <c r="I474" s="161" t="e">
        <f>LOOKUP(I$2,'Depreciation Schedules'!$A$3:$A$42,'Depreciation Schedules'!$F$3:$F$42)</f>
        <v>#N/A</v>
      </c>
      <c r="J474" s="161" t="e">
        <f>LOOKUP(J$2,'Depreciation Schedules'!$A$3:$A$42,'Depreciation Schedules'!$F$3:$F$42)</f>
        <v>#N/A</v>
      </c>
      <c r="K474" s="161" t="e">
        <f>LOOKUP(K$2,'Depreciation Schedules'!$A$3:$A$42,'Depreciation Schedules'!$F$3:$F$42)</f>
        <v>#N/A</v>
      </c>
      <c r="L474" s="161" t="e">
        <f>LOOKUP(L$2,'Depreciation Schedules'!$A$3:$A$42,'Depreciation Schedules'!$F$3:$F$42)</f>
        <v>#N/A</v>
      </c>
      <c r="M474" s="161" t="e">
        <f>LOOKUP(M$2,'Depreciation Schedules'!$A$3:$A$42,'Depreciation Schedules'!$F$3:$F$42)</f>
        <v>#N/A</v>
      </c>
      <c r="N474" s="161" t="e">
        <f>LOOKUP(N$2,'Depreciation Schedules'!$A$3:$A$42,'Depreciation Schedules'!$F$3:$F$42)</f>
        <v>#N/A</v>
      </c>
      <c r="O474" s="161" t="e">
        <f>LOOKUP(O$2,'Depreciation Schedules'!$A$3:$A$42,'Depreciation Schedules'!$F$3:$F$42)</f>
        <v>#N/A</v>
      </c>
      <c r="P474" s="161" t="e">
        <f>LOOKUP(P$2,'Depreciation Schedules'!$A$3:$A$42,'Depreciation Schedules'!$F$3:$F$42)</f>
        <v>#N/A</v>
      </c>
      <c r="Q474" s="161" t="e">
        <f>LOOKUP(Q$2,'Depreciation Schedules'!$A$3:$A$42,'Depreciation Schedules'!$F$3:$F$42)</f>
        <v>#N/A</v>
      </c>
      <c r="R474" s="161" t="e">
        <f>LOOKUP(R$2,'Depreciation Schedules'!$A$3:$A$42,'Depreciation Schedules'!$F$3:$F$42)</f>
        <v>#N/A</v>
      </c>
      <c r="S474" s="161" t="e">
        <f>LOOKUP(S$2,'Depreciation Schedules'!$A$3:$A$42,'Depreciation Schedules'!$F$3:$F$42)</f>
        <v>#N/A</v>
      </c>
      <c r="T474" s="161" t="e">
        <f>LOOKUP(T$2,'Depreciation Schedules'!$A$3:$A$42,'Depreciation Schedules'!$F$3:$F$42)</f>
        <v>#N/A</v>
      </c>
      <c r="U474" s="161" t="e">
        <f>LOOKUP(U$2,'Depreciation Schedules'!$A$3:$A$42,'Depreciation Schedules'!$F$3:$F$42)</f>
        <v>#N/A</v>
      </c>
      <c r="V474" s="161" t="e">
        <f>LOOKUP(V$2,'Depreciation Schedules'!$A$3:$A$42,'Depreciation Schedules'!$F$3:$F$42)</f>
        <v>#N/A</v>
      </c>
      <c r="W474" s="161" t="e">
        <f>LOOKUP(W$2,'Depreciation Schedules'!$A$3:$A$42,'Depreciation Schedules'!$F$3:$F$42)</f>
        <v>#N/A</v>
      </c>
      <c r="X474" s="161" t="e">
        <f>LOOKUP(X$2,'Depreciation Schedules'!$A$3:$A$42,'Depreciation Schedules'!$F$3:$F$42)</f>
        <v>#N/A</v>
      </c>
      <c r="Y474" s="161" t="e">
        <f>LOOKUP(Y$2,'Depreciation Schedules'!$A$3:$A$42,'Depreciation Schedules'!$F$3:$F$42)</f>
        <v>#N/A</v>
      </c>
      <c r="Z474" s="161" t="e">
        <f>LOOKUP(Z$2,'Depreciation Schedules'!$A$3:$A$42,'Depreciation Schedules'!$F$3:$F$42)</f>
        <v>#N/A</v>
      </c>
      <c r="AA474" s="161" t="e">
        <f>LOOKUP(AA$2,'Depreciation Schedules'!$A$3:$A$42,'Depreciation Schedules'!$F$3:$F$42)</f>
        <v>#N/A</v>
      </c>
      <c r="AB474" s="161" t="e">
        <f>LOOKUP(AB$2,'Depreciation Schedules'!$A$3:$A$42,'Depreciation Schedules'!$F$3:$F$42)</f>
        <v>#N/A</v>
      </c>
      <c r="AC474" s="161" t="e">
        <f>LOOKUP(AC$2,'Depreciation Schedules'!$A$3:$A$42,'Depreciation Schedules'!$F$3:$F$42)</f>
        <v>#N/A</v>
      </c>
      <c r="AD474" s="161" t="e">
        <f>LOOKUP(AD$2,'Depreciation Schedules'!$A$3:$A$42,'Depreciation Schedules'!$F$3:$F$42)</f>
        <v>#N/A</v>
      </c>
      <c r="AE474" s="161" t="e">
        <f>LOOKUP(AE$2,'Depreciation Schedules'!$A$3:$A$42,'Depreciation Schedules'!$F$3:$F$42)</f>
        <v>#N/A</v>
      </c>
      <c r="AF474" s="161" t="e">
        <f>LOOKUP(AF$2,'Depreciation Schedules'!$A$3:$A$42,'Depreciation Schedules'!$F$3:$F$42)</f>
        <v>#N/A</v>
      </c>
      <c r="AG474" s="161" t="e">
        <f>LOOKUP(AG$2,'Depreciation Schedules'!$A$3:$A$42,'Depreciation Schedules'!$F$3:$F$42)</f>
        <v>#N/A</v>
      </c>
      <c r="AH474" s="161" t="e">
        <f>LOOKUP(AH$2,'Depreciation Schedules'!$A$3:$A$42,'Depreciation Schedules'!$F$3:$F$42)</f>
        <v>#N/A</v>
      </c>
      <c r="AI474" s="161" t="e">
        <f>LOOKUP(AI$2,'Depreciation Schedules'!$A$3:$A$42,'Depreciation Schedules'!$F$3:$F$42)</f>
        <v>#N/A</v>
      </c>
      <c r="AJ474" s="161" t="e">
        <f>LOOKUP(AJ$2,'Depreciation Schedules'!$A$3:$A$42,'Depreciation Schedules'!$F$3:$F$42)</f>
        <v>#N/A</v>
      </c>
      <c r="AK474" s="161" t="e">
        <f>LOOKUP(AK$2,'Depreciation Schedules'!$A$3:$A$42,'Depreciation Schedules'!$F$3:$F$42)</f>
        <v>#N/A</v>
      </c>
      <c r="AL474" s="161" t="e">
        <f>LOOKUP(AL$2,'Depreciation Schedules'!$A$3:$A$42,'Depreciation Schedules'!$F$3:$F$42)</f>
        <v>#N/A</v>
      </c>
      <c r="AM474" s="161" t="e">
        <f>LOOKUP(AM$2,'Depreciation Schedules'!$A$3:$A$42,'Depreciation Schedules'!$F$3:$F$42)</f>
        <v>#N/A</v>
      </c>
      <c r="AN474" s="161" t="e">
        <f>LOOKUP(AN$2,'Depreciation Schedules'!$A$3:$A$42,'Depreciation Schedules'!$F$3:$F$42)</f>
        <v>#N/A</v>
      </c>
      <c r="AO474" s="161" t="e">
        <f>LOOKUP(AO$2,'Depreciation Schedules'!$A$3:$A$42,'Depreciation Schedules'!$F$3:$F$42)</f>
        <v>#N/A</v>
      </c>
      <c r="AP474" s="161" t="e">
        <f>LOOKUP(AP$2,'Depreciation Schedules'!$A$3:$A$42,'Depreciation Schedules'!$F$3:$F$42)</f>
        <v>#N/A</v>
      </c>
    </row>
    <row r="475" spans="1:42" x14ac:dyDescent="0.2">
      <c r="A475" s="22" t="str">
        <f t="shared" si="192"/>
        <v>39-yr SL</v>
      </c>
      <c r="B475" s="164">
        <f t="array" ref="B475">SUM(IF(ISNUMBER(C475:AP475),C475:AP475))</f>
        <v>0</v>
      </c>
      <c r="C475" s="161" t="e">
        <f>LOOKUP(C$2,'Depreciation Schedules'!$A$3:$A$42,'Depreciation Schedules'!$G$3:$G$42)</f>
        <v>#N/A</v>
      </c>
      <c r="D475" s="161" t="e">
        <f>LOOKUP(D$2,'Depreciation Schedules'!$A$3:$A$42,'Depreciation Schedules'!$G$3:$G$42)</f>
        <v>#N/A</v>
      </c>
      <c r="E475" s="161" t="e">
        <f>LOOKUP(E$2,'Depreciation Schedules'!$A$3:$A$42,'Depreciation Schedules'!$G$3:$G$42)</f>
        <v>#N/A</v>
      </c>
      <c r="F475" s="161" t="e">
        <f>LOOKUP(F$2,'Depreciation Schedules'!$A$3:$A$42,'Depreciation Schedules'!$G$3:$G$42)</f>
        <v>#N/A</v>
      </c>
      <c r="G475" s="161" t="e">
        <f>LOOKUP(G$2,'Depreciation Schedules'!$A$3:$A$42,'Depreciation Schedules'!$G$3:$G$42)</f>
        <v>#N/A</v>
      </c>
      <c r="H475" s="161" t="e">
        <f>LOOKUP(H$2,'Depreciation Schedules'!$A$3:$A$42,'Depreciation Schedules'!$G$3:$G$42)</f>
        <v>#N/A</v>
      </c>
      <c r="I475" s="161" t="e">
        <f>LOOKUP(I$2,'Depreciation Schedules'!$A$3:$A$42,'Depreciation Schedules'!$G$3:$G$42)</f>
        <v>#N/A</v>
      </c>
      <c r="J475" s="161" t="e">
        <f>LOOKUP(J$2,'Depreciation Schedules'!$A$3:$A$42,'Depreciation Schedules'!$G$3:$G$42)</f>
        <v>#N/A</v>
      </c>
      <c r="K475" s="161" t="e">
        <f>LOOKUP(K$2,'Depreciation Schedules'!$A$3:$A$42,'Depreciation Schedules'!$G$3:$G$42)</f>
        <v>#N/A</v>
      </c>
      <c r="L475" s="161" t="e">
        <f>LOOKUP(L$2,'Depreciation Schedules'!$A$3:$A$42,'Depreciation Schedules'!$G$3:$G$42)</f>
        <v>#N/A</v>
      </c>
      <c r="M475" s="161" t="e">
        <f>LOOKUP(M$2,'Depreciation Schedules'!$A$3:$A$42,'Depreciation Schedules'!$G$3:$G$42)</f>
        <v>#N/A</v>
      </c>
      <c r="N475" s="161" t="e">
        <f>LOOKUP(N$2,'Depreciation Schedules'!$A$3:$A$42,'Depreciation Schedules'!$G$3:$G$42)</f>
        <v>#N/A</v>
      </c>
      <c r="O475" s="161" t="e">
        <f>LOOKUP(O$2,'Depreciation Schedules'!$A$3:$A$42,'Depreciation Schedules'!$G$3:$G$42)</f>
        <v>#N/A</v>
      </c>
      <c r="P475" s="161" t="e">
        <f>LOOKUP(P$2,'Depreciation Schedules'!$A$3:$A$42,'Depreciation Schedules'!$G$3:$G$42)</f>
        <v>#N/A</v>
      </c>
      <c r="Q475" s="161" t="e">
        <f>LOOKUP(Q$2,'Depreciation Schedules'!$A$3:$A$42,'Depreciation Schedules'!$G$3:$G$42)</f>
        <v>#N/A</v>
      </c>
      <c r="R475" s="161" t="e">
        <f>LOOKUP(R$2,'Depreciation Schedules'!$A$3:$A$42,'Depreciation Schedules'!$G$3:$G$42)</f>
        <v>#N/A</v>
      </c>
      <c r="S475" s="161" t="e">
        <f>LOOKUP(S$2,'Depreciation Schedules'!$A$3:$A$42,'Depreciation Schedules'!$G$3:$G$42)</f>
        <v>#N/A</v>
      </c>
      <c r="T475" s="161" t="e">
        <f>LOOKUP(T$2,'Depreciation Schedules'!$A$3:$A$42,'Depreciation Schedules'!$G$3:$G$42)</f>
        <v>#N/A</v>
      </c>
      <c r="U475" s="161" t="e">
        <f>LOOKUP(U$2,'Depreciation Schedules'!$A$3:$A$42,'Depreciation Schedules'!$G$3:$G$42)</f>
        <v>#N/A</v>
      </c>
      <c r="V475" s="161" t="e">
        <f>LOOKUP(V$2,'Depreciation Schedules'!$A$3:$A$42,'Depreciation Schedules'!$G$3:$G$42)</f>
        <v>#N/A</v>
      </c>
      <c r="W475" s="161" t="e">
        <f>LOOKUP(W$2,'Depreciation Schedules'!$A$3:$A$42,'Depreciation Schedules'!$G$3:$G$42)</f>
        <v>#N/A</v>
      </c>
      <c r="X475" s="161" t="e">
        <f>LOOKUP(X$2,'Depreciation Schedules'!$A$3:$A$42,'Depreciation Schedules'!$G$3:$G$42)</f>
        <v>#N/A</v>
      </c>
      <c r="Y475" s="161" t="e">
        <f>LOOKUP(Y$2,'Depreciation Schedules'!$A$3:$A$42,'Depreciation Schedules'!$G$3:$G$42)</f>
        <v>#N/A</v>
      </c>
      <c r="Z475" s="161" t="e">
        <f>LOOKUP(Z$2,'Depreciation Schedules'!$A$3:$A$42,'Depreciation Schedules'!$G$3:$G$42)</f>
        <v>#N/A</v>
      </c>
      <c r="AA475" s="161" t="e">
        <f>LOOKUP(AA$2,'Depreciation Schedules'!$A$3:$A$42,'Depreciation Schedules'!$G$3:$G$42)</f>
        <v>#N/A</v>
      </c>
      <c r="AB475" s="161" t="e">
        <f>LOOKUP(AB$2,'Depreciation Schedules'!$A$3:$A$42,'Depreciation Schedules'!$G$3:$G$42)</f>
        <v>#N/A</v>
      </c>
      <c r="AC475" s="161" t="e">
        <f>LOOKUP(AC$2,'Depreciation Schedules'!$A$3:$A$42,'Depreciation Schedules'!$G$3:$G$42)</f>
        <v>#N/A</v>
      </c>
      <c r="AD475" s="161" t="e">
        <f>LOOKUP(AD$2,'Depreciation Schedules'!$A$3:$A$42,'Depreciation Schedules'!$G$3:$G$42)</f>
        <v>#N/A</v>
      </c>
      <c r="AE475" s="161" t="e">
        <f>LOOKUP(AE$2,'Depreciation Schedules'!$A$3:$A$42,'Depreciation Schedules'!$G$3:$G$42)</f>
        <v>#N/A</v>
      </c>
      <c r="AF475" s="161" t="e">
        <f>LOOKUP(AF$2,'Depreciation Schedules'!$A$3:$A$42,'Depreciation Schedules'!$G$3:$G$42)</f>
        <v>#N/A</v>
      </c>
      <c r="AG475" s="161" t="e">
        <f>LOOKUP(AG$2,'Depreciation Schedules'!$A$3:$A$42,'Depreciation Schedules'!$G$3:$G$42)</f>
        <v>#N/A</v>
      </c>
      <c r="AH475" s="161" t="e">
        <f>LOOKUP(AH$2,'Depreciation Schedules'!$A$3:$A$42,'Depreciation Schedules'!$G$3:$G$42)</f>
        <v>#N/A</v>
      </c>
      <c r="AI475" s="161" t="e">
        <f>LOOKUP(AI$2,'Depreciation Schedules'!$A$3:$A$42,'Depreciation Schedules'!$G$3:$G$42)</f>
        <v>#N/A</v>
      </c>
      <c r="AJ475" s="161" t="e">
        <f>LOOKUP(AJ$2,'Depreciation Schedules'!$A$3:$A$42,'Depreciation Schedules'!$G$3:$G$42)</f>
        <v>#N/A</v>
      </c>
      <c r="AK475" s="161" t="e">
        <f>LOOKUP(AK$2,'Depreciation Schedules'!$A$3:$A$42,'Depreciation Schedules'!$G$3:$G$42)</f>
        <v>#N/A</v>
      </c>
      <c r="AL475" s="161" t="e">
        <f>LOOKUP(AL$2,'Depreciation Schedules'!$A$3:$A$42,'Depreciation Schedules'!$G$3:$G$42)</f>
        <v>#N/A</v>
      </c>
      <c r="AM475" s="161" t="e">
        <f>LOOKUP(AM$2,'Depreciation Schedules'!$A$3:$A$42,'Depreciation Schedules'!$G$3:$G$42)</f>
        <v>#N/A</v>
      </c>
      <c r="AN475" s="161" t="e">
        <f>LOOKUP(AN$2,'Depreciation Schedules'!$A$3:$A$42,'Depreciation Schedules'!$G$3:$G$42)</f>
        <v>#N/A</v>
      </c>
      <c r="AO475" s="161" t="e">
        <f>LOOKUP(AO$2,'Depreciation Schedules'!$A$3:$A$42,'Depreciation Schedules'!$G$3:$G$42)</f>
        <v>#N/A</v>
      </c>
      <c r="AP475" s="161" t="e">
        <f>LOOKUP(AP$2,'Depreciation Schedules'!$A$3:$A$42,'Depreciation Schedules'!$G$3:$G$42)</f>
        <v>#N/A</v>
      </c>
    </row>
    <row r="476" spans="1:42" x14ac:dyDescent="0.2">
      <c r="A476" s="22" t="s">
        <v>301</v>
      </c>
      <c r="B476" s="164">
        <f t="array" ref="B476">SUM(IF(ISNUMBER(C476:AP476),C476:AP476))</f>
        <v>0</v>
      </c>
      <c r="C476" s="161">
        <f t="array" ref="C476:AP476">Inputs!D220:AQ220</f>
        <v>0</v>
      </c>
      <c r="D476" s="161">
        <v>0</v>
      </c>
      <c r="E476" s="161">
        <v>0</v>
      </c>
      <c r="F476" s="161">
        <v>0</v>
      </c>
      <c r="G476" s="161">
        <v>0</v>
      </c>
      <c r="H476" s="161">
        <v>0</v>
      </c>
      <c r="I476" s="161">
        <v>0</v>
      </c>
      <c r="J476" s="161">
        <v>0</v>
      </c>
      <c r="K476" s="161">
        <v>0</v>
      </c>
      <c r="L476" s="161">
        <v>0</v>
      </c>
      <c r="M476" s="161">
        <v>0</v>
      </c>
      <c r="N476" s="161">
        <v>0</v>
      </c>
      <c r="O476" s="161">
        <v>0</v>
      </c>
      <c r="P476" s="161">
        <v>0</v>
      </c>
      <c r="Q476" s="161">
        <v>0</v>
      </c>
      <c r="R476" s="161">
        <v>0</v>
      </c>
      <c r="S476" s="161">
        <v>0</v>
      </c>
      <c r="T476" s="161">
        <v>0</v>
      </c>
      <c r="U476" s="161">
        <v>0</v>
      </c>
      <c r="V476" s="161">
        <v>0</v>
      </c>
      <c r="W476" s="161">
        <v>0</v>
      </c>
      <c r="X476" s="161">
        <v>0</v>
      </c>
      <c r="Y476" s="161">
        <v>0</v>
      </c>
      <c r="Z476" s="161">
        <v>0</v>
      </c>
      <c r="AA476" s="161">
        <v>0</v>
      </c>
      <c r="AB476" s="161">
        <v>0</v>
      </c>
      <c r="AC476" s="161">
        <v>0</v>
      </c>
      <c r="AD476" s="161">
        <v>0</v>
      </c>
      <c r="AE476" s="161">
        <v>0</v>
      </c>
      <c r="AF476" s="161">
        <v>0</v>
      </c>
      <c r="AG476" s="161">
        <v>0</v>
      </c>
      <c r="AH476" s="161">
        <v>0</v>
      </c>
      <c r="AI476" s="161">
        <v>0</v>
      </c>
      <c r="AJ476" s="161">
        <v>0</v>
      </c>
      <c r="AK476" s="161">
        <v>0</v>
      </c>
      <c r="AL476" s="161">
        <v>0</v>
      </c>
      <c r="AM476" s="161">
        <v>0</v>
      </c>
      <c r="AN476" s="161">
        <v>0</v>
      </c>
      <c r="AO476" s="161">
        <v>0</v>
      </c>
      <c r="AP476" s="161">
        <v>0</v>
      </c>
    </row>
    <row r="477" spans="1:42" x14ac:dyDescent="0.2">
      <c r="A477" s="21" t="s">
        <v>3</v>
      </c>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row>
    <row r="478" spans="1:42" x14ac:dyDescent="0.2">
      <c r="A478" s="22" t="str">
        <f t="shared" ref="A478:A483" si="193">A470</f>
        <v>5-yr MACRS</v>
      </c>
      <c r="B478" s="173">
        <f t="array" ref="B478">SUM(IF(ISNUMBER(C478:AP478),C478:AP478))</f>
        <v>0</v>
      </c>
      <c r="C478" s="115" t="e">
        <f>C470/100*$Q$436</f>
        <v>#N/A</v>
      </c>
      <c r="D478" s="115" t="e">
        <f t="shared" ref="D478:AP478" si="194">D470/100*$Q$436</f>
        <v>#N/A</v>
      </c>
      <c r="E478" s="115" t="e">
        <f t="shared" si="194"/>
        <v>#N/A</v>
      </c>
      <c r="F478" s="115" t="e">
        <f t="shared" si="194"/>
        <v>#N/A</v>
      </c>
      <c r="G478" s="115" t="e">
        <f t="shared" si="194"/>
        <v>#N/A</v>
      </c>
      <c r="H478" s="115" t="e">
        <f t="shared" si="194"/>
        <v>#N/A</v>
      </c>
      <c r="I478" s="115" t="e">
        <f t="shared" si="194"/>
        <v>#N/A</v>
      </c>
      <c r="J478" s="115" t="e">
        <f t="shared" si="194"/>
        <v>#N/A</v>
      </c>
      <c r="K478" s="115" t="e">
        <f t="shared" si="194"/>
        <v>#N/A</v>
      </c>
      <c r="L478" s="115" t="e">
        <f t="shared" si="194"/>
        <v>#N/A</v>
      </c>
      <c r="M478" s="115" t="e">
        <f t="shared" si="194"/>
        <v>#N/A</v>
      </c>
      <c r="N478" s="115" t="e">
        <f t="shared" si="194"/>
        <v>#N/A</v>
      </c>
      <c r="O478" s="115" t="e">
        <f t="shared" si="194"/>
        <v>#N/A</v>
      </c>
      <c r="P478" s="115" t="e">
        <f t="shared" si="194"/>
        <v>#N/A</v>
      </c>
      <c r="Q478" s="115" t="e">
        <f t="shared" si="194"/>
        <v>#N/A</v>
      </c>
      <c r="R478" s="115" t="e">
        <f t="shared" si="194"/>
        <v>#N/A</v>
      </c>
      <c r="S478" s="115" t="e">
        <f t="shared" si="194"/>
        <v>#N/A</v>
      </c>
      <c r="T478" s="115" t="e">
        <f t="shared" si="194"/>
        <v>#N/A</v>
      </c>
      <c r="U478" s="115" t="e">
        <f t="shared" si="194"/>
        <v>#N/A</v>
      </c>
      <c r="V478" s="115" t="e">
        <f t="shared" si="194"/>
        <v>#N/A</v>
      </c>
      <c r="W478" s="115" t="e">
        <f t="shared" si="194"/>
        <v>#N/A</v>
      </c>
      <c r="X478" s="115" t="e">
        <f t="shared" si="194"/>
        <v>#N/A</v>
      </c>
      <c r="Y478" s="115" t="e">
        <f t="shared" si="194"/>
        <v>#N/A</v>
      </c>
      <c r="Z478" s="115" t="e">
        <f t="shared" si="194"/>
        <v>#N/A</v>
      </c>
      <c r="AA478" s="115" t="e">
        <f t="shared" si="194"/>
        <v>#N/A</v>
      </c>
      <c r="AB478" s="115" t="e">
        <f t="shared" si="194"/>
        <v>#N/A</v>
      </c>
      <c r="AC478" s="115" t="e">
        <f t="shared" si="194"/>
        <v>#N/A</v>
      </c>
      <c r="AD478" s="115" t="e">
        <f t="shared" si="194"/>
        <v>#N/A</v>
      </c>
      <c r="AE478" s="115" t="e">
        <f t="shared" si="194"/>
        <v>#N/A</v>
      </c>
      <c r="AF478" s="115" t="e">
        <f t="shared" si="194"/>
        <v>#N/A</v>
      </c>
      <c r="AG478" s="115" t="e">
        <f t="shared" si="194"/>
        <v>#N/A</v>
      </c>
      <c r="AH478" s="115" t="e">
        <f t="shared" si="194"/>
        <v>#N/A</v>
      </c>
      <c r="AI478" s="115" t="e">
        <f t="shared" si="194"/>
        <v>#N/A</v>
      </c>
      <c r="AJ478" s="115" t="e">
        <f t="shared" si="194"/>
        <v>#N/A</v>
      </c>
      <c r="AK478" s="115" t="e">
        <f t="shared" si="194"/>
        <v>#N/A</v>
      </c>
      <c r="AL478" s="115" t="e">
        <f t="shared" si="194"/>
        <v>#N/A</v>
      </c>
      <c r="AM478" s="115" t="e">
        <f t="shared" si="194"/>
        <v>#N/A</v>
      </c>
      <c r="AN478" s="115" t="e">
        <f t="shared" si="194"/>
        <v>#N/A</v>
      </c>
      <c r="AO478" s="115" t="e">
        <f t="shared" si="194"/>
        <v>#N/A</v>
      </c>
      <c r="AP478" s="115" t="e">
        <f t="shared" si="194"/>
        <v>#N/A</v>
      </c>
    </row>
    <row r="479" spans="1:42" x14ac:dyDescent="0.2">
      <c r="A479" s="22" t="str">
        <f t="shared" si="193"/>
        <v>15-yr MACRS</v>
      </c>
      <c r="B479" s="173">
        <f t="array" ref="B479">SUM(IF(ISNUMBER(C479:AP479),C479:AP479))</f>
        <v>0</v>
      </c>
      <c r="C479" s="115" t="e">
        <f>C471/100*$Q$437</f>
        <v>#N/A</v>
      </c>
      <c r="D479" s="115" t="e">
        <f t="shared" ref="D479:AP479" si="195">D471/100*$Q$437</f>
        <v>#N/A</v>
      </c>
      <c r="E479" s="115" t="e">
        <f t="shared" si="195"/>
        <v>#N/A</v>
      </c>
      <c r="F479" s="115" t="e">
        <f t="shared" si="195"/>
        <v>#N/A</v>
      </c>
      <c r="G479" s="115" t="e">
        <f t="shared" si="195"/>
        <v>#N/A</v>
      </c>
      <c r="H479" s="115" t="e">
        <f t="shared" si="195"/>
        <v>#N/A</v>
      </c>
      <c r="I479" s="115" t="e">
        <f t="shared" si="195"/>
        <v>#N/A</v>
      </c>
      <c r="J479" s="115" t="e">
        <f t="shared" si="195"/>
        <v>#N/A</v>
      </c>
      <c r="K479" s="115" t="e">
        <f t="shared" si="195"/>
        <v>#N/A</v>
      </c>
      <c r="L479" s="115" t="e">
        <f t="shared" si="195"/>
        <v>#N/A</v>
      </c>
      <c r="M479" s="115" t="e">
        <f t="shared" si="195"/>
        <v>#N/A</v>
      </c>
      <c r="N479" s="115" t="e">
        <f t="shared" si="195"/>
        <v>#N/A</v>
      </c>
      <c r="O479" s="115" t="e">
        <f t="shared" si="195"/>
        <v>#N/A</v>
      </c>
      <c r="P479" s="115" t="e">
        <f t="shared" si="195"/>
        <v>#N/A</v>
      </c>
      <c r="Q479" s="115" t="e">
        <f t="shared" si="195"/>
        <v>#N/A</v>
      </c>
      <c r="R479" s="115" t="e">
        <f t="shared" si="195"/>
        <v>#N/A</v>
      </c>
      <c r="S479" s="115" t="e">
        <f t="shared" si="195"/>
        <v>#N/A</v>
      </c>
      <c r="T479" s="115" t="e">
        <f t="shared" si="195"/>
        <v>#N/A</v>
      </c>
      <c r="U479" s="115" t="e">
        <f t="shared" si="195"/>
        <v>#N/A</v>
      </c>
      <c r="V479" s="115" t="e">
        <f t="shared" si="195"/>
        <v>#N/A</v>
      </c>
      <c r="W479" s="115" t="e">
        <f t="shared" si="195"/>
        <v>#N/A</v>
      </c>
      <c r="X479" s="115" t="e">
        <f t="shared" si="195"/>
        <v>#N/A</v>
      </c>
      <c r="Y479" s="115" t="e">
        <f t="shared" si="195"/>
        <v>#N/A</v>
      </c>
      <c r="Z479" s="115" t="e">
        <f t="shared" si="195"/>
        <v>#N/A</v>
      </c>
      <c r="AA479" s="115" t="e">
        <f t="shared" si="195"/>
        <v>#N/A</v>
      </c>
      <c r="AB479" s="115" t="e">
        <f t="shared" si="195"/>
        <v>#N/A</v>
      </c>
      <c r="AC479" s="115" t="e">
        <f t="shared" si="195"/>
        <v>#N/A</v>
      </c>
      <c r="AD479" s="115" t="e">
        <f t="shared" si="195"/>
        <v>#N/A</v>
      </c>
      <c r="AE479" s="115" t="e">
        <f t="shared" si="195"/>
        <v>#N/A</v>
      </c>
      <c r="AF479" s="115" t="e">
        <f t="shared" si="195"/>
        <v>#N/A</v>
      </c>
      <c r="AG479" s="115" t="e">
        <f t="shared" si="195"/>
        <v>#N/A</v>
      </c>
      <c r="AH479" s="115" t="e">
        <f t="shared" si="195"/>
        <v>#N/A</v>
      </c>
      <c r="AI479" s="115" t="e">
        <f t="shared" si="195"/>
        <v>#N/A</v>
      </c>
      <c r="AJ479" s="115" t="e">
        <f t="shared" si="195"/>
        <v>#N/A</v>
      </c>
      <c r="AK479" s="115" t="e">
        <f t="shared" si="195"/>
        <v>#N/A</v>
      </c>
      <c r="AL479" s="115" t="e">
        <f t="shared" si="195"/>
        <v>#N/A</v>
      </c>
      <c r="AM479" s="115" t="e">
        <f t="shared" si="195"/>
        <v>#N/A</v>
      </c>
      <c r="AN479" s="115" t="e">
        <f t="shared" si="195"/>
        <v>#N/A</v>
      </c>
      <c r="AO479" s="115" t="e">
        <f t="shared" si="195"/>
        <v>#N/A</v>
      </c>
      <c r="AP479" s="115" t="e">
        <f t="shared" si="195"/>
        <v>#N/A</v>
      </c>
    </row>
    <row r="480" spans="1:42" x14ac:dyDescent="0.2">
      <c r="A480" s="22" t="str">
        <f t="shared" si="193"/>
        <v>5-yr SL</v>
      </c>
      <c r="B480" s="173">
        <f t="array" ref="B480">SUM(IF(ISNUMBER(C480:AP480),C480:AP480))</f>
        <v>0</v>
      </c>
      <c r="C480" s="115" t="e">
        <f>C472/100*$Q$438</f>
        <v>#N/A</v>
      </c>
      <c r="D480" s="115" t="e">
        <f t="shared" ref="D480:AP480" si="196">D472/100*$Q$438</f>
        <v>#N/A</v>
      </c>
      <c r="E480" s="115" t="e">
        <f t="shared" si="196"/>
        <v>#N/A</v>
      </c>
      <c r="F480" s="115" t="e">
        <f t="shared" si="196"/>
        <v>#N/A</v>
      </c>
      <c r="G480" s="115" t="e">
        <f t="shared" si="196"/>
        <v>#N/A</v>
      </c>
      <c r="H480" s="115" t="e">
        <f t="shared" si="196"/>
        <v>#N/A</v>
      </c>
      <c r="I480" s="115" t="e">
        <f t="shared" si="196"/>
        <v>#N/A</v>
      </c>
      <c r="J480" s="115" t="e">
        <f t="shared" si="196"/>
        <v>#N/A</v>
      </c>
      <c r="K480" s="115" t="e">
        <f t="shared" si="196"/>
        <v>#N/A</v>
      </c>
      <c r="L480" s="115" t="e">
        <f t="shared" si="196"/>
        <v>#N/A</v>
      </c>
      <c r="M480" s="115" t="e">
        <f t="shared" si="196"/>
        <v>#N/A</v>
      </c>
      <c r="N480" s="115" t="e">
        <f t="shared" si="196"/>
        <v>#N/A</v>
      </c>
      <c r="O480" s="115" t="e">
        <f t="shared" si="196"/>
        <v>#N/A</v>
      </c>
      <c r="P480" s="115" t="e">
        <f t="shared" si="196"/>
        <v>#N/A</v>
      </c>
      <c r="Q480" s="115" t="e">
        <f t="shared" si="196"/>
        <v>#N/A</v>
      </c>
      <c r="R480" s="115" t="e">
        <f t="shared" si="196"/>
        <v>#N/A</v>
      </c>
      <c r="S480" s="115" t="e">
        <f t="shared" si="196"/>
        <v>#N/A</v>
      </c>
      <c r="T480" s="115" t="e">
        <f t="shared" si="196"/>
        <v>#N/A</v>
      </c>
      <c r="U480" s="115" t="e">
        <f t="shared" si="196"/>
        <v>#N/A</v>
      </c>
      <c r="V480" s="115" t="e">
        <f t="shared" si="196"/>
        <v>#N/A</v>
      </c>
      <c r="W480" s="115" t="e">
        <f t="shared" si="196"/>
        <v>#N/A</v>
      </c>
      <c r="X480" s="115" t="e">
        <f t="shared" si="196"/>
        <v>#N/A</v>
      </c>
      <c r="Y480" s="115" t="e">
        <f t="shared" si="196"/>
        <v>#N/A</v>
      </c>
      <c r="Z480" s="115" t="e">
        <f t="shared" si="196"/>
        <v>#N/A</v>
      </c>
      <c r="AA480" s="115" t="e">
        <f t="shared" si="196"/>
        <v>#N/A</v>
      </c>
      <c r="AB480" s="115" t="e">
        <f t="shared" si="196"/>
        <v>#N/A</v>
      </c>
      <c r="AC480" s="115" t="e">
        <f t="shared" si="196"/>
        <v>#N/A</v>
      </c>
      <c r="AD480" s="115" t="e">
        <f t="shared" si="196"/>
        <v>#N/A</v>
      </c>
      <c r="AE480" s="115" t="e">
        <f t="shared" si="196"/>
        <v>#N/A</v>
      </c>
      <c r="AF480" s="115" t="e">
        <f t="shared" si="196"/>
        <v>#N/A</v>
      </c>
      <c r="AG480" s="115" t="e">
        <f t="shared" si="196"/>
        <v>#N/A</v>
      </c>
      <c r="AH480" s="115" t="e">
        <f t="shared" si="196"/>
        <v>#N/A</v>
      </c>
      <c r="AI480" s="115" t="e">
        <f t="shared" si="196"/>
        <v>#N/A</v>
      </c>
      <c r="AJ480" s="115" t="e">
        <f t="shared" si="196"/>
        <v>#N/A</v>
      </c>
      <c r="AK480" s="115" t="e">
        <f t="shared" si="196"/>
        <v>#N/A</v>
      </c>
      <c r="AL480" s="115" t="e">
        <f t="shared" si="196"/>
        <v>#N/A</v>
      </c>
      <c r="AM480" s="115" t="e">
        <f t="shared" si="196"/>
        <v>#N/A</v>
      </c>
      <c r="AN480" s="115" t="e">
        <f t="shared" si="196"/>
        <v>#N/A</v>
      </c>
      <c r="AO480" s="115" t="e">
        <f t="shared" si="196"/>
        <v>#N/A</v>
      </c>
      <c r="AP480" s="115" t="e">
        <f t="shared" si="196"/>
        <v>#N/A</v>
      </c>
    </row>
    <row r="481" spans="1:42" x14ac:dyDescent="0.2">
      <c r="A481" s="22" t="str">
        <f t="shared" si="193"/>
        <v>15-yr SL</v>
      </c>
      <c r="B481" s="173">
        <f t="array" ref="B481">SUM(IF(ISNUMBER(C481:AP481),C481:AP481))</f>
        <v>0</v>
      </c>
      <c r="C481" s="115" t="e">
        <f>C473/100*$Q$439</f>
        <v>#N/A</v>
      </c>
      <c r="D481" s="115" t="e">
        <f t="shared" ref="D481:AP481" si="197">D473/100*$Q$439</f>
        <v>#N/A</v>
      </c>
      <c r="E481" s="115" t="e">
        <f t="shared" si="197"/>
        <v>#N/A</v>
      </c>
      <c r="F481" s="115" t="e">
        <f t="shared" si="197"/>
        <v>#N/A</v>
      </c>
      <c r="G481" s="115" t="e">
        <f t="shared" si="197"/>
        <v>#N/A</v>
      </c>
      <c r="H481" s="115" t="e">
        <f t="shared" si="197"/>
        <v>#N/A</v>
      </c>
      <c r="I481" s="115" t="e">
        <f t="shared" si="197"/>
        <v>#N/A</v>
      </c>
      <c r="J481" s="115" t="e">
        <f t="shared" si="197"/>
        <v>#N/A</v>
      </c>
      <c r="K481" s="115" t="e">
        <f t="shared" si="197"/>
        <v>#N/A</v>
      </c>
      <c r="L481" s="115" t="e">
        <f t="shared" si="197"/>
        <v>#N/A</v>
      </c>
      <c r="M481" s="115" t="e">
        <f t="shared" si="197"/>
        <v>#N/A</v>
      </c>
      <c r="N481" s="115" t="e">
        <f t="shared" si="197"/>
        <v>#N/A</v>
      </c>
      <c r="O481" s="115" t="e">
        <f t="shared" si="197"/>
        <v>#N/A</v>
      </c>
      <c r="P481" s="115" t="e">
        <f t="shared" si="197"/>
        <v>#N/A</v>
      </c>
      <c r="Q481" s="115" t="e">
        <f t="shared" si="197"/>
        <v>#N/A</v>
      </c>
      <c r="R481" s="115" t="e">
        <f t="shared" si="197"/>
        <v>#N/A</v>
      </c>
      <c r="S481" s="115" t="e">
        <f t="shared" si="197"/>
        <v>#N/A</v>
      </c>
      <c r="T481" s="115" t="e">
        <f t="shared" si="197"/>
        <v>#N/A</v>
      </c>
      <c r="U481" s="115" t="e">
        <f t="shared" si="197"/>
        <v>#N/A</v>
      </c>
      <c r="V481" s="115" t="e">
        <f t="shared" si="197"/>
        <v>#N/A</v>
      </c>
      <c r="W481" s="115" t="e">
        <f t="shared" si="197"/>
        <v>#N/A</v>
      </c>
      <c r="X481" s="115" t="e">
        <f t="shared" si="197"/>
        <v>#N/A</v>
      </c>
      <c r="Y481" s="115" t="e">
        <f t="shared" si="197"/>
        <v>#N/A</v>
      </c>
      <c r="Z481" s="115" t="e">
        <f t="shared" si="197"/>
        <v>#N/A</v>
      </c>
      <c r="AA481" s="115" t="e">
        <f t="shared" si="197"/>
        <v>#N/A</v>
      </c>
      <c r="AB481" s="115" t="e">
        <f t="shared" si="197"/>
        <v>#N/A</v>
      </c>
      <c r="AC481" s="115" t="e">
        <f t="shared" si="197"/>
        <v>#N/A</v>
      </c>
      <c r="AD481" s="115" t="e">
        <f t="shared" si="197"/>
        <v>#N/A</v>
      </c>
      <c r="AE481" s="115" t="e">
        <f t="shared" si="197"/>
        <v>#N/A</v>
      </c>
      <c r="AF481" s="115" t="e">
        <f t="shared" si="197"/>
        <v>#N/A</v>
      </c>
      <c r="AG481" s="115" t="e">
        <f t="shared" si="197"/>
        <v>#N/A</v>
      </c>
      <c r="AH481" s="115" t="e">
        <f t="shared" si="197"/>
        <v>#N/A</v>
      </c>
      <c r="AI481" s="115" t="e">
        <f t="shared" si="197"/>
        <v>#N/A</v>
      </c>
      <c r="AJ481" s="115" t="e">
        <f t="shared" si="197"/>
        <v>#N/A</v>
      </c>
      <c r="AK481" s="115" t="e">
        <f t="shared" si="197"/>
        <v>#N/A</v>
      </c>
      <c r="AL481" s="115" t="e">
        <f t="shared" si="197"/>
        <v>#N/A</v>
      </c>
      <c r="AM481" s="115" t="e">
        <f t="shared" si="197"/>
        <v>#N/A</v>
      </c>
      <c r="AN481" s="115" t="e">
        <f t="shared" si="197"/>
        <v>#N/A</v>
      </c>
      <c r="AO481" s="115" t="e">
        <f t="shared" si="197"/>
        <v>#N/A</v>
      </c>
      <c r="AP481" s="115" t="e">
        <f t="shared" si="197"/>
        <v>#N/A</v>
      </c>
    </row>
    <row r="482" spans="1:42" x14ac:dyDescent="0.2">
      <c r="A482" s="22" t="str">
        <f t="shared" si="193"/>
        <v>20-yr SL</v>
      </c>
      <c r="B482" s="173">
        <f t="array" ref="B482">SUM(IF(ISNUMBER(C482:AP482),C482:AP482))</f>
        <v>0</v>
      </c>
      <c r="C482" s="115" t="e">
        <f>C474/100*$Q$440</f>
        <v>#N/A</v>
      </c>
      <c r="D482" s="115" t="e">
        <f t="shared" ref="D482:AP482" si="198">D474/100*$Q$440</f>
        <v>#N/A</v>
      </c>
      <c r="E482" s="115" t="e">
        <f t="shared" si="198"/>
        <v>#N/A</v>
      </c>
      <c r="F482" s="115" t="e">
        <f t="shared" si="198"/>
        <v>#N/A</v>
      </c>
      <c r="G482" s="115" t="e">
        <f t="shared" si="198"/>
        <v>#N/A</v>
      </c>
      <c r="H482" s="115" t="e">
        <f t="shared" si="198"/>
        <v>#N/A</v>
      </c>
      <c r="I482" s="115" t="e">
        <f t="shared" si="198"/>
        <v>#N/A</v>
      </c>
      <c r="J482" s="115" t="e">
        <f t="shared" si="198"/>
        <v>#N/A</v>
      </c>
      <c r="K482" s="115" t="e">
        <f t="shared" si="198"/>
        <v>#N/A</v>
      </c>
      <c r="L482" s="115" t="e">
        <f t="shared" si="198"/>
        <v>#N/A</v>
      </c>
      <c r="M482" s="115" t="e">
        <f t="shared" si="198"/>
        <v>#N/A</v>
      </c>
      <c r="N482" s="115" t="e">
        <f t="shared" si="198"/>
        <v>#N/A</v>
      </c>
      <c r="O482" s="115" t="e">
        <f t="shared" si="198"/>
        <v>#N/A</v>
      </c>
      <c r="P482" s="115" t="e">
        <f t="shared" si="198"/>
        <v>#N/A</v>
      </c>
      <c r="Q482" s="115" t="e">
        <f t="shared" si="198"/>
        <v>#N/A</v>
      </c>
      <c r="R482" s="115" t="e">
        <f t="shared" si="198"/>
        <v>#N/A</v>
      </c>
      <c r="S482" s="115" t="e">
        <f t="shared" si="198"/>
        <v>#N/A</v>
      </c>
      <c r="T482" s="115" t="e">
        <f t="shared" si="198"/>
        <v>#N/A</v>
      </c>
      <c r="U482" s="115" t="e">
        <f t="shared" si="198"/>
        <v>#N/A</v>
      </c>
      <c r="V482" s="115" t="e">
        <f t="shared" si="198"/>
        <v>#N/A</v>
      </c>
      <c r="W482" s="115" t="e">
        <f t="shared" si="198"/>
        <v>#N/A</v>
      </c>
      <c r="X482" s="115" t="e">
        <f t="shared" si="198"/>
        <v>#N/A</v>
      </c>
      <c r="Y482" s="115" t="e">
        <f t="shared" si="198"/>
        <v>#N/A</v>
      </c>
      <c r="Z482" s="115" t="e">
        <f t="shared" si="198"/>
        <v>#N/A</v>
      </c>
      <c r="AA482" s="115" t="e">
        <f t="shared" si="198"/>
        <v>#N/A</v>
      </c>
      <c r="AB482" s="115" t="e">
        <f t="shared" si="198"/>
        <v>#N/A</v>
      </c>
      <c r="AC482" s="115" t="e">
        <f t="shared" si="198"/>
        <v>#N/A</v>
      </c>
      <c r="AD482" s="115" t="e">
        <f t="shared" si="198"/>
        <v>#N/A</v>
      </c>
      <c r="AE482" s="115" t="e">
        <f t="shared" si="198"/>
        <v>#N/A</v>
      </c>
      <c r="AF482" s="115" t="e">
        <f t="shared" si="198"/>
        <v>#N/A</v>
      </c>
      <c r="AG482" s="115" t="e">
        <f t="shared" si="198"/>
        <v>#N/A</v>
      </c>
      <c r="AH482" s="115" t="e">
        <f t="shared" si="198"/>
        <v>#N/A</v>
      </c>
      <c r="AI482" s="115" t="e">
        <f t="shared" si="198"/>
        <v>#N/A</v>
      </c>
      <c r="AJ482" s="115" t="e">
        <f t="shared" si="198"/>
        <v>#N/A</v>
      </c>
      <c r="AK482" s="115" t="e">
        <f t="shared" si="198"/>
        <v>#N/A</v>
      </c>
      <c r="AL482" s="115" t="e">
        <f t="shared" si="198"/>
        <v>#N/A</v>
      </c>
      <c r="AM482" s="115" t="e">
        <f t="shared" si="198"/>
        <v>#N/A</v>
      </c>
      <c r="AN482" s="115" t="e">
        <f t="shared" si="198"/>
        <v>#N/A</v>
      </c>
      <c r="AO482" s="115" t="e">
        <f t="shared" si="198"/>
        <v>#N/A</v>
      </c>
      <c r="AP482" s="115" t="e">
        <f t="shared" si="198"/>
        <v>#N/A</v>
      </c>
    </row>
    <row r="483" spans="1:42" x14ac:dyDescent="0.2">
      <c r="A483" s="22" t="str">
        <f t="shared" si="193"/>
        <v>39-yr SL</v>
      </c>
      <c r="B483" s="173">
        <f>SUM(IF(ISNUMBER(C483:AP483),C483:AP483))</f>
        <v>0</v>
      </c>
      <c r="C483" s="115" t="e">
        <f>C475/100*$Q$441</f>
        <v>#N/A</v>
      </c>
      <c r="D483" s="115" t="e">
        <f t="shared" ref="D483:AP483" si="199">D475/100*$Q$441</f>
        <v>#N/A</v>
      </c>
      <c r="E483" s="115" t="e">
        <f t="shared" si="199"/>
        <v>#N/A</v>
      </c>
      <c r="F483" s="115" t="e">
        <f t="shared" si="199"/>
        <v>#N/A</v>
      </c>
      <c r="G483" s="115" t="e">
        <f t="shared" si="199"/>
        <v>#N/A</v>
      </c>
      <c r="H483" s="115" t="e">
        <f t="shared" si="199"/>
        <v>#N/A</v>
      </c>
      <c r="I483" s="115" t="e">
        <f t="shared" si="199"/>
        <v>#N/A</v>
      </c>
      <c r="J483" s="115" t="e">
        <f t="shared" si="199"/>
        <v>#N/A</v>
      </c>
      <c r="K483" s="115" t="e">
        <f t="shared" si="199"/>
        <v>#N/A</v>
      </c>
      <c r="L483" s="115" t="e">
        <f t="shared" si="199"/>
        <v>#N/A</v>
      </c>
      <c r="M483" s="115" t="e">
        <f t="shared" si="199"/>
        <v>#N/A</v>
      </c>
      <c r="N483" s="115" t="e">
        <f t="shared" si="199"/>
        <v>#N/A</v>
      </c>
      <c r="O483" s="115" t="e">
        <f t="shared" si="199"/>
        <v>#N/A</v>
      </c>
      <c r="P483" s="115" t="e">
        <f t="shared" si="199"/>
        <v>#N/A</v>
      </c>
      <c r="Q483" s="115" t="e">
        <f t="shared" si="199"/>
        <v>#N/A</v>
      </c>
      <c r="R483" s="115" t="e">
        <f t="shared" si="199"/>
        <v>#N/A</v>
      </c>
      <c r="S483" s="115" t="e">
        <f t="shared" si="199"/>
        <v>#N/A</v>
      </c>
      <c r="T483" s="115" t="e">
        <f t="shared" si="199"/>
        <v>#N/A</v>
      </c>
      <c r="U483" s="115" t="e">
        <f t="shared" si="199"/>
        <v>#N/A</v>
      </c>
      <c r="V483" s="115" t="e">
        <f t="shared" si="199"/>
        <v>#N/A</v>
      </c>
      <c r="W483" s="115" t="e">
        <f t="shared" si="199"/>
        <v>#N/A</v>
      </c>
      <c r="X483" s="115" t="e">
        <f t="shared" si="199"/>
        <v>#N/A</v>
      </c>
      <c r="Y483" s="115" t="e">
        <f t="shared" si="199"/>
        <v>#N/A</v>
      </c>
      <c r="Z483" s="115" t="e">
        <f t="shared" si="199"/>
        <v>#N/A</v>
      </c>
      <c r="AA483" s="115" t="e">
        <f t="shared" si="199"/>
        <v>#N/A</v>
      </c>
      <c r="AB483" s="115" t="e">
        <f t="shared" si="199"/>
        <v>#N/A</v>
      </c>
      <c r="AC483" s="115" t="e">
        <f t="shared" si="199"/>
        <v>#N/A</v>
      </c>
      <c r="AD483" s="115" t="e">
        <f t="shared" si="199"/>
        <v>#N/A</v>
      </c>
      <c r="AE483" s="115" t="e">
        <f t="shared" si="199"/>
        <v>#N/A</v>
      </c>
      <c r="AF483" s="115" t="e">
        <f t="shared" si="199"/>
        <v>#N/A</v>
      </c>
      <c r="AG483" s="115" t="e">
        <f t="shared" si="199"/>
        <v>#N/A</v>
      </c>
      <c r="AH483" s="115" t="e">
        <f t="shared" si="199"/>
        <v>#N/A</v>
      </c>
      <c r="AI483" s="115" t="e">
        <f t="shared" si="199"/>
        <v>#N/A</v>
      </c>
      <c r="AJ483" s="115" t="e">
        <f t="shared" si="199"/>
        <v>#N/A</v>
      </c>
      <c r="AK483" s="115" t="e">
        <f t="shared" si="199"/>
        <v>#N/A</v>
      </c>
      <c r="AL483" s="115" t="e">
        <f t="shared" si="199"/>
        <v>#N/A</v>
      </c>
      <c r="AM483" s="115" t="e">
        <f t="shared" si="199"/>
        <v>#N/A</v>
      </c>
      <c r="AN483" s="115" t="e">
        <f t="shared" si="199"/>
        <v>#N/A</v>
      </c>
      <c r="AO483" s="115" t="e">
        <f t="shared" si="199"/>
        <v>#N/A</v>
      </c>
      <c r="AP483" s="115" t="e">
        <f t="shared" si="199"/>
        <v>#N/A</v>
      </c>
    </row>
    <row r="484" spans="1:42" x14ac:dyDescent="0.2">
      <c r="A484" s="22" t="s">
        <v>301</v>
      </c>
      <c r="B484" s="173">
        <f>SUM(IF(ISNUMBER(C484:AP484),C484:AP484))</f>
        <v>0</v>
      </c>
      <c r="C484" s="115">
        <f t="shared" ref="C484:AP484" si="200">IF(C2&lt;=analysis_period,C476/100*$Q$442,0)</f>
        <v>0</v>
      </c>
      <c r="D484" s="115">
        <f t="shared" si="200"/>
        <v>0</v>
      </c>
      <c r="E484" s="115">
        <f t="shared" si="200"/>
        <v>0</v>
      </c>
      <c r="F484" s="115">
        <f t="shared" si="200"/>
        <v>0</v>
      </c>
      <c r="G484" s="115">
        <f t="shared" si="200"/>
        <v>0</v>
      </c>
      <c r="H484" s="115">
        <f t="shared" si="200"/>
        <v>0</v>
      </c>
      <c r="I484" s="115">
        <f t="shared" si="200"/>
        <v>0</v>
      </c>
      <c r="J484" s="115">
        <f t="shared" si="200"/>
        <v>0</v>
      </c>
      <c r="K484" s="115">
        <f t="shared" si="200"/>
        <v>0</v>
      </c>
      <c r="L484" s="115">
        <f t="shared" si="200"/>
        <v>0</v>
      </c>
      <c r="M484" s="115">
        <f t="shared" si="200"/>
        <v>0</v>
      </c>
      <c r="N484" s="115">
        <f t="shared" si="200"/>
        <v>0</v>
      </c>
      <c r="O484" s="115">
        <f t="shared" si="200"/>
        <v>0</v>
      </c>
      <c r="P484" s="115">
        <f t="shared" si="200"/>
        <v>0</v>
      </c>
      <c r="Q484" s="115">
        <f t="shared" si="200"/>
        <v>0</v>
      </c>
      <c r="R484" s="115">
        <f t="shared" si="200"/>
        <v>0</v>
      </c>
      <c r="S484" s="115">
        <f t="shared" si="200"/>
        <v>0</v>
      </c>
      <c r="T484" s="115">
        <f t="shared" si="200"/>
        <v>0</v>
      </c>
      <c r="U484" s="115">
        <f t="shared" si="200"/>
        <v>0</v>
      </c>
      <c r="V484" s="115">
        <f t="shared" si="200"/>
        <v>0</v>
      </c>
      <c r="W484" s="115">
        <f t="shared" si="200"/>
        <v>0</v>
      </c>
      <c r="X484" s="115">
        <f t="shared" si="200"/>
        <v>0</v>
      </c>
      <c r="Y484" s="115">
        <f t="shared" si="200"/>
        <v>0</v>
      </c>
      <c r="Z484" s="115">
        <f t="shared" si="200"/>
        <v>0</v>
      </c>
      <c r="AA484" s="115">
        <f t="shared" si="200"/>
        <v>0</v>
      </c>
      <c r="AB484" s="115">
        <f t="shared" si="200"/>
        <v>0</v>
      </c>
      <c r="AC484" s="115">
        <f t="shared" si="200"/>
        <v>0</v>
      </c>
      <c r="AD484" s="115">
        <f t="shared" si="200"/>
        <v>0</v>
      </c>
      <c r="AE484" s="115">
        <f t="shared" si="200"/>
        <v>0</v>
      </c>
      <c r="AF484" s="115">
        <f t="shared" si="200"/>
        <v>0</v>
      </c>
      <c r="AG484" s="115">
        <f t="shared" si="200"/>
        <v>0</v>
      </c>
      <c r="AH484" s="115">
        <f t="shared" si="200"/>
        <v>0</v>
      </c>
      <c r="AI484" s="115">
        <f t="shared" si="200"/>
        <v>0</v>
      </c>
      <c r="AJ484" s="115">
        <f t="shared" si="200"/>
        <v>0</v>
      </c>
      <c r="AK484" s="115">
        <f t="shared" si="200"/>
        <v>0</v>
      </c>
      <c r="AL484" s="115">
        <f t="shared" si="200"/>
        <v>0</v>
      </c>
      <c r="AM484" s="115">
        <f t="shared" si="200"/>
        <v>0</v>
      </c>
      <c r="AN484" s="115">
        <f t="shared" si="200"/>
        <v>0</v>
      </c>
      <c r="AO484" s="115">
        <f t="shared" si="200"/>
        <v>0</v>
      </c>
      <c r="AP484" s="115">
        <f t="shared" si="200"/>
        <v>0</v>
      </c>
    </row>
    <row r="485" spans="1:42" x14ac:dyDescent="0.2">
      <c r="A485" s="22" t="s">
        <v>74</v>
      </c>
      <c r="B485" s="173">
        <f t="array" ref="B485">SUM(IF(ISNUMBER(C485:AP485),C485:AP485))</f>
        <v>0</v>
      </c>
      <c r="C485" s="116">
        <f>P443</f>
        <v>0</v>
      </c>
      <c r="D485" s="116">
        <v>0</v>
      </c>
      <c r="E485" s="116">
        <v>0</v>
      </c>
      <c r="F485" s="116">
        <v>0</v>
      </c>
      <c r="G485" s="116">
        <v>0</v>
      </c>
      <c r="H485" s="116">
        <v>0</v>
      </c>
      <c r="I485" s="116">
        <v>0</v>
      </c>
      <c r="J485" s="116">
        <v>0</v>
      </c>
      <c r="K485" s="116">
        <v>0</v>
      </c>
      <c r="L485" s="116">
        <v>0</v>
      </c>
      <c r="M485" s="116">
        <v>0</v>
      </c>
      <c r="N485" s="116">
        <v>0</v>
      </c>
      <c r="O485" s="116">
        <v>0</v>
      </c>
      <c r="P485" s="116">
        <v>0</v>
      </c>
      <c r="Q485" s="116">
        <v>0</v>
      </c>
      <c r="R485" s="116">
        <v>0</v>
      </c>
      <c r="S485" s="116">
        <v>0</v>
      </c>
      <c r="T485" s="116">
        <v>0</v>
      </c>
      <c r="U485" s="116">
        <v>0</v>
      </c>
      <c r="V485" s="116">
        <v>0</v>
      </c>
      <c r="W485" s="116">
        <v>0</v>
      </c>
      <c r="X485" s="116">
        <v>0</v>
      </c>
      <c r="Y485" s="116">
        <v>0</v>
      </c>
      <c r="Z485" s="116">
        <v>0</v>
      </c>
      <c r="AA485" s="116">
        <v>0</v>
      </c>
      <c r="AB485" s="116">
        <v>0</v>
      </c>
      <c r="AC485" s="116">
        <v>0</v>
      </c>
      <c r="AD485" s="116">
        <v>0</v>
      </c>
      <c r="AE485" s="116">
        <v>0</v>
      </c>
      <c r="AF485" s="116">
        <v>0</v>
      </c>
      <c r="AG485" s="116">
        <v>0</v>
      </c>
      <c r="AH485" s="116">
        <v>0</v>
      </c>
      <c r="AI485" s="116">
        <v>0</v>
      </c>
      <c r="AJ485" s="116">
        <v>0</v>
      </c>
      <c r="AK485" s="116">
        <v>0</v>
      </c>
      <c r="AL485" s="116">
        <v>0</v>
      </c>
      <c r="AM485" s="116">
        <v>0</v>
      </c>
      <c r="AN485" s="116">
        <v>0</v>
      </c>
      <c r="AO485" s="116">
        <v>0</v>
      </c>
      <c r="AP485" s="116">
        <v>0</v>
      </c>
    </row>
    <row r="486" spans="1:42" x14ac:dyDescent="0.2">
      <c r="A486" s="21"/>
      <c r="B486" s="174">
        <f t="array" ref="B486">SUM(IF(ISNUMBER(C486:AP486),C486:AP486))</f>
        <v>0</v>
      </c>
      <c r="C486" s="115" t="e">
        <f>SUM(C478:C485)</f>
        <v>#N/A</v>
      </c>
      <c r="D486" s="115" t="e">
        <f t="shared" ref="D486:AP486" si="201">SUM(D478:D485)</f>
        <v>#N/A</v>
      </c>
      <c r="E486" s="115" t="e">
        <f t="shared" si="201"/>
        <v>#N/A</v>
      </c>
      <c r="F486" s="115" t="e">
        <f t="shared" si="201"/>
        <v>#N/A</v>
      </c>
      <c r="G486" s="115" t="e">
        <f t="shared" si="201"/>
        <v>#N/A</v>
      </c>
      <c r="H486" s="115" t="e">
        <f t="shared" si="201"/>
        <v>#N/A</v>
      </c>
      <c r="I486" s="115" t="e">
        <f t="shared" si="201"/>
        <v>#N/A</v>
      </c>
      <c r="J486" s="115" t="e">
        <f t="shared" si="201"/>
        <v>#N/A</v>
      </c>
      <c r="K486" s="115" t="e">
        <f t="shared" si="201"/>
        <v>#N/A</v>
      </c>
      <c r="L486" s="115" t="e">
        <f t="shared" si="201"/>
        <v>#N/A</v>
      </c>
      <c r="M486" s="115" t="e">
        <f t="shared" si="201"/>
        <v>#N/A</v>
      </c>
      <c r="N486" s="115" t="e">
        <f t="shared" si="201"/>
        <v>#N/A</v>
      </c>
      <c r="O486" s="115" t="e">
        <f t="shared" si="201"/>
        <v>#N/A</v>
      </c>
      <c r="P486" s="115" t="e">
        <f t="shared" si="201"/>
        <v>#N/A</v>
      </c>
      <c r="Q486" s="115" t="e">
        <f t="shared" si="201"/>
        <v>#N/A</v>
      </c>
      <c r="R486" s="115" t="e">
        <f t="shared" si="201"/>
        <v>#N/A</v>
      </c>
      <c r="S486" s="115" t="e">
        <f t="shared" si="201"/>
        <v>#N/A</v>
      </c>
      <c r="T486" s="115" t="e">
        <f t="shared" si="201"/>
        <v>#N/A</v>
      </c>
      <c r="U486" s="115" t="e">
        <f t="shared" si="201"/>
        <v>#N/A</v>
      </c>
      <c r="V486" s="115" t="e">
        <f t="shared" si="201"/>
        <v>#N/A</v>
      </c>
      <c r="W486" s="115" t="e">
        <f t="shared" si="201"/>
        <v>#N/A</v>
      </c>
      <c r="X486" s="115" t="e">
        <f t="shared" si="201"/>
        <v>#N/A</v>
      </c>
      <c r="Y486" s="115" t="e">
        <f t="shared" si="201"/>
        <v>#N/A</v>
      </c>
      <c r="Z486" s="115" t="e">
        <f t="shared" si="201"/>
        <v>#N/A</v>
      </c>
      <c r="AA486" s="115" t="e">
        <f t="shared" si="201"/>
        <v>#N/A</v>
      </c>
      <c r="AB486" s="115" t="e">
        <f t="shared" si="201"/>
        <v>#N/A</v>
      </c>
      <c r="AC486" s="115" t="e">
        <f t="shared" si="201"/>
        <v>#N/A</v>
      </c>
      <c r="AD486" s="115" t="e">
        <f t="shared" si="201"/>
        <v>#N/A</v>
      </c>
      <c r="AE486" s="115" t="e">
        <f t="shared" si="201"/>
        <v>#N/A</v>
      </c>
      <c r="AF486" s="115" t="e">
        <f t="shared" si="201"/>
        <v>#N/A</v>
      </c>
      <c r="AG486" s="115" t="e">
        <f t="shared" si="201"/>
        <v>#N/A</v>
      </c>
      <c r="AH486" s="115" t="e">
        <f t="shared" si="201"/>
        <v>#N/A</v>
      </c>
      <c r="AI486" s="115" t="e">
        <f t="shared" si="201"/>
        <v>#N/A</v>
      </c>
      <c r="AJ486" s="115" t="e">
        <f t="shared" si="201"/>
        <v>#N/A</v>
      </c>
      <c r="AK486" s="115" t="e">
        <f t="shared" si="201"/>
        <v>#N/A</v>
      </c>
      <c r="AL486" s="115" t="e">
        <f t="shared" si="201"/>
        <v>#N/A</v>
      </c>
      <c r="AM486" s="115" t="e">
        <f t="shared" si="201"/>
        <v>#N/A</v>
      </c>
      <c r="AN486" s="115" t="e">
        <f t="shared" si="201"/>
        <v>#N/A</v>
      </c>
      <c r="AO486" s="115" t="e">
        <f t="shared" si="201"/>
        <v>#N/A</v>
      </c>
      <c r="AP486" s="115" t="e">
        <f t="shared" si="201"/>
        <v>#N/A</v>
      </c>
    </row>
    <row r="487" spans="1:42" x14ac:dyDescent="0.2">
      <c r="A487" s="21"/>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row>
    <row r="488" spans="1:42" x14ac:dyDescent="0.2">
      <c r="A488" s="84" t="s">
        <v>479</v>
      </c>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row>
    <row r="489" spans="1:42" x14ac:dyDescent="0.2">
      <c r="A489" s="21" t="s">
        <v>480</v>
      </c>
      <c r="B489" s="24" t="str">
        <f>equip_reserve_depr_fed</f>
        <v>5-yr MACRS</v>
      </c>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row>
    <row r="490" spans="1:42" x14ac:dyDescent="0.2">
      <c r="A490" s="21" t="s">
        <v>63</v>
      </c>
      <c r="B490" s="169">
        <f t="shared" ref="B490:AP490" si="202">B2</f>
        <v>0</v>
      </c>
      <c r="C490" s="169" t="str">
        <f t="shared" si="202"/>
        <v/>
      </c>
      <c r="D490" s="169" t="str">
        <f t="shared" si="202"/>
        <v/>
      </c>
      <c r="E490" s="169" t="str">
        <f t="shared" si="202"/>
        <v/>
      </c>
      <c r="F490" s="169" t="str">
        <f t="shared" si="202"/>
        <v/>
      </c>
      <c r="G490" s="169" t="str">
        <f t="shared" si="202"/>
        <v/>
      </c>
      <c r="H490" s="169" t="str">
        <f t="shared" si="202"/>
        <v/>
      </c>
      <c r="I490" s="169" t="str">
        <f t="shared" si="202"/>
        <v/>
      </c>
      <c r="J490" s="169" t="str">
        <f t="shared" si="202"/>
        <v/>
      </c>
      <c r="K490" s="169" t="str">
        <f t="shared" si="202"/>
        <v/>
      </c>
      <c r="L490" s="169" t="str">
        <f t="shared" si="202"/>
        <v/>
      </c>
      <c r="M490" s="169" t="str">
        <f t="shared" si="202"/>
        <v/>
      </c>
      <c r="N490" s="169" t="str">
        <f t="shared" si="202"/>
        <v/>
      </c>
      <c r="O490" s="169" t="str">
        <f t="shared" si="202"/>
        <v/>
      </c>
      <c r="P490" s="169" t="str">
        <f t="shared" si="202"/>
        <v/>
      </c>
      <c r="Q490" s="169" t="str">
        <f t="shared" si="202"/>
        <v/>
      </c>
      <c r="R490" s="169" t="str">
        <f t="shared" si="202"/>
        <v/>
      </c>
      <c r="S490" s="169" t="str">
        <f t="shared" si="202"/>
        <v/>
      </c>
      <c r="T490" s="169" t="str">
        <f t="shared" si="202"/>
        <v/>
      </c>
      <c r="U490" s="169" t="str">
        <f t="shared" si="202"/>
        <v/>
      </c>
      <c r="V490" s="169" t="str">
        <f t="shared" si="202"/>
        <v/>
      </c>
      <c r="W490" s="169" t="str">
        <f t="shared" si="202"/>
        <v/>
      </c>
      <c r="X490" s="169" t="str">
        <f t="shared" si="202"/>
        <v/>
      </c>
      <c r="Y490" s="169" t="str">
        <f t="shared" si="202"/>
        <v/>
      </c>
      <c r="Z490" s="169" t="str">
        <f t="shared" si="202"/>
        <v/>
      </c>
      <c r="AA490" s="169" t="str">
        <f t="shared" si="202"/>
        <v/>
      </c>
      <c r="AB490" s="169" t="str">
        <f t="shared" si="202"/>
        <v/>
      </c>
      <c r="AC490" s="169" t="str">
        <f t="shared" si="202"/>
        <v/>
      </c>
      <c r="AD490" s="169" t="str">
        <f t="shared" si="202"/>
        <v/>
      </c>
      <c r="AE490" s="169" t="str">
        <f t="shared" si="202"/>
        <v/>
      </c>
      <c r="AF490" s="169" t="str">
        <f t="shared" si="202"/>
        <v/>
      </c>
      <c r="AG490" s="169" t="str">
        <f t="shared" si="202"/>
        <v/>
      </c>
      <c r="AH490" s="169" t="str">
        <f t="shared" si="202"/>
        <v/>
      </c>
      <c r="AI490" s="169" t="str">
        <f t="shared" si="202"/>
        <v/>
      </c>
      <c r="AJ490" s="169" t="str">
        <f t="shared" si="202"/>
        <v/>
      </c>
      <c r="AK490" s="169" t="str">
        <f t="shared" si="202"/>
        <v/>
      </c>
      <c r="AL490" s="169" t="str">
        <f t="shared" si="202"/>
        <v/>
      </c>
      <c r="AM490" s="169" t="str">
        <f t="shared" si="202"/>
        <v/>
      </c>
      <c r="AN490" s="169" t="str">
        <f t="shared" si="202"/>
        <v/>
      </c>
      <c r="AO490" s="169" t="str">
        <f t="shared" si="202"/>
        <v/>
      </c>
      <c r="AP490" s="169" t="str">
        <f t="shared" si="202"/>
        <v/>
      </c>
    </row>
    <row r="491" spans="1:42" x14ac:dyDescent="0.2">
      <c r="A491" s="21" t="s">
        <v>64</v>
      </c>
      <c r="B491" s="168">
        <v>0</v>
      </c>
      <c r="C491" s="161" t="e">
        <f t="shared" ref="C491:AP491" si="203">IF($B$489=$A470,C470,0)+IF($B$489=$A471,C471,0)+IF($B$489=$A472,C472,0)+IF($B$489=$A473,C473,0)+IF($B$489=$A474,C474,0)+IF($B$489=$A475,C475,0)</f>
        <v>#N/A</v>
      </c>
      <c r="D491" s="161" t="e">
        <f t="shared" si="203"/>
        <v>#N/A</v>
      </c>
      <c r="E491" s="161" t="e">
        <f t="shared" si="203"/>
        <v>#N/A</v>
      </c>
      <c r="F491" s="161" t="e">
        <f t="shared" si="203"/>
        <v>#N/A</v>
      </c>
      <c r="G491" s="161" t="e">
        <f t="shared" si="203"/>
        <v>#N/A</v>
      </c>
      <c r="H491" s="161" t="e">
        <f t="shared" si="203"/>
        <v>#N/A</v>
      </c>
      <c r="I491" s="161" t="e">
        <f t="shared" si="203"/>
        <v>#N/A</v>
      </c>
      <c r="J491" s="161" t="e">
        <f t="shared" si="203"/>
        <v>#N/A</v>
      </c>
      <c r="K491" s="161" t="e">
        <f t="shared" si="203"/>
        <v>#N/A</v>
      </c>
      <c r="L491" s="161" t="e">
        <f t="shared" si="203"/>
        <v>#N/A</v>
      </c>
      <c r="M491" s="161" t="e">
        <f t="shared" si="203"/>
        <v>#N/A</v>
      </c>
      <c r="N491" s="161" t="e">
        <f t="shared" si="203"/>
        <v>#N/A</v>
      </c>
      <c r="O491" s="161" t="e">
        <f t="shared" si="203"/>
        <v>#N/A</v>
      </c>
      <c r="P491" s="161" t="e">
        <f t="shared" si="203"/>
        <v>#N/A</v>
      </c>
      <c r="Q491" s="161" t="e">
        <f t="shared" si="203"/>
        <v>#N/A</v>
      </c>
      <c r="R491" s="161" t="e">
        <f t="shared" si="203"/>
        <v>#N/A</v>
      </c>
      <c r="S491" s="161" t="e">
        <f t="shared" si="203"/>
        <v>#N/A</v>
      </c>
      <c r="T491" s="161" t="e">
        <f t="shared" si="203"/>
        <v>#N/A</v>
      </c>
      <c r="U491" s="161" t="e">
        <f t="shared" si="203"/>
        <v>#N/A</v>
      </c>
      <c r="V491" s="161" t="e">
        <f t="shared" si="203"/>
        <v>#N/A</v>
      </c>
      <c r="W491" s="161" t="e">
        <f t="shared" si="203"/>
        <v>#N/A</v>
      </c>
      <c r="X491" s="161" t="e">
        <f t="shared" si="203"/>
        <v>#N/A</v>
      </c>
      <c r="Y491" s="161" t="e">
        <f t="shared" si="203"/>
        <v>#N/A</v>
      </c>
      <c r="Z491" s="161" t="e">
        <f t="shared" si="203"/>
        <v>#N/A</v>
      </c>
      <c r="AA491" s="161" t="e">
        <f t="shared" si="203"/>
        <v>#N/A</v>
      </c>
      <c r="AB491" s="161" t="e">
        <f t="shared" si="203"/>
        <v>#N/A</v>
      </c>
      <c r="AC491" s="161" t="e">
        <f t="shared" si="203"/>
        <v>#N/A</v>
      </c>
      <c r="AD491" s="161" t="e">
        <f t="shared" si="203"/>
        <v>#N/A</v>
      </c>
      <c r="AE491" s="161" t="e">
        <f t="shared" si="203"/>
        <v>#N/A</v>
      </c>
      <c r="AF491" s="161" t="e">
        <f t="shared" si="203"/>
        <v>#N/A</v>
      </c>
      <c r="AG491" s="161" t="e">
        <f t="shared" si="203"/>
        <v>#N/A</v>
      </c>
      <c r="AH491" s="161" t="e">
        <f t="shared" si="203"/>
        <v>#N/A</v>
      </c>
      <c r="AI491" s="161" t="e">
        <f t="shared" si="203"/>
        <v>#N/A</v>
      </c>
      <c r="AJ491" s="161" t="e">
        <f t="shared" si="203"/>
        <v>#N/A</v>
      </c>
      <c r="AK491" s="161" t="e">
        <f t="shared" si="203"/>
        <v>#N/A</v>
      </c>
      <c r="AL491" s="161" t="e">
        <f t="shared" si="203"/>
        <v>#N/A</v>
      </c>
      <c r="AM491" s="161" t="e">
        <f t="shared" si="203"/>
        <v>#N/A</v>
      </c>
      <c r="AN491" s="161" t="e">
        <f t="shared" si="203"/>
        <v>#N/A</v>
      </c>
      <c r="AO491" s="161" t="e">
        <f t="shared" si="203"/>
        <v>#N/A</v>
      </c>
      <c r="AP491" s="161" t="e">
        <f t="shared" si="203"/>
        <v>#N/A</v>
      </c>
    </row>
    <row r="492" spans="1:42" x14ac:dyDescent="0.2">
      <c r="A492" s="17"/>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row>
    <row r="493" spans="1:42" x14ac:dyDescent="0.2">
      <c r="A493" s="21" t="s">
        <v>75</v>
      </c>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row>
    <row r="494" spans="1:42" x14ac:dyDescent="0.2">
      <c r="A494" s="85" t="s">
        <v>62</v>
      </c>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row>
    <row r="495" spans="1:42" x14ac:dyDescent="0.2">
      <c r="A495" s="4">
        <v>1</v>
      </c>
      <c r="C495" s="152">
        <f t="shared" ref="C495:AP495" si="204">C358</f>
        <v>0</v>
      </c>
      <c r="D495" s="152">
        <f t="shared" si="204"/>
        <v>0</v>
      </c>
      <c r="E495" s="152">
        <f t="shared" si="204"/>
        <v>0</v>
      </c>
      <c r="F495" s="152">
        <f t="shared" si="204"/>
        <v>0</v>
      </c>
      <c r="G495" s="152">
        <f t="shared" si="204"/>
        <v>0</v>
      </c>
      <c r="H495" s="152">
        <f t="shared" si="204"/>
        <v>0</v>
      </c>
      <c r="I495" s="152">
        <f t="shared" si="204"/>
        <v>0</v>
      </c>
      <c r="J495" s="152">
        <f t="shared" si="204"/>
        <v>0</v>
      </c>
      <c r="K495" s="152">
        <f t="shared" si="204"/>
        <v>0</v>
      </c>
      <c r="L495" s="152">
        <f t="shared" si="204"/>
        <v>0</v>
      </c>
      <c r="M495" s="152">
        <f t="shared" si="204"/>
        <v>0</v>
      </c>
      <c r="N495" s="152">
        <f t="shared" si="204"/>
        <v>0</v>
      </c>
      <c r="O495" s="152">
        <f t="shared" si="204"/>
        <v>0</v>
      </c>
      <c r="P495" s="152">
        <f t="shared" si="204"/>
        <v>0</v>
      </c>
      <c r="Q495" s="152">
        <f t="shared" si="204"/>
        <v>0</v>
      </c>
      <c r="R495" s="152">
        <f t="shared" si="204"/>
        <v>0</v>
      </c>
      <c r="S495" s="152">
        <f t="shared" si="204"/>
        <v>0</v>
      </c>
      <c r="T495" s="152">
        <f t="shared" si="204"/>
        <v>0</v>
      </c>
      <c r="U495" s="152">
        <f t="shared" si="204"/>
        <v>0</v>
      </c>
      <c r="V495" s="152">
        <f t="shared" si="204"/>
        <v>0</v>
      </c>
      <c r="W495" s="152">
        <f t="shared" si="204"/>
        <v>0</v>
      </c>
      <c r="X495" s="152">
        <f t="shared" si="204"/>
        <v>0</v>
      </c>
      <c r="Y495" s="152">
        <f t="shared" si="204"/>
        <v>0</v>
      </c>
      <c r="Z495" s="152">
        <f t="shared" si="204"/>
        <v>0</v>
      </c>
      <c r="AA495" s="152">
        <f t="shared" si="204"/>
        <v>0</v>
      </c>
      <c r="AB495" s="152">
        <f t="shared" si="204"/>
        <v>0</v>
      </c>
      <c r="AC495" s="152">
        <f t="shared" si="204"/>
        <v>0</v>
      </c>
      <c r="AD495" s="152">
        <f t="shared" si="204"/>
        <v>0</v>
      </c>
      <c r="AE495" s="152">
        <f t="shared" si="204"/>
        <v>0</v>
      </c>
      <c r="AF495" s="152">
        <f t="shared" si="204"/>
        <v>0</v>
      </c>
      <c r="AG495" s="152">
        <f t="shared" si="204"/>
        <v>0</v>
      </c>
      <c r="AH495" s="152">
        <f t="shared" si="204"/>
        <v>0</v>
      </c>
      <c r="AI495" s="152">
        <f t="shared" si="204"/>
        <v>0</v>
      </c>
      <c r="AJ495" s="152">
        <f t="shared" si="204"/>
        <v>0</v>
      </c>
      <c r="AK495" s="152">
        <f t="shared" si="204"/>
        <v>0</v>
      </c>
      <c r="AL495" s="152">
        <f t="shared" si="204"/>
        <v>0</v>
      </c>
      <c r="AM495" s="152">
        <f t="shared" si="204"/>
        <v>0</v>
      </c>
      <c r="AN495" s="152">
        <f t="shared" si="204"/>
        <v>0</v>
      </c>
      <c r="AO495" s="152">
        <f t="shared" si="204"/>
        <v>0</v>
      </c>
      <c r="AP495" s="152">
        <f t="shared" si="204"/>
        <v>0</v>
      </c>
    </row>
    <row r="496" spans="1:42" x14ac:dyDescent="0.2">
      <c r="A496" s="4">
        <f>A495+1</f>
        <v>2</v>
      </c>
      <c r="C496" s="152">
        <f t="shared" ref="C496:AP496" si="205">C359</f>
        <v>0</v>
      </c>
      <c r="D496" s="152">
        <f t="shared" si="205"/>
        <v>0</v>
      </c>
      <c r="E496" s="152">
        <f t="shared" si="205"/>
        <v>0</v>
      </c>
      <c r="F496" s="152">
        <f t="shared" si="205"/>
        <v>0</v>
      </c>
      <c r="G496" s="152">
        <f t="shared" si="205"/>
        <v>0</v>
      </c>
      <c r="H496" s="152">
        <f t="shared" si="205"/>
        <v>0</v>
      </c>
      <c r="I496" s="152">
        <f t="shared" si="205"/>
        <v>0</v>
      </c>
      <c r="J496" s="152">
        <f t="shared" si="205"/>
        <v>0</v>
      </c>
      <c r="K496" s="152">
        <f t="shared" si="205"/>
        <v>0</v>
      </c>
      <c r="L496" s="152">
        <f t="shared" si="205"/>
        <v>0</v>
      </c>
      <c r="M496" s="152">
        <f t="shared" si="205"/>
        <v>0</v>
      </c>
      <c r="N496" s="152">
        <f t="shared" si="205"/>
        <v>0</v>
      </c>
      <c r="O496" s="152">
        <f t="shared" si="205"/>
        <v>0</v>
      </c>
      <c r="P496" s="152">
        <f t="shared" si="205"/>
        <v>0</v>
      </c>
      <c r="Q496" s="152">
        <f t="shared" si="205"/>
        <v>0</v>
      </c>
      <c r="R496" s="152">
        <f t="shared" si="205"/>
        <v>0</v>
      </c>
      <c r="S496" s="152">
        <f t="shared" si="205"/>
        <v>0</v>
      </c>
      <c r="T496" s="152">
        <f t="shared" si="205"/>
        <v>0</v>
      </c>
      <c r="U496" s="152">
        <f t="shared" si="205"/>
        <v>0</v>
      </c>
      <c r="V496" s="152">
        <f t="shared" si="205"/>
        <v>0</v>
      </c>
      <c r="W496" s="152">
        <f t="shared" si="205"/>
        <v>0</v>
      </c>
      <c r="X496" s="152">
        <f t="shared" si="205"/>
        <v>0</v>
      </c>
      <c r="Y496" s="152">
        <f t="shared" si="205"/>
        <v>0</v>
      </c>
      <c r="Z496" s="152">
        <f t="shared" si="205"/>
        <v>0</v>
      </c>
      <c r="AA496" s="152">
        <f t="shared" si="205"/>
        <v>0</v>
      </c>
      <c r="AB496" s="152">
        <f t="shared" si="205"/>
        <v>0</v>
      </c>
      <c r="AC496" s="152">
        <f t="shared" si="205"/>
        <v>0</v>
      </c>
      <c r="AD496" s="152">
        <f t="shared" si="205"/>
        <v>0</v>
      </c>
      <c r="AE496" s="152">
        <f t="shared" si="205"/>
        <v>0</v>
      </c>
      <c r="AF496" s="152">
        <f t="shared" si="205"/>
        <v>0</v>
      </c>
      <c r="AG496" s="152">
        <f t="shared" si="205"/>
        <v>0</v>
      </c>
      <c r="AH496" s="152">
        <f t="shared" si="205"/>
        <v>0</v>
      </c>
      <c r="AI496" s="152">
        <f t="shared" si="205"/>
        <v>0</v>
      </c>
      <c r="AJ496" s="152">
        <f t="shared" si="205"/>
        <v>0</v>
      </c>
      <c r="AK496" s="152">
        <f t="shared" si="205"/>
        <v>0</v>
      </c>
      <c r="AL496" s="152">
        <f t="shared" si="205"/>
        <v>0</v>
      </c>
      <c r="AM496" s="152">
        <f t="shared" si="205"/>
        <v>0</v>
      </c>
      <c r="AN496" s="152">
        <f t="shared" si="205"/>
        <v>0</v>
      </c>
      <c r="AO496" s="152">
        <f t="shared" si="205"/>
        <v>0</v>
      </c>
      <c r="AP496" s="152">
        <f t="shared" si="205"/>
        <v>0</v>
      </c>
    </row>
    <row r="497" spans="1:42" x14ac:dyDescent="0.2">
      <c r="A497" s="4">
        <f t="shared" ref="A497:A502" si="206">A496+1</f>
        <v>3</v>
      </c>
      <c r="C497" s="152">
        <f t="shared" ref="C497:AP497" si="207">C360</f>
        <v>0</v>
      </c>
      <c r="D497" s="152">
        <f t="shared" si="207"/>
        <v>0</v>
      </c>
      <c r="E497" s="152">
        <f t="shared" si="207"/>
        <v>0</v>
      </c>
      <c r="F497" s="152">
        <f t="shared" si="207"/>
        <v>0</v>
      </c>
      <c r="G497" s="152">
        <f t="shared" si="207"/>
        <v>0</v>
      </c>
      <c r="H497" s="152">
        <f t="shared" si="207"/>
        <v>0</v>
      </c>
      <c r="I497" s="152">
        <f t="shared" si="207"/>
        <v>0</v>
      </c>
      <c r="J497" s="152">
        <f t="shared" si="207"/>
        <v>0</v>
      </c>
      <c r="K497" s="152">
        <f t="shared" si="207"/>
        <v>0</v>
      </c>
      <c r="L497" s="152">
        <f t="shared" si="207"/>
        <v>0</v>
      </c>
      <c r="M497" s="152">
        <f t="shared" si="207"/>
        <v>0</v>
      </c>
      <c r="N497" s="152">
        <f t="shared" si="207"/>
        <v>0</v>
      </c>
      <c r="O497" s="152">
        <f t="shared" si="207"/>
        <v>0</v>
      </c>
      <c r="P497" s="152">
        <f t="shared" si="207"/>
        <v>0</v>
      </c>
      <c r="Q497" s="152">
        <f t="shared" si="207"/>
        <v>0</v>
      </c>
      <c r="R497" s="152">
        <f t="shared" si="207"/>
        <v>0</v>
      </c>
      <c r="S497" s="152">
        <f t="shared" si="207"/>
        <v>0</v>
      </c>
      <c r="T497" s="152">
        <f t="shared" si="207"/>
        <v>0</v>
      </c>
      <c r="U497" s="152">
        <f t="shared" si="207"/>
        <v>0</v>
      </c>
      <c r="V497" s="152">
        <f t="shared" si="207"/>
        <v>0</v>
      </c>
      <c r="W497" s="152">
        <f t="shared" si="207"/>
        <v>0</v>
      </c>
      <c r="X497" s="152">
        <f t="shared" si="207"/>
        <v>0</v>
      </c>
      <c r="Y497" s="152">
        <f t="shared" si="207"/>
        <v>0</v>
      </c>
      <c r="Z497" s="152">
        <f t="shared" si="207"/>
        <v>0</v>
      </c>
      <c r="AA497" s="152">
        <f t="shared" si="207"/>
        <v>0</v>
      </c>
      <c r="AB497" s="152">
        <f t="shared" si="207"/>
        <v>0</v>
      </c>
      <c r="AC497" s="152">
        <f t="shared" si="207"/>
        <v>0</v>
      </c>
      <c r="AD497" s="152">
        <f t="shared" si="207"/>
        <v>0</v>
      </c>
      <c r="AE497" s="152">
        <f t="shared" si="207"/>
        <v>0</v>
      </c>
      <c r="AF497" s="152">
        <f t="shared" si="207"/>
        <v>0</v>
      </c>
      <c r="AG497" s="152">
        <f t="shared" si="207"/>
        <v>0</v>
      </c>
      <c r="AH497" s="152">
        <f t="shared" si="207"/>
        <v>0</v>
      </c>
      <c r="AI497" s="152">
        <f t="shared" si="207"/>
        <v>0</v>
      </c>
      <c r="AJ497" s="152">
        <f t="shared" si="207"/>
        <v>0</v>
      </c>
      <c r="AK497" s="152">
        <f t="shared" si="207"/>
        <v>0</v>
      </c>
      <c r="AL497" s="152">
        <f t="shared" si="207"/>
        <v>0</v>
      </c>
      <c r="AM497" s="152">
        <f t="shared" si="207"/>
        <v>0</v>
      </c>
      <c r="AN497" s="152">
        <f t="shared" si="207"/>
        <v>0</v>
      </c>
      <c r="AO497" s="152">
        <f t="shared" si="207"/>
        <v>0</v>
      </c>
      <c r="AP497" s="152">
        <f t="shared" si="207"/>
        <v>0</v>
      </c>
    </row>
    <row r="498" spans="1:42" x14ac:dyDescent="0.2">
      <c r="A498" s="4">
        <f t="shared" si="206"/>
        <v>4</v>
      </c>
      <c r="C498" s="152">
        <f t="shared" ref="C498:AP498" si="208">C361</f>
        <v>0</v>
      </c>
      <c r="D498" s="152">
        <f t="shared" si="208"/>
        <v>0</v>
      </c>
      <c r="E498" s="152">
        <f t="shared" si="208"/>
        <v>0</v>
      </c>
      <c r="F498" s="152">
        <f t="shared" si="208"/>
        <v>0</v>
      </c>
      <c r="G498" s="152">
        <f t="shared" si="208"/>
        <v>0</v>
      </c>
      <c r="H498" s="152">
        <f t="shared" si="208"/>
        <v>0</v>
      </c>
      <c r="I498" s="152">
        <f t="shared" si="208"/>
        <v>0</v>
      </c>
      <c r="J498" s="152">
        <f t="shared" si="208"/>
        <v>0</v>
      </c>
      <c r="K498" s="152">
        <f t="shared" si="208"/>
        <v>0</v>
      </c>
      <c r="L498" s="152">
        <f t="shared" si="208"/>
        <v>0</v>
      </c>
      <c r="M498" s="152">
        <f t="shared" si="208"/>
        <v>0</v>
      </c>
      <c r="N498" s="152">
        <f t="shared" si="208"/>
        <v>0</v>
      </c>
      <c r="O498" s="152">
        <f t="shared" si="208"/>
        <v>0</v>
      </c>
      <c r="P498" s="152">
        <f t="shared" si="208"/>
        <v>0</v>
      </c>
      <c r="Q498" s="152">
        <f t="shared" si="208"/>
        <v>0</v>
      </c>
      <c r="R498" s="152">
        <f t="shared" si="208"/>
        <v>0</v>
      </c>
      <c r="S498" s="152">
        <f t="shared" si="208"/>
        <v>0</v>
      </c>
      <c r="T498" s="152">
        <f t="shared" si="208"/>
        <v>0</v>
      </c>
      <c r="U498" s="152">
        <f t="shared" si="208"/>
        <v>0</v>
      </c>
      <c r="V498" s="152">
        <f t="shared" si="208"/>
        <v>0</v>
      </c>
      <c r="W498" s="152">
        <f t="shared" si="208"/>
        <v>0</v>
      </c>
      <c r="X498" s="152">
        <f t="shared" si="208"/>
        <v>0</v>
      </c>
      <c r="Y498" s="152">
        <f t="shared" si="208"/>
        <v>0</v>
      </c>
      <c r="Z498" s="152">
        <f t="shared" si="208"/>
        <v>0</v>
      </c>
      <c r="AA498" s="152">
        <f t="shared" si="208"/>
        <v>0</v>
      </c>
      <c r="AB498" s="152">
        <f t="shared" si="208"/>
        <v>0</v>
      </c>
      <c r="AC498" s="152">
        <f t="shared" si="208"/>
        <v>0</v>
      </c>
      <c r="AD498" s="152">
        <f t="shared" si="208"/>
        <v>0</v>
      </c>
      <c r="AE498" s="152">
        <f t="shared" si="208"/>
        <v>0</v>
      </c>
      <c r="AF498" s="152">
        <f t="shared" si="208"/>
        <v>0</v>
      </c>
      <c r="AG498" s="152">
        <f t="shared" si="208"/>
        <v>0</v>
      </c>
      <c r="AH498" s="152">
        <f t="shared" si="208"/>
        <v>0</v>
      </c>
      <c r="AI498" s="152">
        <f t="shared" si="208"/>
        <v>0</v>
      </c>
      <c r="AJ498" s="152">
        <f t="shared" si="208"/>
        <v>0</v>
      </c>
      <c r="AK498" s="152">
        <f t="shared" si="208"/>
        <v>0</v>
      </c>
      <c r="AL498" s="152">
        <f t="shared" si="208"/>
        <v>0</v>
      </c>
      <c r="AM498" s="152">
        <f t="shared" si="208"/>
        <v>0</v>
      </c>
      <c r="AN498" s="152">
        <f t="shared" si="208"/>
        <v>0</v>
      </c>
      <c r="AO498" s="152">
        <f t="shared" si="208"/>
        <v>0</v>
      </c>
      <c r="AP498" s="152">
        <f t="shared" si="208"/>
        <v>0</v>
      </c>
    </row>
    <row r="499" spans="1:42" x14ac:dyDescent="0.2">
      <c r="A499" s="4">
        <f t="shared" si="206"/>
        <v>5</v>
      </c>
      <c r="C499" s="152">
        <f t="shared" ref="C499:AP499" si="209">C362</f>
        <v>0</v>
      </c>
      <c r="D499" s="152">
        <f t="shared" si="209"/>
        <v>0</v>
      </c>
      <c r="E499" s="152">
        <f t="shared" si="209"/>
        <v>0</v>
      </c>
      <c r="F499" s="152">
        <f t="shared" si="209"/>
        <v>0</v>
      </c>
      <c r="G499" s="152">
        <f t="shared" si="209"/>
        <v>0</v>
      </c>
      <c r="H499" s="152">
        <f t="shared" si="209"/>
        <v>0</v>
      </c>
      <c r="I499" s="152">
        <f t="shared" si="209"/>
        <v>0</v>
      </c>
      <c r="J499" s="152">
        <f t="shared" si="209"/>
        <v>0</v>
      </c>
      <c r="K499" s="152">
        <f t="shared" si="209"/>
        <v>0</v>
      </c>
      <c r="L499" s="152">
        <f t="shared" si="209"/>
        <v>0</v>
      </c>
      <c r="M499" s="152">
        <f t="shared" si="209"/>
        <v>0</v>
      </c>
      <c r="N499" s="152">
        <f t="shared" si="209"/>
        <v>0</v>
      </c>
      <c r="O499" s="152">
        <f t="shared" si="209"/>
        <v>0</v>
      </c>
      <c r="P499" s="152">
        <f t="shared" si="209"/>
        <v>0</v>
      </c>
      <c r="Q499" s="152">
        <f t="shared" si="209"/>
        <v>0</v>
      </c>
      <c r="R499" s="152">
        <f t="shared" si="209"/>
        <v>0</v>
      </c>
      <c r="S499" s="152">
        <f t="shared" si="209"/>
        <v>0</v>
      </c>
      <c r="T499" s="152">
        <f t="shared" si="209"/>
        <v>0</v>
      </c>
      <c r="U499" s="152">
        <f t="shared" si="209"/>
        <v>0</v>
      </c>
      <c r="V499" s="152">
        <f t="shared" si="209"/>
        <v>0</v>
      </c>
      <c r="W499" s="152">
        <f t="shared" si="209"/>
        <v>0</v>
      </c>
      <c r="X499" s="152">
        <f t="shared" si="209"/>
        <v>0</v>
      </c>
      <c r="Y499" s="152">
        <f t="shared" si="209"/>
        <v>0</v>
      </c>
      <c r="Z499" s="152">
        <f t="shared" si="209"/>
        <v>0</v>
      </c>
      <c r="AA499" s="152">
        <f t="shared" si="209"/>
        <v>0</v>
      </c>
      <c r="AB499" s="152">
        <f t="shared" si="209"/>
        <v>0</v>
      </c>
      <c r="AC499" s="152">
        <f t="shared" si="209"/>
        <v>0</v>
      </c>
      <c r="AD499" s="152">
        <f t="shared" si="209"/>
        <v>0</v>
      </c>
      <c r="AE499" s="152">
        <f t="shared" si="209"/>
        <v>0</v>
      </c>
      <c r="AF499" s="152">
        <f t="shared" si="209"/>
        <v>0</v>
      </c>
      <c r="AG499" s="152">
        <f t="shared" si="209"/>
        <v>0</v>
      </c>
      <c r="AH499" s="152">
        <f t="shared" si="209"/>
        <v>0</v>
      </c>
      <c r="AI499" s="152">
        <f t="shared" si="209"/>
        <v>0</v>
      </c>
      <c r="AJ499" s="152">
        <f t="shared" si="209"/>
        <v>0</v>
      </c>
      <c r="AK499" s="152">
        <f t="shared" si="209"/>
        <v>0</v>
      </c>
      <c r="AL499" s="152">
        <f t="shared" si="209"/>
        <v>0</v>
      </c>
      <c r="AM499" s="152">
        <f t="shared" si="209"/>
        <v>0</v>
      </c>
      <c r="AN499" s="152">
        <f t="shared" si="209"/>
        <v>0</v>
      </c>
      <c r="AO499" s="152">
        <f t="shared" si="209"/>
        <v>0</v>
      </c>
      <c r="AP499" s="152">
        <f t="shared" si="209"/>
        <v>0</v>
      </c>
    </row>
    <row r="500" spans="1:42" x14ac:dyDescent="0.2">
      <c r="A500" s="4">
        <f t="shared" si="206"/>
        <v>6</v>
      </c>
      <c r="C500" s="152">
        <f t="shared" ref="C500:AP500" si="210">C363</f>
        <v>0</v>
      </c>
      <c r="D500" s="152">
        <f t="shared" si="210"/>
        <v>0</v>
      </c>
      <c r="E500" s="152">
        <f t="shared" si="210"/>
        <v>0</v>
      </c>
      <c r="F500" s="152">
        <f t="shared" si="210"/>
        <v>0</v>
      </c>
      <c r="G500" s="152">
        <f t="shared" si="210"/>
        <v>0</v>
      </c>
      <c r="H500" s="152">
        <f t="shared" si="210"/>
        <v>0</v>
      </c>
      <c r="I500" s="152">
        <f t="shared" si="210"/>
        <v>0</v>
      </c>
      <c r="J500" s="152">
        <f t="shared" si="210"/>
        <v>0</v>
      </c>
      <c r="K500" s="152">
        <f t="shared" si="210"/>
        <v>0</v>
      </c>
      <c r="L500" s="152">
        <f t="shared" si="210"/>
        <v>0</v>
      </c>
      <c r="M500" s="152">
        <f t="shared" si="210"/>
        <v>0</v>
      </c>
      <c r="N500" s="152">
        <f t="shared" si="210"/>
        <v>0</v>
      </c>
      <c r="O500" s="152">
        <f t="shared" si="210"/>
        <v>0</v>
      </c>
      <c r="P500" s="152">
        <f t="shared" si="210"/>
        <v>0</v>
      </c>
      <c r="Q500" s="152">
        <f t="shared" si="210"/>
        <v>0</v>
      </c>
      <c r="R500" s="152">
        <f t="shared" si="210"/>
        <v>0</v>
      </c>
      <c r="S500" s="152">
        <f t="shared" si="210"/>
        <v>0</v>
      </c>
      <c r="T500" s="152">
        <f t="shared" si="210"/>
        <v>0</v>
      </c>
      <c r="U500" s="152">
        <f t="shared" si="210"/>
        <v>0</v>
      </c>
      <c r="V500" s="152">
        <f t="shared" si="210"/>
        <v>0</v>
      </c>
      <c r="W500" s="152">
        <f t="shared" si="210"/>
        <v>0</v>
      </c>
      <c r="X500" s="152">
        <f t="shared" si="210"/>
        <v>0</v>
      </c>
      <c r="Y500" s="152">
        <f t="shared" si="210"/>
        <v>0</v>
      </c>
      <c r="Z500" s="152">
        <f t="shared" si="210"/>
        <v>0</v>
      </c>
      <c r="AA500" s="152">
        <f t="shared" si="210"/>
        <v>0</v>
      </c>
      <c r="AB500" s="152">
        <f t="shared" si="210"/>
        <v>0</v>
      </c>
      <c r="AC500" s="152">
        <f t="shared" si="210"/>
        <v>0</v>
      </c>
      <c r="AD500" s="152">
        <f t="shared" si="210"/>
        <v>0</v>
      </c>
      <c r="AE500" s="152">
        <f t="shared" si="210"/>
        <v>0</v>
      </c>
      <c r="AF500" s="152">
        <f t="shared" si="210"/>
        <v>0</v>
      </c>
      <c r="AG500" s="152">
        <f t="shared" si="210"/>
        <v>0</v>
      </c>
      <c r="AH500" s="152">
        <f t="shared" si="210"/>
        <v>0</v>
      </c>
      <c r="AI500" s="152">
        <f t="shared" si="210"/>
        <v>0</v>
      </c>
      <c r="AJ500" s="152">
        <f t="shared" si="210"/>
        <v>0</v>
      </c>
      <c r="AK500" s="152">
        <f t="shared" si="210"/>
        <v>0</v>
      </c>
      <c r="AL500" s="152">
        <f t="shared" si="210"/>
        <v>0</v>
      </c>
      <c r="AM500" s="152">
        <f t="shared" si="210"/>
        <v>0</v>
      </c>
      <c r="AN500" s="152">
        <f t="shared" si="210"/>
        <v>0</v>
      </c>
      <c r="AO500" s="152">
        <f t="shared" si="210"/>
        <v>0</v>
      </c>
      <c r="AP500" s="152">
        <f t="shared" si="210"/>
        <v>0</v>
      </c>
    </row>
    <row r="501" spans="1:42" x14ac:dyDescent="0.2">
      <c r="A501" s="4">
        <f t="shared" si="206"/>
        <v>7</v>
      </c>
      <c r="C501" s="152">
        <f t="shared" ref="C501:AP501" si="211">C364</f>
        <v>0</v>
      </c>
      <c r="D501" s="152">
        <f t="shared" si="211"/>
        <v>0</v>
      </c>
      <c r="E501" s="152">
        <f t="shared" si="211"/>
        <v>0</v>
      </c>
      <c r="F501" s="152">
        <f t="shared" si="211"/>
        <v>0</v>
      </c>
      <c r="G501" s="152">
        <f t="shared" si="211"/>
        <v>0</v>
      </c>
      <c r="H501" s="152">
        <f t="shared" si="211"/>
        <v>0</v>
      </c>
      <c r="I501" s="152">
        <f t="shared" si="211"/>
        <v>0</v>
      </c>
      <c r="J501" s="152">
        <f t="shared" si="211"/>
        <v>0</v>
      </c>
      <c r="K501" s="152">
        <f t="shared" si="211"/>
        <v>0</v>
      </c>
      <c r="L501" s="152">
        <f t="shared" si="211"/>
        <v>0</v>
      </c>
      <c r="M501" s="152">
        <f t="shared" si="211"/>
        <v>0</v>
      </c>
      <c r="N501" s="152">
        <f t="shared" si="211"/>
        <v>0</v>
      </c>
      <c r="O501" s="152">
        <f t="shared" si="211"/>
        <v>0</v>
      </c>
      <c r="P501" s="152">
        <f t="shared" si="211"/>
        <v>0</v>
      </c>
      <c r="Q501" s="152">
        <f t="shared" si="211"/>
        <v>0</v>
      </c>
      <c r="R501" s="152">
        <f t="shared" si="211"/>
        <v>0</v>
      </c>
      <c r="S501" s="152">
        <f t="shared" si="211"/>
        <v>0</v>
      </c>
      <c r="T501" s="152">
        <f t="shared" si="211"/>
        <v>0</v>
      </c>
      <c r="U501" s="152">
        <f t="shared" si="211"/>
        <v>0</v>
      </c>
      <c r="V501" s="152">
        <f t="shared" si="211"/>
        <v>0</v>
      </c>
      <c r="W501" s="152">
        <f t="shared" si="211"/>
        <v>0</v>
      </c>
      <c r="X501" s="152">
        <f t="shared" si="211"/>
        <v>0</v>
      </c>
      <c r="Y501" s="152">
        <f t="shared" si="211"/>
        <v>0</v>
      </c>
      <c r="Z501" s="152">
        <f t="shared" si="211"/>
        <v>0</v>
      </c>
      <c r="AA501" s="152">
        <f t="shared" si="211"/>
        <v>0</v>
      </c>
      <c r="AB501" s="152">
        <f t="shared" si="211"/>
        <v>0</v>
      </c>
      <c r="AC501" s="152">
        <f t="shared" si="211"/>
        <v>0</v>
      </c>
      <c r="AD501" s="152">
        <f t="shared" si="211"/>
        <v>0</v>
      </c>
      <c r="AE501" s="152">
        <f t="shared" si="211"/>
        <v>0</v>
      </c>
      <c r="AF501" s="152">
        <f t="shared" si="211"/>
        <v>0</v>
      </c>
      <c r="AG501" s="152">
        <f t="shared" si="211"/>
        <v>0</v>
      </c>
      <c r="AH501" s="152">
        <f t="shared" si="211"/>
        <v>0</v>
      </c>
      <c r="AI501" s="152">
        <f t="shared" si="211"/>
        <v>0</v>
      </c>
      <c r="AJ501" s="152">
        <f t="shared" si="211"/>
        <v>0</v>
      </c>
      <c r="AK501" s="152">
        <f t="shared" si="211"/>
        <v>0</v>
      </c>
      <c r="AL501" s="152">
        <f t="shared" si="211"/>
        <v>0</v>
      </c>
      <c r="AM501" s="152">
        <f t="shared" si="211"/>
        <v>0</v>
      </c>
      <c r="AN501" s="152">
        <f t="shared" si="211"/>
        <v>0</v>
      </c>
      <c r="AO501" s="152">
        <f t="shared" si="211"/>
        <v>0</v>
      </c>
      <c r="AP501" s="152">
        <f t="shared" si="211"/>
        <v>0</v>
      </c>
    </row>
    <row r="502" spans="1:42" x14ac:dyDescent="0.2">
      <c r="A502" s="4">
        <f t="shared" si="206"/>
        <v>8</v>
      </c>
      <c r="C502" s="152">
        <f t="shared" ref="C502:AP502" si="212">C365</f>
        <v>0</v>
      </c>
      <c r="D502" s="152">
        <f t="shared" si="212"/>
        <v>0</v>
      </c>
      <c r="E502" s="152">
        <f t="shared" si="212"/>
        <v>0</v>
      </c>
      <c r="F502" s="152">
        <f t="shared" si="212"/>
        <v>0</v>
      </c>
      <c r="G502" s="152">
        <f t="shared" si="212"/>
        <v>0</v>
      </c>
      <c r="H502" s="152">
        <f t="shared" si="212"/>
        <v>0</v>
      </c>
      <c r="I502" s="152">
        <f t="shared" si="212"/>
        <v>0</v>
      </c>
      <c r="J502" s="152">
        <f t="shared" si="212"/>
        <v>0</v>
      </c>
      <c r="K502" s="152">
        <f t="shared" si="212"/>
        <v>0</v>
      </c>
      <c r="L502" s="152">
        <f t="shared" si="212"/>
        <v>0</v>
      </c>
      <c r="M502" s="152">
        <f t="shared" si="212"/>
        <v>0</v>
      </c>
      <c r="N502" s="152">
        <f t="shared" si="212"/>
        <v>0</v>
      </c>
      <c r="O502" s="152">
        <f t="shared" si="212"/>
        <v>0</v>
      </c>
      <c r="P502" s="152">
        <f t="shared" si="212"/>
        <v>0</v>
      </c>
      <c r="Q502" s="152">
        <f t="shared" si="212"/>
        <v>0</v>
      </c>
      <c r="R502" s="152">
        <f t="shared" si="212"/>
        <v>0</v>
      </c>
      <c r="S502" s="152">
        <f t="shared" si="212"/>
        <v>0</v>
      </c>
      <c r="T502" s="152">
        <f t="shared" si="212"/>
        <v>0</v>
      </c>
      <c r="U502" s="152">
        <f t="shared" si="212"/>
        <v>0</v>
      </c>
      <c r="V502" s="152">
        <f t="shared" si="212"/>
        <v>0</v>
      </c>
      <c r="W502" s="152">
        <f t="shared" si="212"/>
        <v>0</v>
      </c>
      <c r="X502" s="152">
        <f t="shared" si="212"/>
        <v>0</v>
      </c>
      <c r="Y502" s="152">
        <f t="shared" si="212"/>
        <v>0</v>
      </c>
      <c r="Z502" s="152">
        <f t="shared" si="212"/>
        <v>0</v>
      </c>
      <c r="AA502" s="152">
        <f t="shared" si="212"/>
        <v>0</v>
      </c>
      <c r="AB502" s="152">
        <f t="shared" si="212"/>
        <v>0</v>
      </c>
      <c r="AC502" s="152">
        <f t="shared" si="212"/>
        <v>0</v>
      </c>
      <c r="AD502" s="152">
        <f t="shared" si="212"/>
        <v>0</v>
      </c>
      <c r="AE502" s="152">
        <f t="shared" si="212"/>
        <v>0</v>
      </c>
      <c r="AF502" s="152">
        <f t="shared" si="212"/>
        <v>0</v>
      </c>
      <c r="AG502" s="152">
        <f t="shared" si="212"/>
        <v>0</v>
      </c>
      <c r="AH502" s="152">
        <f t="shared" si="212"/>
        <v>0</v>
      </c>
      <c r="AI502" s="152">
        <f t="shared" si="212"/>
        <v>0</v>
      </c>
      <c r="AJ502" s="152">
        <f t="shared" si="212"/>
        <v>0</v>
      </c>
      <c r="AK502" s="152">
        <f t="shared" si="212"/>
        <v>0</v>
      </c>
      <c r="AL502" s="152">
        <f t="shared" si="212"/>
        <v>0</v>
      </c>
      <c r="AM502" s="152">
        <f t="shared" si="212"/>
        <v>0</v>
      </c>
      <c r="AN502" s="152">
        <f t="shared" si="212"/>
        <v>0</v>
      </c>
      <c r="AO502" s="152">
        <f t="shared" si="212"/>
        <v>0</v>
      </c>
      <c r="AP502" s="152">
        <f t="shared" si="212"/>
        <v>0</v>
      </c>
    </row>
    <row r="503" spans="1:42" x14ac:dyDescent="0.2">
      <c r="A503" s="4">
        <f>A502+1</f>
        <v>9</v>
      </c>
      <c r="C503" s="152">
        <f t="shared" ref="C503:AP503" si="213">C366</f>
        <v>0</v>
      </c>
      <c r="D503" s="152">
        <f t="shared" si="213"/>
        <v>0</v>
      </c>
      <c r="E503" s="152">
        <f t="shared" si="213"/>
        <v>0</v>
      </c>
      <c r="F503" s="152">
        <f t="shared" si="213"/>
        <v>0</v>
      </c>
      <c r="G503" s="152">
        <f t="shared" si="213"/>
        <v>0</v>
      </c>
      <c r="H503" s="152">
        <f t="shared" si="213"/>
        <v>0</v>
      </c>
      <c r="I503" s="152">
        <f t="shared" si="213"/>
        <v>0</v>
      </c>
      <c r="J503" s="152">
        <f t="shared" si="213"/>
        <v>0</v>
      </c>
      <c r="K503" s="152">
        <f t="shared" si="213"/>
        <v>0</v>
      </c>
      <c r="L503" s="152">
        <f t="shared" si="213"/>
        <v>0</v>
      </c>
      <c r="M503" s="152">
        <f t="shared" si="213"/>
        <v>0</v>
      </c>
      <c r="N503" s="152">
        <f t="shared" si="213"/>
        <v>0</v>
      </c>
      <c r="O503" s="152">
        <f t="shared" si="213"/>
        <v>0</v>
      </c>
      <c r="P503" s="152">
        <f t="shared" si="213"/>
        <v>0</v>
      </c>
      <c r="Q503" s="152">
        <f t="shared" si="213"/>
        <v>0</v>
      </c>
      <c r="R503" s="152">
        <f t="shared" si="213"/>
        <v>0</v>
      </c>
      <c r="S503" s="152">
        <f t="shared" si="213"/>
        <v>0</v>
      </c>
      <c r="T503" s="152">
        <f t="shared" si="213"/>
        <v>0</v>
      </c>
      <c r="U503" s="152">
        <f t="shared" si="213"/>
        <v>0</v>
      </c>
      <c r="V503" s="152">
        <f t="shared" si="213"/>
        <v>0</v>
      </c>
      <c r="W503" s="152">
        <f t="shared" si="213"/>
        <v>0</v>
      </c>
      <c r="X503" s="152">
        <f t="shared" si="213"/>
        <v>0</v>
      </c>
      <c r="Y503" s="152">
        <f t="shared" si="213"/>
        <v>0</v>
      </c>
      <c r="Z503" s="152">
        <f t="shared" si="213"/>
        <v>0</v>
      </c>
      <c r="AA503" s="152">
        <f t="shared" si="213"/>
        <v>0</v>
      </c>
      <c r="AB503" s="152">
        <f t="shared" si="213"/>
        <v>0</v>
      </c>
      <c r="AC503" s="152">
        <f t="shared" si="213"/>
        <v>0</v>
      </c>
      <c r="AD503" s="152">
        <f t="shared" si="213"/>
        <v>0</v>
      </c>
      <c r="AE503" s="152">
        <f t="shared" si="213"/>
        <v>0</v>
      </c>
      <c r="AF503" s="152">
        <f t="shared" si="213"/>
        <v>0</v>
      </c>
      <c r="AG503" s="152">
        <f t="shared" si="213"/>
        <v>0</v>
      </c>
      <c r="AH503" s="152">
        <f t="shared" si="213"/>
        <v>0</v>
      </c>
      <c r="AI503" s="152">
        <f t="shared" si="213"/>
        <v>0</v>
      </c>
      <c r="AJ503" s="152">
        <f t="shared" si="213"/>
        <v>0</v>
      </c>
      <c r="AK503" s="152">
        <f t="shared" si="213"/>
        <v>0</v>
      </c>
      <c r="AL503" s="152">
        <f t="shared" si="213"/>
        <v>0</v>
      </c>
      <c r="AM503" s="152">
        <f t="shared" si="213"/>
        <v>0</v>
      </c>
      <c r="AN503" s="152">
        <f t="shared" si="213"/>
        <v>0</v>
      </c>
      <c r="AO503" s="152">
        <f t="shared" si="213"/>
        <v>0</v>
      </c>
      <c r="AP503" s="152">
        <f t="shared" si="213"/>
        <v>0</v>
      </c>
    </row>
    <row r="504" spans="1:42" x14ac:dyDescent="0.2">
      <c r="A504" s="4">
        <f t="shared" ref="A504" si="214">A503+1</f>
        <v>10</v>
      </c>
      <c r="C504" s="152">
        <f t="shared" ref="C504:AP504" si="215">C367</f>
        <v>0</v>
      </c>
      <c r="D504" s="152">
        <f t="shared" si="215"/>
        <v>0</v>
      </c>
      <c r="E504" s="152">
        <f t="shared" si="215"/>
        <v>0</v>
      </c>
      <c r="F504" s="152">
        <f t="shared" si="215"/>
        <v>0</v>
      </c>
      <c r="G504" s="152">
        <f t="shared" si="215"/>
        <v>0</v>
      </c>
      <c r="H504" s="152">
        <f t="shared" si="215"/>
        <v>0</v>
      </c>
      <c r="I504" s="152">
        <f t="shared" si="215"/>
        <v>0</v>
      </c>
      <c r="J504" s="152">
        <f t="shared" si="215"/>
        <v>0</v>
      </c>
      <c r="K504" s="152">
        <f t="shared" si="215"/>
        <v>0</v>
      </c>
      <c r="L504" s="152">
        <f t="shared" si="215"/>
        <v>0</v>
      </c>
      <c r="M504" s="152">
        <f t="shared" si="215"/>
        <v>0</v>
      </c>
      <c r="N504" s="152">
        <f t="shared" si="215"/>
        <v>0</v>
      </c>
      <c r="O504" s="152">
        <f t="shared" si="215"/>
        <v>0</v>
      </c>
      <c r="P504" s="152">
        <f t="shared" si="215"/>
        <v>0</v>
      </c>
      <c r="Q504" s="152">
        <f t="shared" si="215"/>
        <v>0</v>
      </c>
      <c r="R504" s="152">
        <f t="shared" si="215"/>
        <v>0</v>
      </c>
      <c r="S504" s="152">
        <f t="shared" si="215"/>
        <v>0</v>
      </c>
      <c r="T504" s="152">
        <f t="shared" si="215"/>
        <v>0</v>
      </c>
      <c r="U504" s="152">
        <f t="shared" si="215"/>
        <v>0</v>
      </c>
      <c r="V504" s="152">
        <f t="shared" si="215"/>
        <v>0</v>
      </c>
      <c r="W504" s="152">
        <f t="shared" si="215"/>
        <v>0</v>
      </c>
      <c r="X504" s="152">
        <f t="shared" si="215"/>
        <v>0</v>
      </c>
      <c r="Y504" s="152">
        <f t="shared" si="215"/>
        <v>0</v>
      </c>
      <c r="Z504" s="152">
        <f t="shared" si="215"/>
        <v>0</v>
      </c>
      <c r="AA504" s="152">
        <f t="shared" si="215"/>
        <v>0</v>
      </c>
      <c r="AB504" s="152">
        <f t="shared" si="215"/>
        <v>0</v>
      </c>
      <c r="AC504" s="152">
        <f t="shared" si="215"/>
        <v>0</v>
      </c>
      <c r="AD504" s="152">
        <f t="shared" si="215"/>
        <v>0</v>
      </c>
      <c r="AE504" s="152">
        <f t="shared" si="215"/>
        <v>0</v>
      </c>
      <c r="AF504" s="152">
        <f t="shared" si="215"/>
        <v>0</v>
      </c>
      <c r="AG504" s="152">
        <f t="shared" si="215"/>
        <v>0</v>
      </c>
      <c r="AH504" s="152">
        <f t="shared" si="215"/>
        <v>0</v>
      </c>
      <c r="AI504" s="152">
        <f t="shared" si="215"/>
        <v>0</v>
      </c>
      <c r="AJ504" s="152">
        <f t="shared" si="215"/>
        <v>0</v>
      </c>
      <c r="AK504" s="152">
        <f t="shared" si="215"/>
        <v>0</v>
      </c>
      <c r="AL504" s="152">
        <f t="shared" si="215"/>
        <v>0</v>
      </c>
      <c r="AM504" s="152">
        <f t="shared" si="215"/>
        <v>0</v>
      </c>
      <c r="AN504" s="152">
        <f t="shared" si="215"/>
        <v>0</v>
      </c>
      <c r="AO504" s="152">
        <f t="shared" si="215"/>
        <v>0</v>
      </c>
      <c r="AP504" s="152">
        <f t="shared" si="215"/>
        <v>0</v>
      </c>
    </row>
    <row r="505" spans="1:42" x14ac:dyDescent="0.2">
      <c r="A505" s="21"/>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row>
    <row r="506" spans="1:42" x14ac:dyDescent="0.2">
      <c r="A506" s="85" t="s">
        <v>65</v>
      </c>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row>
    <row r="507" spans="1:42" x14ac:dyDescent="0.2">
      <c r="A507" s="4">
        <v>1</v>
      </c>
      <c r="B507" s="175">
        <f t="shared" ref="B507:B516" si="216">SUM(C507:AP507)</f>
        <v>0</v>
      </c>
      <c r="C507" s="152">
        <f t="shared" ref="C507:AP507" si="217">LOOKUP(C495,$B$490:$AP$490,$B$491:$AP$491)*$B694/100</f>
        <v>0</v>
      </c>
      <c r="D507" s="152">
        <f t="shared" si="217"/>
        <v>0</v>
      </c>
      <c r="E507" s="152">
        <f t="shared" si="217"/>
        <v>0</v>
      </c>
      <c r="F507" s="152">
        <f t="shared" si="217"/>
        <v>0</v>
      </c>
      <c r="G507" s="152">
        <f t="shared" si="217"/>
        <v>0</v>
      </c>
      <c r="H507" s="152">
        <f t="shared" si="217"/>
        <v>0</v>
      </c>
      <c r="I507" s="152">
        <f t="shared" si="217"/>
        <v>0</v>
      </c>
      <c r="J507" s="152">
        <f t="shared" si="217"/>
        <v>0</v>
      </c>
      <c r="K507" s="152">
        <f t="shared" si="217"/>
        <v>0</v>
      </c>
      <c r="L507" s="152">
        <f t="shared" si="217"/>
        <v>0</v>
      </c>
      <c r="M507" s="152">
        <f t="shared" si="217"/>
        <v>0</v>
      </c>
      <c r="N507" s="152">
        <f t="shared" si="217"/>
        <v>0</v>
      </c>
      <c r="O507" s="152">
        <f t="shared" si="217"/>
        <v>0</v>
      </c>
      <c r="P507" s="152">
        <f t="shared" si="217"/>
        <v>0</v>
      </c>
      <c r="Q507" s="152">
        <f t="shared" si="217"/>
        <v>0</v>
      </c>
      <c r="R507" s="152">
        <f t="shared" si="217"/>
        <v>0</v>
      </c>
      <c r="S507" s="152">
        <f t="shared" si="217"/>
        <v>0</v>
      </c>
      <c r="T507" s="152">
        <f t="shared" si="217"/>
        <v>0</v>
      </c>
      <c r="U507" s="152">
        <f t="shared" si="217"/>
        <v>0</v>
      </c>
      <c r="V507" s="152">
        <f t="shared" si="217"/>
        <v>0</v>
      </c>
      <c r="W507" s="152">
        <f t="shared" si="217"/>
        <v>0</v>
      </c>
      <c r="X507" s="152">
        <f t="shared" si="217"/>
        <v>0</v>
      </c>
      <c r="Y507" s="152">
        <f t="shared" si="217"/>
        <v>0</v>
      </c>
      <c r="Z507" s="152">
        <f t="shared" si="217"/>
        <v>0</v>
      </c>
      <c r="AA507" s="152">
        <f t="shared" si="217"/>
        <v>0</v>
      </c>
      <c r="AB507" s="152">
        <f t="shared" si="217"/>
        <v>0</v>
      </c>
      <c r="AC507" s="152">
        <f t="shared" si="217"/>
        <v>0</v>
      </c>
      <c r="AD507" s="152">
        <f t="shared" si="217"/>
        <v>0</v>
      </c>
      <c r="AE507" s="152">
        <f t="shared" si="217"/>
        <v>0</v>
      </c>
      <c r="AF507" s="152">
        <f t="shared" si="217"/>
        <v>0</v>
      </c>
      <c r="AG507" s="152">
        <f t="shared" si="217"/>
        <v>0</v>
      </c>
      <c r="AH507" s="152">
        <f t="shared" si="217"/>
        <v>0</v>
      </c>
      <c r="AI507" s="152">
        <f t="shared" si="217"/>
        <v>0</v>
      </c>
      <c r="AJ507" s="152">
        <f t="shared" si="217"/>
        <v>0</v>
      </c>
      <c r="AK507" s="152">
        <f t="shared" si="217"/>
        <v>0</v>
      </c>
      <c r="AL507" s="152">
        <f t="shared" si="217"/>
        <v>0</v>
      </c>
      <c r="AM507" s="152">
        <f t="shared" si="217"/>
        <v>0</v>
      </c>
      <c r="AN507" s="152">
        <f t="shared" si="217"/>
        <v>0</v>
      </c>
      <c r="AO507" s="152">
        <f t="shared" si="217"/>
        <v>0</v>
      </c>
      <c r="AP507" s="152">
        <f t="shared" si="217"/>
        <v>0</v>
      </c>
    </row>
    <row r="508" spans="1:42" x14ac:dyDescent="0.2">
      <c r="A508" s="4">
        <f>A507+1</f>
        <v>2</v>
      </c>
      <c r="B508" s="175">
        <f t="shared" si="216"/>
        <v>0</v>
      </c>
      <c r="C508" s="152">
        <f t="shared" ref="C508:AP508" si="218">LOOKUP(C496,$B$490:$AP$490,$B$491:$AP$491)*$B695/100</f>
        <v>0</v>
      </c>
      <c r="D508" s="152">
        <f t="shared" si="218"/>
        <v>0</v>
      </c>
      <c r="E508" s="152">
        <f t="shared" si="218"/>
        <v>0</v>
      </c>
      <c r="F508" s="152">
        <f t="shared" si="218"/>
        <v>0</v>
      </c>
      <c r="G508" s="152">
        <f t="shared" si="218"/>
        <v>0</v>
      </c>
      <c r="H508" s="152">
        <f t="shared" si="218"/>
        <v>0</v>
      </c>
      <c r="I508" s="152">
        <f t="shared" si="218"/>
        <v>0</v>
      </c>
      <c r="J508" s="152">
        <f t="shared" si="218"/>
        <v>0</v>
      </c>
      <c r="K508" s="152">
        <f t="shared" si="218"/>
        <v>0</v>
      </c>
      <c r="L508" s="152">
        <f t="shared" si="218"/>
        <v>0</v>
      </c>
      <c r="M508" s="152">
        <f t="shared" si="218"/>
        <v>0</v>
      </c>
      <c r="N508" s="152">
        <f t="shared" si="218"/>
        <v>0</v>
      </c>
      <c r="O508" s="152">
        <f t="shared" si="218"/>
        <v>0</v>
      </c>
      <c r="P508" s="152">
        <f t="shared" si="218"/>
        <v>0</v>
      </c>
      <c r="Q508" s="152">
        <f t="shared" si="218"/>
        <v>0</v>
      </c>
      <c r="R508" s="152">
        <f t="shared" si="218"/>
        <v>0</v>
      </c>
      <c r="S508" s="152">
        <f t="shared" si="218"/>
        <v>0</v>
      </c>
      <c r="T508" s="152">
        <f t="shared" si="218"/>
        <v>0</v>
      </c>
      <c r="U508" s="152">
        <f t="shared" si="218"/>
        <v>0</v>
      </c>
      <c r="V508" s="152">
        <f t="shared" si="218"/>
        <v>0</v>
      </c>
      <c r="W508" s="152">
        <f t="shared" si="218"/>
        <v>0</v>
      </c>
      <c r="X508" s="152">
        <f t="shared" si="218"/>
        <v>0</v>
      </c>
      <c r="Y508" s="152">
        <f t="shared" si="218"/>
        <v>0</v>
      </c>
      <c r="Z508" s="152">
        <f t="shared" si="218"/>
        <v>0</v>
      </c>
      <c r="AA508" s="152">
        <f t="shared" si="218"/>
        <v>0</v>
      </c>
      <c r="AB508" s="152">
        <f t="shared" si="218"/>
        <v>0</v>
      </c>
      <c r="AC508" s="152">
        <f t="shared" si="218"/>
        <v>0</v>
      </c>
      <c r="AD508" s="152">
        <f t="shared" si="218"/>
        <v>0</v>
      </c>
      <c r="AE508" s="152">
        <f t="shared" si="218"/>
        <v>0</v>
      </c>
      <c r="AF508" s="152">
        <f t="shared" si="218"/>
        <v>0</v>
      </c>
      <c r="AG508" s="152">
        <f t="shared" si="218"/>
        <v>0</v>
      </c>
      <c r="AH508" s="152">
        <f t="shared" si="218"/>
        <v>0</v>
      </c>
      <c r="AI508" s="152">
        <f t="shared" si="218"/>
        <v>0</v>
      </c>
      <c r="AJ508" s="152">
        <f t="shared" si="218"/>
        <v>0</v>
      </c>
      <c r="AK508" s="152">
        <f t="shared" si="218"/>
        <v>0</v>
      </c>
      <c r="AL508" s="152">
        <f t="shared" si="218"/>
        <v>0</v>
      </c>
      <c r="AM508" s="152">
        <f t="shared" si="218"/>
        <v>0</v>
      </c>
      <c r="AN508" s="152">
        <f t="shared" si="218"/>
        <v>0</v>
      </c>
      <c r="AO508" s="152">
        <f t="shared" si="218"/>
        <v>0</v>
      </c>
      <c r="AP508" s="152">
        <f t="shared" si="218"/>
        <v>0</v>
      </c>
    </row>
    <row r="509" spans="1:42" x14ac:dyDescent="0.2">
      <c r="A509" s="4">
        <f t="shared" ref="A509:A514" si="219">A508+1</f>
        <v>3</v>
      </c>
      <c r="B509" s="175">
        <f t="shared" si="216"/>
        <v>0</v>
      </c>
      <c r="C509" s="152">
        <f t="shared" ref="C509:AP509" si="220">LOOKUP(C497,$B$490:$AP$490,$B$491:$AP$491)*$B696/100</f>
        <v>0</v>
      </c>
      <c r="D509" s="152">
        <f t="shared" si="220"/>
        <v>0</v>
      </c>
      <c r="E509" s="152">
        <f t="shared" si="220"/>
        <v>0</v>
      </c>
      <c r="F509" s="152">
        <f t="shared" si="220"/>
        <v>0</v>
      </c>
      <c r="G509" s="152">
        <f t="shared" si="220"/>
        <v>0</v>
      </c>
      <c r="H509" s="152">
        <f t="shared" si="220"/>
        <v>0</v>
      </c>
      <c r="I509" s="152">
        <f t="shared" si="220"/>
        <v>0</v>
      </c>
      <c r="J509" s="152">
        <f t="shared" si="220"/>
        <v>0</v>
      </c>
      <c r="K509" s="152">
        <f t="shared" si="220"/>
        <v>0</v>
      </c>
      <c r="L509" s="152">
        <f t="shared" si="220"/>
        <v>0</v>
      </c>
      <c r="M509" s="152">
        <f t="shared" si="220"/>
        <v>0</v>
      </c>
      <c r="N509" s="152">
        <f t="shared" si="220"/>
        <v>0</v>
      </c>
      <c r="O509" s="152">
        <f t="shared" si="220"/>
        <v>0</v>
      </c>
      <c r="P509" s="152">
        <f t="shared" si="220"/>
        <v>0</v>
      </c>
      <c r="Q509" s="152">
        <f t="shared" si="220"/>
        <v>0</v>
      </c>
      <c r="R509" s="152">
        <f t="shared" si="220"/>
        <v>0</v>
      </c>
      <c r="S509" s="152">
        <f t="shared" si="220"/>
        <v>0</v>
      </c>
      <c r="T509" s="152">
        <f t="shared" si="220"/>
        <v>0</v>
      </c>
      <c r="U509" s="152">
        <f t="shared" si="220"/>
        <v>0</v>
      </c>
      <c r="V509" s="152">
        <f t="shared" si="220"/>
        <v>0</v>
      </c>
      <c r="W509" s="152">
        <f t="shared" si="220"/>
        <v>0</v>
      </c>
      <c r="X509" s="152">
        <f t="shared" si="220"/>
        <v>0</v>
      </c>
      <c r="Y509" s="152">
        <f t="shared" si="220"/>
        <v>0</v>
      </c>
      <c r="Z509" s="152">
        <f t="shared" si="220"/>
        <v>0</v>
      </c>
      <c r="AA509" s="152">
        <f t="shared" si="220"/>
        <v>0</v>
      </c>
      <c r="AB509" s="152">
        <f t="shared" si="220"/>
        <v>0</v>
      </c>
      <c r="AC509" s="152">
        <f t="shared" si="220"/>
        <v>0</v>
      </c>
      <c r="AD509" s="152">
        <f t="shared" si="220"/>
        <v>0</v>
      </c>
      <c r="AE509" s="152">
        <f t="shared" si="220"/>
        <v>0</v>
      </c>
      <c r="AF509" s="152">
        <f t="shared" si="220"/>
        <v>0</v>
      </c>
      <c r="AG509" s="152">
        <f t="shared" si="220"/>
        <v>0</v>
      </c>
      <c r="AH509" s="152">
        <f t="shared" si="220"/>
        <v>0</v>
      </c>
      <c r="AI509" s="152">
        <f t="shared" si="220"/>
        <v>0</v>
      </c>
      <c r="AJ509" s="152">
        <f t="shared" si="220"/>
        <v>0</v>
      </c>
      <c r="AK509" s="152">
        <f t="shared" si="220"/>
        <v>0</v>
      </c>
      <c r="AL509" s="152">
        <f t="shared" si="220"/>
        <v>0</v>
      </c>
      <c r="AM509" s="152">
        <f t="shared" si="220"/>
        <v>0</v>
      </c>
      <c r="AN509" s="152">
        <f t="shared" si="220"/>
        <v>0</v>
      </c>
      <c r="AO509" s="152">
        <f t="shared" si="220"/>
        <v>0</v>
      </c>
      <c r="AP509" s="152">
        <f t="shared" si="220"/>
        <v>0</v>
      </c>
    </row>
    <row r="510" spans="1:42" x14ac:dyDescent="0.2">
      <c r="A510" s="4">
        <f t="shared" si="219"/>
        <v>4</v>
      </c>
      <c r="B510" s="175">
        <f t="shared" si="216"/>
        <v>0</v>
      </c>
      <c r="C510" s="152">
        <f t="shared" ref="C510:AP510" si="221">LOOKUP(C498,$B$490:$AP$490,$B$491:$AP$491)*$B697/100</f>
        <v>0</v>
      </c>
      <c r="D510" s="152">
        <f t="shared" si="221"/>
        <v>0</v>
      </c>
      <c r="E510" s="152">
        <f t="shared" si="221"/>
        <v>0</v>
      </c>
      <c r="F510" s="152">
        <f t="shared" si="221"/>
        <v>0</v>
      </c>
      <c r="G510" s="152">
        <f t="shared" si="221"/>
        <v>0</v>
      </c>
      <c r="H510" s="152">
        <f t="shared" si="221"/>
        <v>0</v>
      </c>
      <c r="I510" s="152">
        <f t="shared" si="221"/>
        <v>0</v>
      </c>
      <c r="J510" s="152">
        <f t="shared" si="221"/>
        <v>0</v>
      </c>
      <c r="K510" s="152">
        <f t="shared" si="221"/>
        <v>0</v>
      </c>
      <c r="L510" s="152">
        <f t="shared" si="221"/>
        <v>0</v>
      </c>
      <c r="M510" s="152">
        <f t="shared" si="221"/>
        <v>0</v>
      </c>
      <c r="N510" s="152">
        <f t="shared" si="221"/>
        <v>0</v>
      </c>
      <c r="O510" s="152">
        <f t="shared" si="221"/>
        <v>0</v>
      </c>
      <c r="P510" s="152">
        <f t="shared" si="221"/>
        <v>0</v>
      </c>
      <c r="Q510" s="152">
        <f t="shared" si="221"/>
        <v>0</v>
      </c>
      <c r="R510" s="152">
        <f t="shared" si="221"/>
        <v>0</v>
      </c>
      <c r="S510" s="152">
        <f t="shared" si="221"/>
        <v>0</v>
      </c>
      <c r="T510" s="152">
        <f t="shared" si="221"/>
        <v>0</v>
      </c>
      <c r="U510" s="152">
        <f t="shared" si="221"/>
        <v>0</v>
      </c>
      <c r="V510" s="152">
        <f t="shared" si="221"/>
        <v>0</v>
      </c>
      <c r="W510" s="152">
        <f t="shared" si="221"/>
        <v>0</v>
      </c>
      <c r="X510" s="152">
        <f t="shared" si="221"/>
        <v>0</v>
      </c>
      <c r="Y510" s="152">
        <f t="shared" si="221"/>
        <v>0</v>
      </c>
      <c r="Z510" s="152">
        <f t="shared" si="221"/>
        <v>0</v>
      </c>
      <c r="AA510" s="152">
        <f t="shared" si="221"/>
        <v>0</v>
      </c>
      <c r="AB510" s="152">
        <f t="shared" si="221"/>
        <v>0</v>
      </c>
      <c r="AC510" s="152">
        <f t="shared" si="221"/>
        <v>0</v>
      </c>
      <c r="AD510" s="152">
        <f t="shared" si="221"/>
        <v>0</v>
      </c>
      <c r="AE510" s="152">
        <f t="shared" si="221"/>
        <v>0</v>
      </c>
      <c r="AF510" s="152">
        <f t="shared" si="221"/>
        <v>0</v>
      </c>
      <c r="AG510" s="152">
        <f t="shared" si="221"/>
        <v>0</v>
      </c>
      <c r="AH510" s="152">
        <f t="shared" si="221"/>
        <v>0</v>
      </c>
      <c r="AI510" s="152">
        <f t="shared" si="221"/>
        <v>0</v>
      </c>
      <c r="AJ510" s="152">
        <f t="shared" si="221"/>
        <v>0</v>
      </c>
      <c r="AK510" s="152">
        <f t="shared" si="221"/>
        <v>0</v>
      </c>
      <c r="AL510" s="152">
        <f t="shared" si="221"/>
        <v>0</v>
      </c>
      <c r="AM510" s="152">
        <f t="shared" si="221"/>
        <v>0</v>
      </c>
      <c r="AN510" s="152">
        <f t="shared" si="221"/>
        <v>0</v>
      </c>
      <c r="AO510" s="152">
        <f t="shared" si="221"/>
        <v>0</v>
      </c>
      <c r="AP510" s="152">
        <f t="shared" si="221"/>
        <v>0</v>
      </c>
    </row>
    <row r="511" spans="1:42" x14ac:dyDescent="0.2">
      <c r="A511" s="4">
        <f t="shared" si="219"/>
        <v>5</v>
      </c>
      <c r="B511" s="175">
        <f t="shared" si="216"/>
        <v>0</v>
      </c>
      <c r="C511" s="152">
        <f t="shared" ref="C511:AP511" si="222">LOOKUP(C499,$B$490:$AP$490,$B$491:$AP$491)*$B698/100</f>
        <v>0</v>
      </c>
      <c r="D511" s="152">
        <f t="shared" si="222"/>
        <v>0</v>
      </c>
      <c r="E511" s="152">
        <f t="shared" si="222"/>
        <v>0</v>
      </c>
      <c r="F511" s="152">
        <f t="shared" si="222"/>
        <v>0</v>
      </c>
      <c r="G511" s="152">
        <f t="shared" si="222"/>
        <v>0</v>
      </c>
      <c r="H511" s="152">
        <f t="shared" si="222"/>
        <v>0</v>
      </c>
      <c r="I511" s="152">
        <f t="shared" si="222"/>
        <v>0</v>
      </c>
      <c r="J511" s="152">
        <f t="shared" si="222"/>
        <v>0</v>
      </c>
      <c r="K511" s="152">
        <f t="shared" si="222"/>
        <v>0</v>
      </c>
      <c r="L511" s="152">
        <f t="shared" si="222"/>
        <v>0</v>
      </c>
      <c r="M511" s="152">
        <f t="shared" si="222"/>
        <v>0</v>
      </c>
      <c r="N511" s="152">
        <f t="shared" si="222"/>
        <v>0</v>
      </c>
      <c r="O511" s="152">
        <f t="shared" si="222"/>
        <v>0</v>
      </c>
      <c r="P511" s="152">
        <f t="shared" si="222"/>
        <v>0</v>
      </c>
      <c r="Q511" s="152">
        <f t="shared" si="222"/>
        <v>0</v>
      </c>
      <c r="R511" s="152">
        <f t="shared" si="222"/>
        <v>0</v>
      </c>
      <c r="S511" s="152">
        <f t="shared" si="222"/>
        <v>0</v>
      </c>
      <c r="T511" s="152">
        <f t="shared" si="222"/>
        <v>0</v>
      </c>
      <c r="U511" s="152">
        <f t="shared" si="222"/>
        <v>0</v>
      </c>
      <c r="V511" s="152">
        <f t="shared" si="222"/>
        <v>0</v>
      </c>
      <c r="W511" s="152">
        <f t="shared" si="222"/>
        <v>0</v>
      </c>
      <c r="X511" s="152">
        <f t="shared" si="222"/>
        <v>0</v>
      </c>
      <c r="Y511" s="152">
        <f t="shared" si="222"/>
        <v>0</v>
      </c>
      <c r="Z511" s="152">
        <f t="shared" si="222"/>
        <v>0</v>
      </c>
      <c r="AA511" s="152">
        <f t="shared" si="222"/>
        <v>0</v>
      </c>
      <c r="AB511" s="152">
        <f t="shared" si="222"/>
        <v>0</v>
      </c>
      <c r="AC511" s="152">
        <f t="shared" si="222"/>
        <v>0</v>
      </c>
      <c r="AD511" s="152">
        <f t="shared" si="222"/>
        <v>0</v>
      </c>
      <c r="AE511" s="152">
        <f t="shared" si="222"/>
        <v>0</v>
      </c>
      <c r="AF511" s="152">
        <f t="shared" si="222"/>
        <v>0</v>
      </c>
      <c r="AG511" s="152">
        <f t="shared" si="222"/>
        <v>0</v>
      </c>
      <c r="AH511" s="152">
        <f t="shared" si="222"/>
        <v>0</v>
      </c>
      <c r="AI511" s="152">
        <f t="shared" si="222"/>
        <v>0</v>
      </c>
      <c r="AJ511" s="152">
        <f t="shared" si="222"/>
        <v>0</v>
      </c>
      <c r="AK511" s="152">
        <f t="shared" si="222"/>
        <v>0</v>
      </c>
      <c r="AL511" s="152">
        <f t="shared" si="222"/>
        <v>0</v>
      </c>
      <c r="AM511" s="152">
        <f t="shared" si="222"/>
        <v>0</v>
      </c>
      <c r="AN511" s="152">
        <f t="shared" si="222"/>
        <v>0</v>
      </c>
      <c r="AO511" s="152">
        <f t="shared" si="222"/>
        <v>0</v>
      </c>
      <c r="AP511" s="152">
        <f t="shared" si="222"/>
        <v>0</v>
      </c>
    </row>
    <row r="512" spans="1:42" x14ac:dyDescent="0.2">
      <c r="A512" s="4">
        <f t="shared" si="219"/>
        <v>6</v>
      </c>
      <c r="B512" s="175">
        <f t="shared" si="216"/>
        <v>0</v>
      </c>
      <c r="C512" s="152">
        <f t="shared" ref="C512:AP512" si="223">LOOKUP(C500,$B$490:$AP$490,$B$491:$AP$491)*$B699/100</f>
        <v>0</v>
      </c>
      <c r="D512" s="152">
        <f t="shared" si="223"/>
        <v>0</v>
      </c>
      <c r="E512" s="152">
        <f t="shared" si="223"/>
        <v>0</v>
      </c>
      <c r="F512" s="152">
        <f t="shared" si="223"/>
        <v>0</v>
      </c>
      <c r="G512" s="152">
        <f t="shared" si="223"/>
        <v>0</v>
      </c>
      <c r="H512" s="152">
        <f t="shared" si="223"/>
        <v>0</v>
      </c>
      <c r="I512" s="152">
        <f t="shared" si="223"/>
        <v>0</v>
      </c>
      <c r="J512" s="152">
        <f t="shared" si="223"/>
        <v>0</v>
      </c>
      <c r="K512" s="152">
        <f t="shared" si="223"/>
        <v>0</v>
      </c>
      <c r="L512" s="152">
        <f t="shared" si="223"/>
        <v>0</v>
      </c>
      <c r="M512" s="152">
        <f t="shared" si="223"/>
        <v>0</v>
      </c>
      <c r="N512" s="152">
        <f t="shared" si="223"/>
        <v>0</v>
      </c>
      <c r="O512" s="152">
        <f t="shared" si="223"/>
        <v>0</v>
      </c>
      <c r="P512" s="152">
        <f t="shared" si="223"/>
        <v>0</v>
      </c>
      <c r="Q512" s="152">
        <f t="shared" si="223"/>
        <v>0</v>
      </c>
      <c r="R512" s="152">
        <f t="shared" si="223"/>
        <v>0</v>
      </c>
      <c r="S512" s="152">
        <f t="shared" si="223"/>
        <v>0</v>
      </c>
      <c r="T512" s="152">
        <f t="shared" si="223"/>
        <v>0</v>
      </c>
      <c r="U512" s="152">
        <f t="shared" si="223"/>
        <v>0</v>
      </c>
      <c r="V512" s="152">
        <f t="shared" si="223"/>
        <v>0</v>
      </c>
      <c r="W512" s="152">
        <f t="shared" si="223"/>
        <v>0</v>
      </c>
      <c r="X512" s="152">
        <f t="shared" si="223"/>
        <v>0</v>
      </c>
      <c r="Y512" s="152">
        <f t="shared" si="223"/>
        <v>0</v>
      </c>
      <c r="Z512" s="152">
        <f t="shared" si="223"/>
        <v>0</v>
      </c>
      <c r="AA512" s="152">
        <f t="shared" si="223"/>
        <v>0</v>
      </c>
      <c r="AB512" s="152">
        <f t="shared" si="223"/>
        <v>0</v>
      </c>
      <c r="AC512" s="152">
        <f t="shared" si="223"/>
        <v>0</v>
      </c>
      <c r="AD512" s="152">
        <f t="shared" si="223"/>
        <v>0</v>
      </c>
      <c r="AE512" s="152">
        <f t="shared" si="223"/>
        <v>0</v>
      </c>
      <c r="AF512" s="152">
        <f t="shared" si="223"/>
        <v>0</v>
      </c>
      <c r="AG512" s="152">
        <f t="shared" si="223"/>
        <v>0</v>
      </c>
      <c r="AH512" s="152">
        <f t="shared" si="223"/>
        <v>0</v>
      </c>
      <c r="AI512" s="152">
        <f t="shared" si="223"/>
        <v>0</v>
      </c>
      <c r="AJ512" s="152">
        <f t="shared" si="223"/>
        <v>0</v>
      </c>
      <c r="AK512" s="152">
        <f t="shared" si="223"/>
        <v>0</v>
      </c>
      <c r="AL512" s="152">
        <f t="shared" si="223"/>
        <v>0</v>
      </c>
      <c r="AM512" s="152">
        <f t="shared" si="223"/>
        <v>0</v>
      </c>
      <c r="AN512" s="152">
        <f t="shared" si="223"/>
        <v>0</v>
      </c>
      <c r="AO512" s="152">
        <f t="shared" si="223"/>
        <v>0</v>
      </c>
      <c r="AP512" s="152">
        <f t="shared" si="223"/>
        <v>0</v>
      </c>
    </row>
    <row r="513" spans="1:42" x14ac:dyDescent="0.2">
      <c r="A513" s="4">
        <f t="shared" si="219"/>
        <v>7</v>
      </c>
      <c r="B513" s="175">
        <f t="shared" si="216"/>
        <v>0</v>
      </c>
      <c r="C513" s="152">
        <f t="shared" ref="C513:AP513" si="224">LOOKUP(C501,$B$490:$AP$490,$B$491:$AP$491)*$B700/100</f>
        <v>0</v>
      </c>
      <c r="D513" s="152">
        <f t="shared" si="224"/>
        <v>0</v>
      </c>
      <c r="E513" s="152">
        <f t="shared" si="224"/>
        <v>0</v>
      </c>
      <c r="F513" s="152">
        <f t="shared" si="224"/>
        <v>0</v>
      </c>
      <c r="G513" s="152">
        <f t="shared" si="224"/>
        <v>0</v>
      </c>
      <c r="H513" s="152">
        <f t="shared" si="224"/>
        <v>0</v>
      </c>
      <c r="I513" s="152">
        <f t="shared" si="224"/>
        <v>0</v>
      </c>
      <c r="J513" s="152">
        <f t="shared" si="224"/>
        <v>0</v>
      </c>
      <c r="K513" s="152">
        <f t="shared" si="224"/>
        <v>0</v>
      </c>
      <c r="L513" s="152">
        <f t="shared" si="224"/>
        <v>0</v>
      </c>
      <c r="M513" s="152">
        <f t="shared" si="224"/>
        <v>0</v>
      </c>
      <c r="N513" s="152">
        <f t="shared" si="224"/>
        <v>0</v>
      </c>
      <c r="O513" s="152">
        <f t="shared" si="224"/>
        <v>0</v>
      </c>
      <c r="P513" s="152">
        <f t="shared" si="224"/>
        <v>0</v>
      </c>
      <c r="Q513" s="152">
        <f t="shared" si="224"/>
        <v>0</v>
      </c>
      <c r="R513" s="152">
        <f t="shared" si="224"/>
        <v>0</v>
      </c>
      <c r="S513" s="152">
        <f t="shared" si="224"/>
        <v>0</v>
      </c>
      <c r="T513" s="152">
        <f t="shared" si="224"/>
        <v>0</v>
      </c>
      <c r="U513" s="152">
        <f t="shared" si="224"/>
        <v>0</v>
      </c>
      <c r="V513" s="152">
        <f t="shared" si="224"/>
        <v>0</v>
      </c>
      <c r="W513" s="152">
        <f t="shared" si="224"/>
        <v>0</v>
      </c>
      <c r="X513" s="152">
        <f t="shared" si="224"/>
        <v>0</v>
      </c>
      <c r="Y513" s="152">
        <f t="shared" si="224"/>
        <v>0</v>
      </c>
      <c r="Z513" s="152">
        <f t="shared" si="224"/>
        <v>0</v>
      </c>
      <c r="AA513" s="152">
        <f t="shared" si="224"/>
        <v>0</v>
      </c>
      <c r="AB513" s="152">
        <f t="shared" si="224"/>
        <v>0</v>
      </c>
      <c r="AC513" s="152">
        <f t="shared" si="224"/>
        <v>0</v>
      </c>
      <c r="AD513" s="152">
        <f t="shared" si="224"/>
        <v>0</v>
      </c>
      <c r="AE513" s="152">
        <f t="shared" si="224"/>
        <v>0</v>
      </c>
      <c r="AF513" s="152">
        <f t="shared" si="224"/>
        <v>0</v>
      </c>
      <c r="AG513" s="152">
        <f t="shared" si="224"/>
        <v>0</v>
      </c>
      <c r="AH513" s="152">
        <f t="shared" si="224"/>
        <v>0</v>
      </c>
      <c r="AI513" s="152">
        <f t="shared" si="224"/>
        <v>0</v>
      </c>
      <c r="AJ513" s="152">
        <f t="shared" si="224"/>
        <v>0</v>
      </c>
      <c r="AK513" s="152">
        <f t="shared" si="224"/>
        <v>0</v>
      </c>
      <c r="AL513" s="152">
        <f t="shared" si="224"/>
        <v>0</v>
      </c>
      <c r="AM513" s="152">
        <f t="shared" si="224"/>
        <v>0</v>
      </c>
      <c r="AN513" s="152">
        <f t="shared" si="224"/>
        <v>0</v>
      </c>
      <c r="AO513" s="152">
        <f t="shared" si="224"/>
        <v>0</v>
      </c>
      <c r="AP513" s="152">
        <f t="shared" si="224"/>
        <v>0</v>
      </c>
    </row>
    <row r="514" spans="1:42" x14ac:dyDescent="0.2">
      <c r="A514" s="4">
        <f t="shared" si="219"/>
        <v>8</v>
      </c>
      <c r="B514" s="175">
        <f t="shared" si="216"/>
        <v>0</v>
      </c>
      <c r="C514" s="152">
        <f t="shared" ref="C514:AP514" si="225">LOOKUP(C502,$B$490:$AP$490,$B$491:$AP$491)*$B701/100</f>
        <v>0</v>
      </c>
      <c r="D514" s="152">
        <f t="shared" si="225"/>
        <v>0</v>
      </c>
      <c r="E514" s="152">
        <f t="shared" si="225"/>
        <v>0</v>
      </c>
      <c r="F514" s="152">
        <f t="shared" si="225"/>
        <v>0</v>
      </c>
      <c r="G514" s="152">
        <f t="shared" si="225"/>
        <v>0</v>
      </c>
      <c r="H514" s="152">
        <f t="shared" si="225"/>
        <v>0</v>
      </c>
      <c r="I514" s="152">
        <f t="shared" si="225"/>
        <v>0</v>
      </c>
      <c r="J514" s="152">
        <f t="shared" si="225"/>
        <v>0</v>
      </c>
      <c r="K514" s="152">
        <f t="shared" si="225"/>
        <v>0</v>
      </c>
      <c r="L514" s="152">
        <f t="shared" si="225"/>
        <v>0</v>
      </c>
      <c r="M514" s="152">
        <f t="shared" si="225"/>
        <v>0</v>
      </c>
      <c r="N514" s="152">
        <f t="shared" si="225"/>
        <v>0</v>
      </c>
      <c r="O514" s="152">
        <f t="shared" si="225"/>
        <v>0</v>
      </c>
      <c r="P514" s="152">
        <f t="shared" si="225"/>
        <v>0</v>
      </c>
      <c r="Q514" s="152">
        <f t="shared" si="225"/>
        <v>0</v>
      </c>
      <c r="R514" s="152">
        <f t="shared" si="225"/>
        <v>0</v>
      </c>
      <c r="S514" s="152">
        <f t="shared" si="225"/>
        <v>0</v>
      </c>
      <c r="T514" s="152">
        <f t="shared" si="225"/>
        <v>0</v>
      </c>
      <c r="U514" s="152">
        <f t="shared" si="225"/>
        <v>0</v>
      </c>
      <c r="V514" s="152">
        <f t="shared" si="225"/>
        <v>0</v>
      </c>
      <c r="W514" s="152">
        <f t="shared" si="225"/>
        <v>0</v>
      </c>
      <c r="X514" s="152">
        <f t="shared" si="225"/>
        <v>0</v>
      </c>
      <c r="Y514" s="152">
        <f t="shared" si="225"/>
        <v>0</v>
      </c>
      <c r="Z514" s="152">
        <f t="shared" si="225"/>
        <v>0</v>
      </c>
      <c r="AA514" s="152">
        <f t="shared" si="225"/>
        <v>0</v>
      </c>
      <c r="AB514" s="152">
        <f t="shared" si="225"/>
        <v>0</v>
      </c>
      <c r="AC514" s="152">
        <f t="shared" si="225"/>
        <v>0</v>
      </c>
      <c r="AD514" s="152">
        <f t="shared" si="225"/>
        <v>0</v>
      </c>
      <c r="AE514" s="152">
        <f t="shared" si="225"/>
        <v>0</v>
      </c>
      <c r="AF514" s="152">
        <f t="shared" si="225"/>
        <v>0</v>
      </c>
      <c r="AG514" s="152">
        <f t="shared" si="225"/>
        <v>0</v>
      </c>
      <c r="AH514" s="152">
        <f t="shared" si="225"/>
        <v>0</v>
      </c>
      <c r="AI514" s="152">
        <f t="shared" si="225"/>
        <v>0</v>
      </c>
      <c r="AJ514" s="152">
        <f t="shared" si="225"/>
        <v>0</v>
      </c>
      <c r="AK514" s="152">
        <f t="shared" si="225"/>
        <v>0</v>
      </c>
      <c r="AL514" s="152">
        <f t="shared" si="225"/>
        <v>0</v>
      </c>
      <c r="AM514" s="152">
        <f t="shared" si="225"/>
        <v>0</v>
      </c>
      <c r="AN514" s="152">
        <f t="shared" si="225"/>
        <v>0</v>
      </c>
      <c r="AO514" s="152">
        <f t="shared" si="225"/>
        <v>0</v>
      </c>
      <c r="AP514" s="152">
        <f t="shared" si="225"/>
        <v>0</v>
      </c>
    </row>
    <row r="515" spans="1:42" x14ac:dyDescent="0.2">
      <c r="A515" s="4">
        <f>A514+1</f>
        <v>9</v>
      </c>
      <c r="B515" s="175">
        <f t="shared" si="216"/>
        <v>0</v>
      </c>
      <c r="C515" s="152">
        <f t="shared" ref="C515:AP515" si="226">LOOKUP(C503,$B$490:$AP$490,$B$491:$AP$491)*$B702/100</f>
        <v>0</v>
      </c>
      <c r="D515" s="152">
        <f t="shared" si="226"/>
        <v>0</v>
      </c>
      <c r="E515" s="152">
        <f t="shared" si="226"/>
        <v>0</v>
      </c>
      <c r="F515" s="152">
        <f t="shared" si="226"/>
        <v>0</v>
      </c>
      <c r="G515" s="152">
        <f t="shared" si="226"/>
        <v>0</v>
      </c>
      <c r="H515" s="152">
        <f t="shared" si="226"/>
        <v>0</v>
      </c>
      <c r="I515" s="152">
        <f t="shared" si="226"/>
        <v>0</v>
      </c>
      <c r="J515" s="152">
        <f t="shared" si="226"/>
        <v>0</v>
      </c>
      <c r="K515" s="152">
        <f t="shared" si="226"/>
        <v>0</v>
      </c>
      <c r="L515" s="152">
        <f t="shared" si="226"/>
        <v>0</v>
      </c>
      <c r="M515" s="152">
        <f t="shared" si="226"/>
        <v>0</v>
      </c>
      <c r="N515" s="152">
        <f t="shared" si="226"/>
        <v>0</v>
      </c>
      <c r="O515" s="152">
        <f t="shared" si="226"/>
        <v>0</v>
      </c>
      <c r="P515" s="152">
        <f t="shared" si="226"/>
        <v>0</v>
      </c>
      <c r="Q515" s="152">
        <f t="shared" si="226"/>
        <v>0</v>
      </c>
      <c r="R515" s="152">
        <f t="shared" si="226"/>
        <v>0</v>
      </c>
      <c r="S515" s="152">
        <f t="shared" si="226"/>
        <v>0</v>
      </c>
      <c r="T515" s="152">
        <f t="shared" si="226"/>
        <v>0</v>
      </c>
      <c r="U515" s="152">
        <f t="shared" si="226"/>
        <v>0</v>
      </c>
      <c r="V515" s="152">
        <f t="shared" si="226"/>
        <v>0</v>
      </c>
      <c r="W515" s="152">
        <f t="shared" si="226"/>
        <v>0</v>
      </c>
      <c r="X515" s="152">
        <f t="shared" si="226"/>
        <v>0</v>
      </c>
      <c r="Y515" s="152">
        <f t="shared" si="226"/>
        <v>0</v>
      </c>
      <c r="Z515" s="152">
        <f t="shared" si="226"/>
        <v>0</v>
      </c>
      <c r="AA515" s="152">
        <f t="shared" si="226"/>
        <v>0</v>
      </c>
      <c r="AB515" s="152">
        <f t="shared" si="226"/>
        <v>0</v>
      </c>
      <c r="AC515" s="152">
        <f t="shared" si="226"/>
        <v>0</v>
      </c>
      <c r="AD515" s="152">
        <f t="shared" si="226"/>
        <v>0</v>
      </c>
      <c r="AE515" s="152">
        <f t="shared" si="226"/>
        <v>0</v>
      </c>
      <c r="AF515" s="152">
        <f t="shared" si="226"/>
        <v>0</v>
      </c>
      <c r="AG515" s="152">
        <f t="shared" si="226"/>
        <v>0</v>
      </c>
      <c r="AH515" s="152">
        <f t="shared" si="226"/>
        <v>0</v>
      </c>
      <c r="AI515" s="152">
        <f t="shared" si="226"/>
        <v>0</v>
      </c>
      <c r="AJ515" s="152">
        <f t="shared" si="226"/>
        <v>0</v>
      </c>
      <c r="AK515" s="152">
        <f t="shared" si="226"/>
        <v>0</v>
      </c>
      <c r="AL515" s="152">
        <f t="shared" si="226"/>
        <v>0</v>
      </c>
      <c r="AM515" s="152">
        <f t="shared" si="226"/>
        <v>0</v>
      </c>
      <c r="AN515" s="152">
        <f t="shared" si="226"/>
        <v>0</v>
      </c>
      <c r="AO515" s="152">
        <f t="shared" si="226"/>
        <v>0</v>
      </c>
      <c r="AP515" s="152">
        <f t="shared" si="226"/>
        <v>0</v>
      </c>
    </row>
    <row r="516" spans="1:42" x14ac:dyDescent="0.2">
      <c r="A516" s="4">
        <f t="shared" ref="A516" si="227">A515+1</f>
        <v>10</v>
      </c>
      <c r="B516" s="175">
        <f t="shared" si="216"/>
        <v>0</v>
      </c>
      <c r="C516" s="153">
        <f t="shared" ref="C516:AP516" si="228">LOOKUP(C504,$B$490:$AP$490,$B$491:$AP$491)*$B703/100</f>
        <v>0</v>
      </c>
      <c r="D516" s="153">
        <f t="shared" si="228"/>
        <v>0</v>
      </c>
      <c r="E516" s="153">
        <f t="shared" si="228"/>
        <v>0</v>
      </c>
      <c r="F516" s="153">
        <f t="shared" si="228"/>
        <v>0</v>
      </c>
      <c r="G516" s="153">
        <f t="shared" si="228"/>
        <v>0</v>
      </c>
      <c r="H516" s="153">
        <f t="shared" si="228"/>
        <v>0</v>
      </c>
      <c r="I516" s="153">
        <f t="shared" si="228"/>
        <v>0</v>
      </c>
      <c r="J516" s="153">
        <f t="shared" si="228"/>
        <v>0</v>
      </c>
      <c r="K516" s="153">
        <f t="shared" si="228"/>
        <v>0</v>
      </c>
      <c r="L516" s="153">
        <f t="shared" si="228"/>
        <v>0</v>
      </c>
      <c r="M516" s="153">
        <f t="shared" si="228"/>
        <v>0</v>
      </c>
      <c r="N516" s="153">
        <f t="shared" si="228"/>
        <v>0</v>
      </c>
      <c r="O516" s="153">
        <f t="shared" si="228"/>
        <v>0</v>
      </c>
      <c r="P516" s="153">
        <f t="shared" si="228"/>
        <v>0</v>
      </c>
      <c r="Q516" s="153">
        <f t="shared" si="228"/>
        <v>0</v>
      </c>
      <c r="R516" s="153">
        <f t="shared" si="228"/>
        <v>0</v>
      </c>
      <c r="S516" s="153">
        <f t="shared" si="228"/>
        <v>0</v>
      </c>
      <c r="T516" s="153">
        <f t="shared" si="228"/>
        <v>0</v>
      </c>
      <c r="U516" s="153">
        <f t="shared" si="228"/>
        <v>0</v>
      </c>
      <c r="V516" s="153">
        <f t="shared" si="228"/>
        <v>0</v>
      </c>
      <c r="W516" s="153">
        <f t="shared" si="228"/>
        <v>0</v>
      </c>
      <c r="X516" s="153">
        <f t="shared" si="228"/>
        <v>0</v>
      </c>
      <c r="Y516" s="153">
        <f t="shared" si="228"/>
        <v>0</v>
      </c>
      <c r="Z516" s="153">
        <f t="shared" si="228"/>
        <v>0</v>
      </c>
      <c r="AA516" s="153">
        <f t="shared" si="228"/>
        <v>0</v>
      </c>
      <c r="AB516" s="153">
        <f t="shared" si="228"/>
        <v>0</v>
      </c>
      <c r="AC516" s="153">
        <f t="shared" si="228"/>
        <v>0</v>
      </c>
      <c r="AD516" s="153">
        <f t="shared" si="228"/>
        <v>0</v>
      </c>
      <c r="AE516" s="153">
        <f t="shared" si="228"/>
        <v>0</v>
      </c>
      <c r="AF516" s="153">
        <f t="shared" si="228"/>
        <v>0</v>
      </c>
      <c r="AG516" s="153">
        <f t="shared" si="228"/>
        <v>0</v>
      </c>
      <c r="AH516" s="153">
        <f t="shared" si="228"/>
        <v>0</v>
      </c>
      <c r="AI516" s="153">
        <f t="shared" si="228"/>
        <v>0</v>
      </c>
      <c r="AJ516" s="153">
        <f t="shared" si="228"/>
        <v>0</v>
      </c>
      <c r="AK516" s="153">
        <f t="shared" si="228"/>
        <v>0</v>
      </c>
      <c r="AL516" s="153">
        <f t="shared" si="228"/>
        <v>0</v>
      </c>
      <c r="AM516" s="153">
        <f t="shared" si="228"/>
        <v>0</v>
      </c>
      <c r="AN516" s="153">
        <f t="shared" si="228"/>
        <v>0</v>
      </c>
      <c r="AO516" s="153">
        <f t="shared" si="228"/>
        <v>0</v>
      </c>
      <c r="AP516" s="153">
        <f t="shared" si="228"/>
        <v>0</v>
      </c>
    </row>
    <row r="517" spans="1:42" x14ac:dyDescent="0.2">
      <c r="A517" s="24" t="s">
        <v>13</v>
      </c>
      <c r="B517" s="14"/>
      <c r="C517" s="152">
        <f>SUM(C507:C516)</f>
        <v>0</v>
      </c>
      <c r="D517" s="152">
        <f t="shared" ref="D517:AP517" si="229">SUM(D507:D516)</f>
        <v>0</v>
      </c>
      <c r="E517" s="152">
        <f t="shared" si="229"/>
        <v>0</v>
      </c>
      <c r="F517" s="152">
        <f t="shared" si="229"/>
        <v>0</v>
      </c>
      <c r="G517" s="152">
        <f t="shared" si="229"/>
        <v>0</v>
      </c>
      <c r="H517" s="152">
        <f t="shared" si="229"/>
        <v>0</v>
      </c>
      <c r="I517" s="152">
        <f t="shared" si="229"/>
        <v>0</v>
      </c>
      <c r="J517" s="152">
        <f t="shared" si="229"/>
        <v>0</v>
      </c>
      <c r="K517" s="152">
        <f t="shared" si="229"/>
        <v>0</v>
      </c>
      <c r="L517" s="152">
        <f t="shared" si="229"/>
        <v>0</v>
      </c>
      <c r="M517" s="152">
        <f t="shared" si="229"/>
        <v>0</v>
      </c>
      <c r="N517" s="152">
        <f t="shared" si="229"/>
        <v>0</v>
      </c>
      <c r="O517" s="152">
        <f t="shared" si="229"/>
        <v>0</v>
      </c>
      <c r="P517" s="152">
        <f t="shared" si="229"/>
        <v>0</v>
      </c>
      <c r="Q517" s="152">
        <f t="shared" si="229"/>
        <v>0</v>
      </c>
      <c r="R517" s="152">
        <f t="shared" si="229"/>
        <v>0</v>
      </c>
      <c r="S517" s="152">
        <f t="shared" si="229"/>
        <v>0</v>
      </c>
      <c r="T517" s="152">
        <f t="shared" si="229"/>
        <v>0</v>
      </c>
      <c r="U517" s="152">
        <f t="shared" si="229"/>
        <v>0</v>
      </c>
      <c r="V517" s="152">
        <f t="shared" si="229"/>
        <v>0</v>
      </c>
      <c r="W517" s="152">
        <f t="shared" si="229"/>
        <v>0</v>
      </c>
      <c r="X517" s="152">
        <f t="shared" si="229"/>
        <v>0</v>
      </c>
      <c r="Y517" s="152">
        <f t="shared" si="229"/>
        <v>0</v>
      </c>
      <c r="Z517" s="152">
        <f t="shared" si="229"/>
        <v>0</v>
      </c>
      <c r="AA517" s="152">
        <f t="shared" si="229"/>
        <v>0</v>
      </c>
      <c r="AB517" s="152">
        <f t="shared" si="229"/>
        <v>0</v>
      </c>
      <c r="AC517" s="152">
        <f t="shared" si="229"/>
        <v>0</v>
      </c>
      <c r="AD517" s="152">
        <f t="shared" si="229"/>
        <v>0</v>
      </c>
      <c r="AE517" s="152">
        <f t="shared" si="229"/>
        <v>0</v>
      </c>
      <c r="AF517" s="152">
        <f t="shared" si="229"/>
        <v>0</v>
      </c>
      <c r="AG517" s="152">
        <f t="shared" si="229"/>
        <v>0</v>
      </c>
      <c r="AH517" s="152">
        <f t="shared" si="229"/>
        <v>0</v>
      </c>
      <c r="AI517" s="152">
        <f t="shared" si="229"/>
        <v>0</v>
      </c>
      <c r="AJ517" s="152">
        <f t="shared" si="229"/>
        <v>0</v>
      </c>
      <c r="AK517" s="152">
        <f t="shared" si="229"/>
        <v>0</v>
      </c>
      <c r="AL517" s="152">
        <f t="shared" si="229"/>
        <v>0</v>
      </c>
      <c r="AM517" s="152">
        <f t="shared" si="229"/>
        <v>0</v>
      </c>
      <c r="AN517" s="152">
        <f t="shared" si="229"/>
        <v>0</v>
      </c>
      <c r="AO517" s="152">
        <f t="shared" si="229"/>
        <v>0</v>
      </c>
      <c r="AP517" s="152">
        <f t="shared" si="229"/>
        <v>0</v>
      </c>
    </row>
    <row r="518" spans="1:42" x14ac:dyDescent="0.2">
      <c r="A518" s="24"/>
      <c r="B518" s="14"/>
      <c r="C518" s="152"/>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row>
    <row r="519" spans="1:42" x14ac:dyDescent="0.2">
      <c r="A519" s="21" t="s">
        <v>76</v>
      </c>
      <c r="C519" s="152"/>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row>
    <row r="520" spans="1:42" x14ac:dyDescent="0.2">
      <c r="A520" s="85" t="s">
        <v>62</v>
      </c>
      <c r="C520" s="152"/>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row>
    <row r="521" spans="1:42" x14ac:dyDescent="0.2">
      <c r="A521" s="4">
        <v>1</v>
      </c>
      <c r="C521" s="152">
        <f t="shared" ref="C521:AP521" si="230">C383</f>
        <v>0</v>
      </c>
      <c r="D521" s="152">
        <f t="shared" si="230"/>
        <v>0</v>
      </c>
      <c r="E521" s="152">
        <f t="shared" si="230"/>
        <v>0</v>
      </c>
      <c r="F521" s="152">
        <f t="shared" si="230"/>
        <v>0</v>
      </c>
      <c r="G521" s="152">
        <f t="shared" si="230"/>
        <v>0</v>
      </c>
      <c r="H521" s="152">
        <f t="shared" si="230"/>
        <v>0</v>
      </c>
      <c r="I521" s="152">
        <f t="shared" si="230"/>
        <v>0</v>
      </c>
      <c r="J521" s="152">
        <f t="shared" si="230"/>
        <v>0</v>
      </c>
      <c r="K521" s="152">
        <f t="shared" si="230"/>
        <v>0</v>
      </c>
      <c r="L521" s="152">
        <f t="shared" si="230"/>
        <v>0</v>
      </c>
      <c r="M521" s="152">
        <f t="shared" si="230"/>
        <v>0</v>
      </c>
      <c r="N521" s="152">
        <f t="shared" si="230"/>
        <v>0</v>
      </c>
      <c r="O521" s="152">
        <f t="shared" si="230"/>
        <v>0</v>
      </c>
      <c r="P521" s="152">
        <f t="shared" si="230"/>
        <v>0</v>
      </c>
      <c r="Q521" s="152">
        <f t="shared" si="230"/>
        <v>0</v>
      </c>
      <c r="R521" s="152">
        <f t="shared" si="230"/>
        <v>0</v>
      </c>
      <c r="S521" s="152">
        <f t="shared" si="230"/>
        <v>0</v>
      </c>
      <c r="T521" s="152">
        <f t="shared" si="230"/>
        <v>0</v>
      </c>
      <c r="U521" s="152">
        <f t="shared" si="230"/>
        <v>0</v>
      </c>
      <c r="V521" s="152">
        <f t="shared" si="230"/>
        <v>0</v>
      </c>
      <c r="W521" s="152">
        <f t="shared" si="230"/>
        <v>0</v>
      </c>
      <c r="X521" s="152">
        <f t="shared" si="230"/>
        <v>0</v>
      </c>
      <c r="Y521" s="152">
        <f t="shared" si="230"/>
        <v>0</v>
      </c>
      <c r="Z521" s="152">
        <f t="shared" si="230"/>
        <v>0</v>
      </c>
      <c r="AA521" s="152">
        <f t="shared" si="230"/>
        <v>0</v>
      </c>
      <c r="AB521" s="152">
        <f t="shared" si="230"/>
        <v>0</v>
      </c>
      <c r="AC521" s="152">
        <f t="shared" si="230"/>
        <v>0</v>
      </c>
      <c r="AD521" s="152">
        <f t="shared" si="230"/>
        <v>0</v>
      </c>
      <c r="AE521" s="152">
        <f t="shared" si="230"/>
        <v>0</v>
      </c>
      <c r="AF521" s="152">
        <f t="shared" si="230"/>
        <v>0</v>
      </c>
      <c r="AG521" s="152">
        <f t="shared" si="230"/>
        <v>0</v>
      </c>
      <c r="AH521" s="152">
        <f t="shared" si="230"/>
        <v>0</v>
      </c>
      <c r="AI521" s="152">
        <f t="shared" si="230"/>
        <v>0</v>
      </c>
      <c r="AJ521" s="152">
        <f t="shared" si="230"/>
        <v>0</v>
      </c>
      <c r="AK521" s="152">
        <f t="shared" si="230"/>
        <v>0</v>
      </c>
      <c r="AL521" s="152">
        <f t="shared" si="230"/>
        <v>0</v>
      </c>
      <c r="AM521" s="152">
        <f t="shared" si="230"/>
        <v>0</v>
      </c>
      <c r="AN521" s="152">
        <f t="shared" si="230"/>
        <v>0</v>
      </c>
      <c r="AO521" s="152">
        <f t="shared" si="230"/>
        <v>0</v>
      </c>
      <c r="AP521" s="152">
        <f t="shared" si="230"/>
        <v>0</v>
      </c>
    </row>
    <row r="522" spans="1:42" x14ac:dyDescent="0.2">
      <c r="A522" s="4">
        <f>A521+1</f>
        <v>2</v>
      </c>
      <c r="C522" s="152">
        <f t="shared" ref="C522:AP522" si="231">C384</f>
        <v>0</v>
      </c>
      <c r="D522" s="152">
        <f t="shared" si="231"/>
        <v>0</v>
      </c>
      <c r="E522" s="152">
        <f t="shared" si="231"/>
        <v>0</v>
      </c>
      <c r="F522" s="152">
        <f t="shared" si="231"/>
        <v>0</v>
      </c>
      <c r="G522" s="152">
        <f t="shared" si="231"/>
        <v>0</v>
      </c>
      <c r="H522" s="152">
        <f t="shared" si="231"/>
        <v>0</v>
      </c>
      <c r="I522" s="152">
        <f t="shared" si="231"/>
        <v>0</v>
      </c>
      <c r="J522" s="152">
        <f t="shared" si="231"/>
        <v>0</v>
      </c>
      <c r="K522" s="152">
        <f t="shared" si="231"/>
        <v>0</v>
      </c>
      <c r="L522" s="152">
        <f t="shared" si="231"/>
        <v>0</v>
      </c>
      <c r="M522" s="152">
        <f t="shared" si="231"/>
        <v>0</v>
      </c>
      <c r="N522" s="152">
        <f t="shared" si="231"/>
        <v>0</v>
      </c>
      <c r="O522" s="152">
        <f t="shared" si="231"/>
        <v>0</v>
      </c>
      <c r="P522" s="152">
        <f t="shared" si="231"/>
        <v>0</v>
      </c>
      <c r="Q522" s="152">
        <f t="shared" si="231"/>
        <v>0</v>
      </c>
      <c r="R522" s="152">
        <f t="shared" si="231"/>
        <v>0</v>
      </c>
      <c r="S522" s="152">
        <f t="shared" si="231"/>
        <v>0</v>
      </c>
      <c r="T522" s="152">
        <f t="shared" si="231"/>
        <v>0</v>
      </c>
      <c r="U522" s="152">
        <f t="shared" si="231"/>
        <v>0</v>
      </c>
      <c r="V522" s="152">
        <f t="shared" si="231"/>
        <v>0</v>
      </c>
      <c r="W522" s="152">
        <f t="shared" si="231"/>
        <v>0</v>
      </c>
      <c r="X522" s="152">
        <f t="shared" si="231"/>
        <v>0</v>
      </c>
      <c r="Y522" s="152">
        <f t="shared" si="231"/>
        <v>0</v>
      </c>
      <c r="Z522" s="152">
        <f t="shared" si="231"/>
        <v>0</v>
      </c>
      <c r="AA522" s="152">
        <f t="shared" si="231"/>
        <v>0</v>
      </c>
      <c r="AB522" s="152">
        <f t="shared" si="231"/>
        <v>0</v>
      </c>
      <c r="AC522" s="152">
        <f t="shared" si="231"/>
        <v>0</v>
      </c>
      <c r="AD522" s="152">
        <f t="shared" si="231"/>
        <v>0</v>
      </c>
      <c r="AE522" s="152">
        <f t="shared" si="231"/>
        <v>0</v>
      </c>
      <c r="AF522" s="152">
        <f t="shared" si="231"/>
        <v>0</v>
      </c>
      <c r="AG522" s="152">
        <f t="shared" si="231"/>
        <v>0</v>
      </c>
      <c r="AH522" s="152">
        <f t="shared" si="231"/>
        <v>0</v>
      </c>
      <c r="AI522" s="152">
        <f t="shared" si="231"/>
        <v>0</v>
      </c>
      <c r="AJ522" s="152">
        <f t="shared" si="231"/>
        <v>0</v>
      </c>
      <c r="AK522" s="152">
        <f t="shared" si="231"/>
        <v>0</v>
      </c>
      <c r="AL522" s="152">
        <f t="shared" si="231"/>
        <v>0</v>
      </c>
      <c r="AM522" s="152">
        <f t="shared" si="231"/>
        <v>0</v>
      </c>
      <c r="AN522" s="152">
        <f t="shared" si="231"/>
        <v>0</v>
      </c>
      <c r="AO522" s="152">
        <f t="shared" si="231"/>
        <v>0</v>
      </c>
      <c r="AP522" s="152">
        <f t="shared" si="231"/>
        <v>0</v>
      </c>
    </row>
    <row r="523" spans="1:42" x14ac:dyDescent="0.2">
      <c r="A523" s="4">
        <f t="shared" ref="A523:A528" si="232">A522+1</f>
        <v>3</v>
      </c>
      <c r="C523" s="152">
        <f t="shared" ref="C523:AP523" si="233">C385</f>
        <v>0</v>
      </c>
      <c r="D523" s="152">
        <f t="shared" si="233"/>
        <v>0</v>
      </c>
      <c r="E523" s="152">
        <f t="shared" si="233"/>
        <v>0</v>
      </c>
      <c r="F523" s="152">
        <f t="shared" si="233"/>
        <v>0</v>
      </c>
      <c r="G523" s="152">
        <f t="shared" si="233"/>
        <v>0</v>
      </c>
      <c r="H523" s="152">
        <f t="shared" si="233"/>
        <v>0</v>
      </c>
      <c r="I523" s="152">
        <f t="shared" si="233"/>
        <v>0</v>
      </c>
      <c r="J523" s="152">
        <f t="shared" si="233"/>
        <v>0</v>
      </c>
      <c r="K523" s="152">
        <f t="shared" si="233"/>
        <v>0</v>
      </c>
      <c r="L523" s="152">
        <f t="shared" si="233"/>
        <v>0</v>
      </c>
      <c r="M523" s="152">
        <f t="shared" si="233"/>
        <v>0</v>
      </c>
      <c r="N523" s="152">
        <f t="shared" si="233"/>
        <v>0</v>
      </c>
      <c r="O523" s="152">
        <f t="shared" si="233"/>
        <v>0</v>
      </c>
      <c r="P523" s="152">
        <f t="shared" si="233"/>
        <v>0</v>
      </c>
      <c r="Q523" s="152">
        <f t="shared" si="233"/>
        <v>0</v>
      </c>
      <c r="R523" s="152">
        <f t="shared" si="233"/>
        <v>0</v>
      </c>
      <c r="S523" s="152">
        <f t="shared" si="233"/>
        <v>0</v>
      </c>
      <c r="T523" s="152">
        <f t="shared" si="233"/>
        <v>0</v>
      </c>
      <c r="U523" s="152">
        <f t="shared" si="233"/>
        <v>0</v>
      </c>
      <c r="V523" s="152">
        <f t="shared" si="233"/>
        <v>0</v>
      </c>
      <c r="W523" s="152">
        <f t="shared" si="233"/>
        <v>0</v>
      </c>
      <c r="X523" s="152">
        <f t="shared" si="233"/>
        <v>0</v>
      </c>
      <c r="Y523" s="152">
        <f t="shared" si="233"/>
        <v>0</v>
      </c>
      <c r="Z523" s="152">
        <f t="shared" si="233"/>
        <v>0</v>
      </c>
      <c r="AA523" s="152">
        <f t="shared" si="233"/>
        <v>0</v>
      </c>
      <c r="AB523" s="152">
        <f t="shared" si="233"/>
        <v>0</v>
      </c>
      <c r="AC523" s="152">
        <f t="shared" si="233"/>
        <v>0</v>
      </c>
      <c r="AD523" s="152">
        <f t="shared" si="233"/>
        <v>0</v>
      </c>
      <c r="AE523" s="152">
        <f t="shared" si="233"/>
        <v>0</v>
      </c>
      <c r="AF523" s="152">
        <f t="shared" si="233"/>
        <v>0</v>
      </c>
      <c r="AG523" s="152">
        <f t="shared" si="233"/>
        <v>0</v>
      </c>
      <c r="AH523" s="152">
        <f t="shared" si="233"/>
        <v>0</v>
      </c>
      <c r="AI523" s="152">
        <f t="shared" si="233"/>
        <v>0</v>
      </c>
      <c r="AJ523" s="152">
        <f t="shared" si="233"/>
        <v>0</v>
      </c>
      <c r="AK523" s="152">
        <f t="shared" si="233"/>
        <v>0</v>
      </c>
      <c r="AL523" s="152">
        <f t="shared" si="233"/>
        <v>0</v>
      </c>
      <c r="AM523" s="152">
        <f t="shared" si="233"/>
        <v>0</v>
      </c>
      <c r="AN523" s="152">
        <f t="shared" si="233"/>
        <v>0</v>
      </c>
      <c r="AO523" s="152">
        <f t="shared" si="233"/>
        <v>0</v>
      </c>
      <c r="AP523" s="152">
        <f t="shared" si="233"/>
        <v>0</v>
      </c>
    </row>
    <row r="524" spans="1:42" x14ac:dyDescent="0.2">
      <c r="A524" s="4">
        <f t="shared" si="232"/>
        <v>4</v>
      </c>
      <c r="C524" s="152">
        <f t="shared" ref="C524:AP524" si="234">C386</f>
        <v>0</v>
      </c>
      <c r="D524" s="152">
        <f t="shared" si="234"/>
        <v>0</v>
      </c>
      <c r="E524" s="152">
        <f t="shared" si="234"/>
        <v>0</v>
      </c>
      <c r="F524" s="152">
        <f t="shared" si="234"/>
        <v>0</v>
      </c>
      <c r="G524" s="152">
        <f t="shared" si="234"/>
        <v>0</v>
      </c>
      <c r="H524" s="152">
        <f t="shared" si="234"/>
        <v>0</v>
      </c>
      <c r="I524" s="152">
        <f t="shared" si="234"/>
        <v>0</v>
      </c>
      <c r="J524" s="152">
        <f t="shared" si="234"/>
        <v>0</v>
      </c>
      <c r="K524" s="152">
        <f t="shared" si="234"/>
        <v>0</v>
      </c>
      <c r="L524" s="152">
        <f t="shared" si="234"/>
        <v>0</v>
      </c>
      <c r="M524" s="152">
        <f t="shared" si="234"/>
        <v>0</v>
      </c>
      <c r="N524" s="152">
        <f t="shared" si="234"/>
        <v>0</v>
      </c>
      <c r="O524" s="152">
        <f t="shared" si="234"/>
        <v>0</v>
      </c>
      <c r="P524" s="152">
        <f t="shared" si="234"/>
        <v>0</v>
      </c>
      <c r="Q524" s="152">
        <f t="shared" si="234"/>
        <v>0</v>
      </c>
      <c r="R524" s="152">
        <f t="shared" si="234"/>
        <v>0</v>
      </c>
      <c r="S524" s="152">
        <f t="shared" si="234"/>
        <v>0</v>
      </c>
      <c r="T524" s="152">
        <f t="shared" si="234"/>
        <v>0</v>
      </c>
      <c r="U524" s="152">
        <f t="shared" si="234"/>
        <v>0</v>
      </c>
      <c r="V524" s="152">
        <f t="shared" si="234"/>
        <v>0</v>
      </c>
      <c r="W524" s="152">
        <f t="shared" si="234"/>
        <v>0</v>
      </c>
      <c r="X524" s="152">
        <f t="shared" si="234"/>
        <v>0</v>
      </c>
      <c r="Y524" s="152">
        <f t="shared" si="234"/>
        <v>0</v>
      </c>
      <c r="Z524" s="152">
        <f t="shared" si="234"/>
        <v>0</v>
      </c>
      <c r="AA524" s="152">
        <f t="shared" si="234"/>
        <v>0</v>
      </c>
      <c r="AB524" s="152">
        <f t="shared" si="234"/>
        <v>0</v>
      </c>
      <c r="AC524" s="152">
        <f t="shared" si="234"/>
        <v>0</v>
      </c>
      <c r="AD524" s="152">
        <f t="shared" si="234"/>
        <v>0</v>
      </c>
      <c r="AE524" s="152">
        <f t="shared" si="234"/>
        <v>0</v>
      </c>
      <c r="AF524" s="152">
        <f t="shared" si="234"/>
        <v>0</v>
      </c>
      <c r="AG524" s="152">
        <f t="shared" si="234"/>
        <v>0</v>
      </c>
      <c r="AH524" s="152">
        <f t="shared" si="234"/>
        <v>0</v>
      </c>
      <c r="AI524" s="152">
        <f t="shared" si="234"/>
        <v>0</v>
      </c>
      <c r="AJ524" s="152">
        <f t="shared" si="234"/>
        <v>0</v>
      </c>
      <c r="AK524" s="152">
        <f t="shared" si="234"/>
        <v>0</v>
      </c>
      <c r="AL524" s="152">
        <f t="shared" si="234"/>
        <v>0</v>
      </c>
      <c r="AM524" s="152">
        <f t="shared" si="234"/>
        <v>0</v>
      </c>
      <c r="AN524" s="152">
        <f t="shared" si="234"/>
        <v>0</v>
      </c>
      <c r="AO524" s="152">
        <f t="shared" si="234"/>
        <v>0</v>
      </c>
      <c r="AP524" s="152">
        <f t="shared" si="234"/>
        <v>0</v>
      </c>
    </row>
    <row r="525" spans="1:42" x14ac:dyDescent="0.2">
      <c r="A525" s="4">
        <f t="shared" si="232"/>
        <v>5</v>
      </c>
      <c r="C525" s="152">
        <f t="shared" ref="C525:AP525" si="235">C387</f>
        <v>0</v>
      </c>
      <c r="D525" s="152">
        <f t="shared" si="235"/>
        <v>0</v>
      </c>
      <c r="E525" s="152">
        <f t="shared" si="235"/>
        <v>0</v>
      </c>
      <c r="F525" s="152">
        <f t="shared" si="235"/>
        <v>0</v>
      </c>
      <c r="G525" s="152">
        <f t="shared" si="235"/>
        <v>0</v>
      </c>
      <c r="H525" s="152">
        <f t="shared" si="235"/>
        <v>0</v>
      </c>
      <c r="I525" s="152">
        <f t="shared" si="235"/>
        <v>0</v>
      </c>
      <c r="J525" s="152">
        <f t="shared" si="235"/>
        <v>0</v>
      </c>
      <c r="K525" s="152">
        <f t="shared" si="235"/>
        <v>0</v>
      </c>
      <c r="L525" s="152">
        <f t="shared" si="235"/>
        <v>0</v>
      </c>
      <c r="M525" s="152">
        <f t="shared" si="235"/>
        <v>0</v>
      </c>
      <c r="N525" s="152">
        <f t="shared" si="235"/>
        <v>0</v>
      </c>
      <c r="O525" s="152">
        <f t="shared" si="235"/>
        <v>0</v>
      </c>
      <c r="P525" s="152">
        <f t="shared" si="235"/>
        <v>0</v>
      </c>
      <c r="Q525" s="152">
        <f t="shared" si="235"/>
        <v>0</v>
      </c>
      <c r="R525" s="152">
        <f t="shared" si="235"/>
        <v>0</v>
      </c>
      <c r="S525" s="152">
        <f t="shared" si="235"/>
        <v>0</v>
      </c>
      <c r="T525" s="152">
        <f t="shared" si="235"/>
        <v>0</v>
      </c>
      <c r="U525" s="152">
        <f t="shared" si="235"/>
        <v>0</v>
      </c>
      <c r="V525" s="152">
        <f t="shared" si="235"/>
        <v>0</v>
      </c>
      <c r="W525" s="152">
        <f t="shared" si="235"/>
        <v>0</v>
      </c>
      <c r="X525" s="152">
        <f t="shared" si="235"/>
        <v>0</v>
      </c>
      <c r="Y525" s="152">
        <f t="shared" si="235"/>
        <v>0</v>
      </c>
      <c r="Z525" s="152">
        <f t="shared" si="235"/>
        <v>0</v>
      </c>
      <c r="AA525" s="152">
        <f t="shared" si="235"/>
        <v>0</v>
      </c>
      <c r="AB525" s="152">
        <f t="shared" si="235"/>
        <v>0</v>
      </c>
      <c r="AC525" s="152">
        <f t="shared" si="235"/>
        <v>0</v>
      </c>
      <c r="AD525" s="152">
        <f t="shared" si="235"/>
        <v>0</v>
      </c>
      <c r="AE525" s="152">
        <f t="shared" si="235"/>
        <v>0</v>
      </c>
      <c r="AF525" s="152">
        <f t="shared" si="235"/>
        <v>0</v>
      </c>
      <c r="AG525" s="152">
        <f t="shared" si="235"/>
        <v>0</v>
      </c>
      <c r="AH525" s="152">
        <f t="shared" si="235"/>
        <v>0</v>
      </c>
      <c r="AI525" s="152">
        <f t="shared" si="235"/>
        <v>0</v>
      </c>
      <c r="AJ525" s="152">
        <f t="shared" si="235"/>
        <v>0</v>
      </c>
      <c r="AK525" s="152">
        <f t="shared" si="235"/>
        <v>0</v>
      </c>
      <c r="AL525" s="152">
        <f t="shared" si="235"/>
        <v>0</v>
      </c>
      <c r="AM525" s="152">
        <f t="shared" si="235"/>
        <v>0</v>
      </c>
      <c r="AN525" s="152">
        <f t="shared" si="235"/>
        <v>0</v>
      </c>
      <c r="AO525" s="152">
        <f t="shared" si="235"/>
        <v>0</v>
      </c>
      <c r="AP525" s="152">
        <f t="shared" si="235"/>
        <v>0</v>
      </c>
    </row>
    <row r="526" spans="1:42" x14ac:dyDescent="0.2">
      <c r="A526" s="4">
        <f t="shared" si="232"/>
        <v>6</v>
      </c>
      <c r="C526" s="152">
        <f t="shared" ref="C526:AP526" si="236">C388</f>
        <v>0</v>
      </c>
      <c r="D526" s="152">
        <f t="shared" si="236"/>
        <v>0</v>
      </c>
      <c r="E526" s="152">
        <f t="shared" si="236"/>
        <v>0</v>
      </c>
      <c r="F526" s="152">
        <f t="shared" si="236"/>
        <v>0</v>
      </c>
      <c r="G526" s="152">
        <f t="shared" si="236"/>
        <v>0</v>
      </c>
      <c r="H526" s="152">
        <f t="shared" si="236"/>
        <v>0</v>
      </c>
      <c r="I526" s="152">
        <f t="shared" si="236"/>
        <v>0</v>
      </c>
      <c r="J526" s="152">
        <f t="shared" si="236"/>
        <v>0</v>
      </c>
      <c r="K526" s="152">
        <f t="shared" si="236"/>
        <v>0</v>
      </c>
      <c r="L526" s="152">
        <f t="shared" si="236"/>
        <v>0</v>
      </c>
      <c r="M526" s="152">
        <f t="shared" si="236"/>
        <v>0</v>
      </c>
      <c r="N526" s="152">
        <f t="shared" si="236"/>
        <v>0</v>
      </c>
      <c r="O526" s="152">
        <f t="shared" si="236"/>
        <v>0</v>
      </c>
      <c r="P526" s="152">
        <f t="shared" si="236"/>
        <v>0</v>
      </c>
      <c r="Q526" s="152">
        <f t="shared" si="236"/>
        <v>0</v>
      </c>
      <c r="R526" s="152">
        <f t="shared" si="236"/>
        <v>0</v>
      </c>
      <c r="S526" s="152">
        <f t="shared" si="236"/>
        <v>0</v>
      </c>
      <c r="T526" s="152">
        <f t="shared" si="236"/>
        <v>0</v>
      </c>
      <c r="U526" s="152">
        <f t="shared" si="236"/>
        <v>0</v>
      </c>
      <c r="V526" s="152">
        <f t="shared" si="236"/>
        <v>0</v>
      </c>
      <c r="W526" s="152">
        <f t="shared" si="236"/>
        <v>0</v>
      </c>
      <c r="X526" s="152">
        <f t="shared" si="236"/>
        <v>0</v>
      </c>
      <c r="Y526" s="152">
        <f t="shared" si="236"/>
        <v>0</v>
      </c>
      <c r="Z526" s="152">
        <f t="shared" si="236"/>
        <v>0</v>
      </c>
      <c r="AA526" s="152">
        <f t="shared" si="236"/>
        <v>0</v>
      </c>
      <c r="AB526" s="152">
        <f t="shared" si="236"/>
        <v>0</v>
      </c>
      <c r="AC526" s="152">
        <f t="shared" si="236"/>
        <v>0</v>
      </c>
      <c r="AD526" s="152">
        <f t="shared" si="236"/>
        <v>0</v>
      </c>
      <c r="AE526" s="152">
        <f t="shared" si="236"/>
        <v>0</v>
      </c>
      <c r="AF526" s="152">
        <f t="shared" si="236"/>
        <v>0</v>
      </c>
      <c r="AG526" s="152">
        <f t="shared" si="236"/>
        <v>0</v>
      </c>
      <c r="AH526" s="152">
        <f t="shared" si="236"/>
        <v>0</v>
      </c>
      <c r="AI526" s="152">
        <f t="shared" si="236"/>
        <v>0</v>
      </c>
      <c r="AJ526" s="152">
        <f t="shared" si="236"/>
        <v>0</v>
      </c>
      <c r="AK526" s="152">
        <f t="shared" si="236"/>
        <v>0</v>
      </c>
      <c r="AL526" s="152">
        <f t="shared" si="236"/>
        <v>0</v>
      </c>
      <c r="AM526" s="152">
        <f t="shared" si="236"/>
        <v>0</v>
      </c>
      <c r="AN526" s="152">
        <f t="shared" si="236"/>
        <v>0</v>
      </c>
      <c r="AO526" s="152">
        <f t="shared" si="236"/>
        <v>0</v>
      </c>
      <c r="AP526" s="152">
        <f t="shared" si="236"/>
        <v>0</v>
      </c>
    </row>
    <row r="527" spans="1:42" x14ac:dyDescent="0.2">
      <c r="A527" s="4">
        <f t="shared" si="232"/>
        <v>7</v>
      </c>
      <c r="C527" s="152">
        <f t="shared" ref="C527:AP527" si="237">C389</f>
        <v>0</v>
      </c>
      <c r="D527" s="152">
        <f t="shared" si="237"/>
        <v>0</v>
      </c>
      <c r="E527" s="152">
        <f t="shared" si="237"/>
        <v>0</v>
      </c>
      <c r="F527" s="152">
        <f t="shared" si="237"/>
        <v>0</v>
      </c>
      <c r="G527" s="152">
        <f t="shared" si="237"/>
        <v>0</v>
      </c>
      <c r="H527" s="152">
        <f t="shared" si="237"/>
        <v>0</v>
      </c>
      <c r="I527" s="152">
        <f t="shared" si="237"/>
        <v>0</v>
      </c>
      <c r="J527" s="152">
        <f t="shared" si="237"/>
        <v>0</v>
      </c>
      <c r="K527" s="152">
        <f t="shared" si="237"/>
        <v>0</v>
      </c>
      <c r="L527" s="152">
        <f t="shared" si="237"/>
        <v>0</v>
      </c>
      <c r="M527" s="152">
        <f t="shared" si="237"/>
        <v>0</v>
      </c>
      <c r="N527" s="152">
        <f t="shared" si="237"/>
        <v>0</v>
      </c>
      <c r="O527" s="152">
        <f t="shared" si="237"/>
        <v>0</v>
      </c>
      <c r="P527" s="152">
        <f t="shared" si="237"/>
        <v>0</v>
      </c>
      <c r="Q527" s="152">
        <f t="shared" si="237"/>
        <v>0</v>
      </c>
      <c r="R527" s="152">
        <f t="shared" si="237"/>
        <v>0</v>
      </c>
      <c r="S527" s="152">
        <f t="shared" si="237"/>
        <v>0</v>
      </c>
      <c r="T527" s="152">
        <f t="shared" si="237"/>
        <v>0</v>
      </c>
      <c r="U527" s="152">
        <f t="shared" si="237"/>
        <v>0</v>
      </c>
      <c r="V527" s="152">
        <f t="shared" si="237"/>
        <v>0</v>
      </c>
      <c r="W527" s="152">
        <f t="shared" si="237"/>
        <v>0</v>
      </c>
      <c r="X527" s="152">
        <f t="shared" si="237"/>
        <v>0</v>
      </c>
      <c r="Y527" s="152">
        <f t="shared" si="237"/>
        <v>0</v>
      </c>
      <c r="Z527" s="152">
        <f t="shared" si="237"/>
        <v>0</v>
      </c>
      <c r="AA527" s="152">
        <f t="shared" si="237"/>
        <v>0</v>
      </c>
      <c r="AB527" s="152">
        <f t="shared" si="237"/>
        <v>0</v>
      </c>
      <c r="AC527" s="152">
        <f t="shared" si="237"/>
        <v>0</v>
      </c>
      <c r="AD527" s="152">
        <f t="shared" si="237"/>
        <v>0</v>
      </c>
      <c r="AE527" s="152">
        <f t="shared" si="237"/>
        <v>0</v>
      </c>
      <c r="AF527" s="152">
        <f t="shared" si="237"/>
        <v>0</v>
      </c>
      <c r="AG527" s="152">
        <f t="shared" si="237"/>
        <v>0</v>
      </c>
      <c r="AH527" s="152">
        <f t="shared" si="237"/>
        <v>0</v>
      </c>
      <c r="AI527" s="152">
        <f t="shared" si="237"/>
        <v>0</v>
      </c>
      <c r="AJ527" s="152">
        <f t="shared" si="237"/>
        <v>0</v>
      </c>
      <c r="AK527" s="152">
        <f t="shared" si="237"/>
        <v>0</v>
      </c>
      <c r="AL527" s="152">
        <f t="shared" si="237"/>
        <v>0</v>
      </c>
      <c r="AM527" s="152">
        <f t="shared" si="237"/>
        <v>0</v>
      </c>
      <c r="AN527" s="152">
        <f t="shared" si="237"/>
        <v>0</v>
      </c>
      <c r="AO527" s="152">
        <f t="shared" si="237"/>
        <v>0</v>
      </c>
      <c r="AP527" s="152">
        <f t="shared" si="237"/>
        <v>0</v>
      </c>
    </row>
    <row r="528" spans="1:42" x14ac:dyDescent="0.2">
      <c r="A528" s="4">
        <f t="shared" si="232"/>
        <v>8</v>
      </c>
      <c r="C528" s="152">
        <f t="shared" ref="C528:AP528" si="238">C390</f>
        <v>0</v>
      </c>
      <c r="D528" s="152">
        <f t="shared" si="238"/>
        <v>0</v>
      </c>
      <c r="E528" s="152">
        <f t="shared" si="238"/>
        <v>0</v>
      </c>
      <c r="F528" s="152">
        <f t="shared" si="238"/>
        <v>0</v>
      </c>
      <c r="G528" s="152">
        <f t="shared" si="238"/>
        <v>0</v>
      </c>
      <c r="H528" s="152">
        <f t="shared" si="238"/>
        <v>0</v>
      </c>
      <c r="I528" s="152">
        <f t="shared" si="238"/>
        <v>0</v>
      </c>
      <c r="J528" s="152">
        <f t="shared" si="238"/>
        <v>0</v>
      </c>
      <c r="K528" s="152">
        <f t="shared" si="238"/>
        <v>0</v>
      </c>
      <c r="L528" s="152">
        <f t="shared" si="238"/>
        <v>0</v>
      </c>
      <c r="M528" s="152">
        <f t="shared" si="238"/>
        <v>0</v>
      </c>
      <c r="N528" s="152">
        <f t="shared" si="238"/>
        <v>0</v>
      </c>
      <c r="O528" s="152">
        <f t="shared" si="238"/>
        <v>0</v>
      </c>
      <c r="P528" s="152">
        <f t="shared" si="238"/>
        <v>0</v>
      </c>
      <c r="Q528" s="152">
        <f t="shared" si="238"/>
        <v>0</v>
      </c>
      <c r="R528" s="152">
        <f t="shared" si="238"/>
        <v>0</v>
      </c>
      <c r="S528" s="152">
        <f t="shared" si="238"/>
        <v>0</v>
      </c>
      <c r="T528" s="152">
        <f t="shared" si="238"/>
        <v>0</v>
      </c>
      <c r="U528" s="152">
        <f t="shared" si="238"/>
        <v>0</v>
      </c>
      <c r="V528" s="152">
        <f t="shared" si="238"/>
        <v>0</v>
      </c>
      <c r="W528" s="152">
        <f t="shared" si="238"/>
        <v>0</v>
      </c>
      <c r="X528" s="152">
        <f t="shared" si="238"/>
        <v>0</v>
      </c>
      <c r="Y528" s="152">
        <f t="shared" si="238"/>
        <v>0</v>
      </c>
      <c r="Z528" s="152">
        <f t="shared" si="238"/>
        <v>0</v>
      </c>
      <c r="AA528" s="152">
        <f t="shared" si="238"/>
        <v>0</v>
      </c>
      <c r="AB528" s="152">
        <f t="shared" si="238"/>
        <v>0</v>
      </c>
      <c r="AC528" s="152">
        <f t="shared" si="238"/>
        <v>0</v>
      </c>
      <c r="AD528" s="152">
        <f t="shared" si="238"/>
        <v>0</v>
      </c>
      <c r="AE528" s="152">
        <f t="shared" si="238"/>
        <v>0</v>
      </c>
      <c r="AF528" s="152">
        <f t="shared" si="238"/>
        <v>0</v>
      </c>
      <c r="AG528" s="152">
        <f t="shared" si="238"/>
        <v>0</v>
      </c>
      <c r="AH528" s="152">
        <f t="shared" si="238"/>
        <v>0</v>
      </c>
      <c r="AI528" s="152">
        <f t="shared" si="238"/>
        <v>0</v>
      </c>
      <c r="AJ528" s="152">
        <f t="shared" si="238"/>
        <v>0</v>
      </c>
      <c r="AK528" s="152">
        <f t="shared" si="238"/>
        <v>0</v>
      </c>
      <c r="AL528" s="152">
        <f t="shared" si="238"/>
        <v>0</v>
      </c>
      <c r="AM528" s="152">
        <f t="shared" si="238"/>
        <v>0</v>
      </c>
      <c r="AN528" s="152">
        <f t="shared" si="238"/>
        <v>0</v>
      </c>
      <c r="AO528" s="152">
        <f t="shared" si="238"/>
        <v>0</v>
      </c>
      <c r="AP528" s="152">
        <f t="shared" si="238"/>
        <v>0</v>
      </c>
    </row>
    <row r="529" spans="1:42" x14ac:dyDescent="0.2">
      <c r="A529" s="4">
        <f>A528+1</f>
        <v>9</v>
      </c>
      <c r="C529" s="152">
        <f t="shared" ref="C529:AP529" si="239">C391</f>
        <v>0</v>
      </c>
      <c r="D529" s="152">
        <f t="shared" si="239"/>
        <v>0</v>
      </c>
      <c r="E529" s="152">
        <f t="shared" si="239"/>
        <v>0</v>
      </c>
      <c r="F529" s="152">
        <f t="shared" si="239"/>
        <v>0</v>
      </c>
      <c r="G529" s="152">
        <f t="shared" si="239"/>
        <v>0</v>
      </c>
      <c r="H529" s="152">
        <f t="shared" si="239"/>
        <v>0</v>
      </c>
      <c r="I529" s="152">
        <f t="shared" si="239"/>
        <v>0</v>
      </c>
      <c r="J529" s="152">
        <f t="shared" si="239"/>
        <v>0</v>
      </c>
      <c r="K529" s="152">
        <f t="shared" si="239"/>
        <v>0</v>
      </c>
      <c r="L529" s="152">
        <f t="shared" si="239"/>
        <v>0</v>
      </c>
      <c r="M529" s="152">
        <f t="shared" si="239"/>
        <v>0</v>
      </c>
      <c r="N529" s="152">
        <f t="shared" si="239"/>
        <v>0</v>
      </c>
      <c r="O529" s="152">
        <f t="shared" si="239"/>
        <v>0</v>
      </c>
      <c r="P529" s="152">
        <f t="shared" si="239"/>
        <v>0</v>
      </c>
      <c r="Q529" s="152">
        <f t="shared" si="239"/>
        <v>0</v>
      </c>
      <c r="R529" s="152">
        <f t="shared" si="239"/>
        <v>0</v>
      </c>
      <c r="S529" s="152">
        <f t="shared" si="239"/>
        <v>0</v>
      </c>
      <c r="T529" s="152">
        <f t="shared" si="239"/>
        <v>0</v>
      </c>
      <c r="U529" s="152">
        <f t="shared" si="239"/>
        <v>0</v>
      </c>
      <c r="V529" s="152">
        <f t="shared" si="239"/>
        <v>0</v>
      </c>
      <c r="W529" s="152">
        <f t="shared" si="239"/>
        <v>0</v>
      </c>
      <c r="X529" s="152">
        <f t="shared" si="239"/>
        <v>0</v>
      </c>
      <c r="Y529" s="152">
        <f t="shared" si="239"/>
        <v>0</v>
      </c>
      <c r="Z529" s="152">
        <f t="shared" si="239"/>
        <v>0</v>
      </c>
      <c r="AA529" s="152">
        <f t="shared" si="239"/>
        <v>0</v>
      </c>
      <c r="AB529" s="152">
        <f t="shared" si="239"/>
        <v>0</v>
      </c>
      <c r="AC529" s="152">
        <f t="shared" si="239"/>
        <v>0</v>
      </c>
      <c r="AD529" s="152">
        <f t="shared" si="239"/>
        <v>0</v>
      </c>
      <c r="AE529" s="152">
        <f t="shared" si="239"/>
        <v>0</v>
      </c>
      <c r="AF529" s="152">
        <f t="shared" si="239"/>
        <v>0</v>
      </c>
      <c r="AG529" s="152">
        <f t="shared" si="239"/>
        <v>0</v>
      </c>
      <c r="AH529" s="152">
        <f t="shared" si="239"/>
        <v>0</v>
      </c>
      <c r="AI529" s="152">
        <f t="shared" si="239"/>
        <v>0</v>
      </c>
      <c r="AJ529" s="152">
        <f t="shared" si="239"/>
        <v>0</v>
      </c>
      <c r="AK529" s="152">
        <f t="shared" si="239"/>
        <v>0</v>
      </c>
      <c r="AL529" s="152">
        <f t="shared" si="239"/>
        <v>0</v>
      </c>
      <c r="AM529" s="152">
        <f t="shared" si="239"/>
        <v>0</v>
      </c>
      <c r="AN529" s="152">
        <f t="shared" si="239"/>
        <v>0</v>
      </c>
      <c r="AO529" s="152">
        <f t="shared" si="239"/>
        <v>0</v>
      </c>
      <c r="AP529" s="152">
        <f t="shared" si="239"/>
        <v>0</v>
      </c>
    </row>
    <row r="530" spans="1:42" x14ac:dyDescent="0.2">
      <c r="A530" s="4">
        <f t="shared" ref="A530" si="240">A529+1</f>
        <v>10</v>
      </c>
      <c r="C530" s="152">
        <f t="shared" ref="C530:AP530" si="241">C392</f>
        <v>0</v>
      </c>
      <c r="D530" s="152">
        <f t="shared" si="241"/>
        <v>0</v>
      </c>
      <c r="E530" s="152">
        <f t="shared" si="241"/>
        <v>0</v>
      </c>
      <c r="F530" s="152">
        <f t="shared" si="241"/>
        <v>0</v>
      </c>
      <c r="G530" s="152">
        <f t="shared" si="241"/>
        <v>0</v>
      </c>
      <c r="H530" s="152">
        <f t="shared" si="241"/>
        <v>0</v>
      </c>
      <c r="I530" s="152">
        <f t="shared" si="241"/>
        <v>0</v>
      </c>
      <c r="J530" s="152">
        <f t="shared" si="241"/>
        <v>0</v>
      </c>
      <c r="K530" s="152">
        <f t="shared" si="241"/>
        <v>0</v>
      </c>
      <c r="L530" s="152">
        <f t="shared" si="241"/>
        <v>0</v>
      </c>
      <c r="M530" s="152">
        <f t="shared" si="241"/>
        <v>0</v>
      </c>
      <c r="N530" s="152">
        <f t="shared" si="241"/>
        <v>0</v>
      </c>
      <c r="O530" s="152">
        <f t="shared" si="241"/>
        <v>0</v>
      </c>
      <c r="P530" s="152">
        <f t="shared" si="241"/>
        <v>0</v>
      </c>
      <c r="Q530" s="152">
        <f t="shared" si="241"/>
        <v>0</v>
      </c>
      <c r="R530" s="152">
        <f t="shared" si="241"/>
        <v>0</v>
      </c>
      <c r="S530" s="152">
        <f t="shared" si="241"/>
        <v>0</v>
      </c>
      <c r="T530" s="152">
        <f t="shared" si="241"/>
        <v>0</v>
      </c>
      <c r="U530" s="152">
        <f t="shared" si="241"/>
        <v>0</v>
      </c>
      <c r="V530" s="152">
        <f t="shared" si="241"/>
        <v>0</v>
      </c>
      <c r="W530" s="152">
        <f t="shared" si="241"/>
        <v>0</v>
      </c>
      <c r="X530" s="152">
        <f t="shared" si="241"/>
        <v>0</v>
      </c>
      <c r="Y530" s="152">
        <f t="shared" si="241"/>
        <v>0</v>
      </c>
      <c r="Z530" s="152">
        <f t="shared" si="241"/>
        <v>0</v>
      </c>
      <c r="AA530" s="152">
        <f t="shared" si="241"/>
        <v>0</v>
      </c>
      <c r="AB530" s="152">
        <f t="shared" si="241"/>
        <v>0</v>
      </c>
      <c r="AC530" s="152">
        <f t="shared" si="241"/>
        <v>0</v>
      </c>
      <c r="AD530" s="152">
        <f t="shared" si="241"/>
        <v>0</v>
      </c>
      <c r="AE530" s="152">
        <f t="shared" si="241"/>
        <v>0</v>
      </c>
      <c r="AF530" s="152">
        <f t="shared" si="241"/>
        <v>0</v>
      </c>
      <c r="AG530" s="152">
        <f t="shared" si="241"/>
        <v>0</v>
      </c>
      <c r="AH530" s="152">
        <f t="shared" si="241"/>
        <v>0</v>
      </c>
      <c r="AI530" s="152">
        <f t="shared" si="241"/>
        <v>0</v>
      </c>
      <c r="AJ530" s="152">
        <f t="shared" si="241"/>
        <v>0</v>
      </c>
      <c r="AK530" s="152">
        <f t="shared" si="241"/>
        <v>0</v>
      </c>
      <c r="AL530" s="152">
        <f t="shared" si="241"/>
        <v>0</v>
      </c>
      <c r="AM530" s="152">
        <f t="shared" si="241"/>
        <v>0</v>
      </c>
      <c r="AN530" s="152">
        <f t="shared" si="241"/>
        <v>0</v>
      </c>
      <c r="AO530" s="152">
        <f t="shared" si="241"/>
        <v>0</v>
      </c>
      <c r="AP530" s="152">
        <f t="shared" si="241"/>
        <v>0</v>
      </c>
    </row>
    <row r="531" spans="1:42" x14ac:dyDescent="0.2">
      <c r="A531" s="21"/>
      <c r="C531" s="152"/>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row>
    <row r="532" spans="1:42" x14ac:dyDescent="0.2">
      <c r="A532" s="85" t="s">
        <v>65</v>
      </c>
      <c r="C532" s="152"/>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row>
    <row r="533" spans="1:42" x14ac:dyDescent="0.2">
      <c r="A533" s="4">
        <v>1</v>
      </c>
      <c r="B533" s="143">
        <f t="shared" ref="B533:B542" si="242">SUM(C533:AP533)</f>
        <v>0</v>
      </c>
      <c r="C533" s="152">
        <f t="shared" ref="C533:AP533" si="243">LOOKUP(C521,$B$490:$AP$490,$B$491:$AP$491)*$B726/100</f>
        <v>0</v>
      </c>
      <c r="D533" s="152">
        <f t="shared" si="243"/>
        <v>0</v>
      </c>
      <c r="E533" s="152">
        <f t="shared" si="243"/>
        <v>0</v>
      </c>
      <c r="F533" s="152">
        <f t="shared" si="243"/>
        <v>0</v>
      </c>
      <c r="G533" s="152">
        <f t="shared" si="243"/>
        <v>0</v>
      </c>
      <c r="H533" s="152">
        <f t="shared" si="243"/>
        <v>0</v>
      </c>
      <c r="I533" s="152">
        <f t="shared" si="243"/>
        <v>0</v>
      </c>
      <c r="J533" s="152">
        <f t="shared" si="243"/>
        <v>0</v>
      </c>
      <c r="K533" s="152">
        <f t="shared" si="243"/>
        <v>0</v>
      </c>
      <c r="L533" s="152">
        <f t="shared" si="243"/>
        <v>0</v>
      </c>
      <c r="M533" s="152">
        <f t="shared" si="243"/>
        <v>0</v>
      </c>
      <c r="N533" s="152">
        <f t="shared" si="243"/>
        <v>0</v>
      </c>
      <c r="O533" s="152">
        <f t="shared" si="243"/>
        <v>0</v>
      </c>
      <c r="P533" s="152">
        <f t="shared" si="243"/>
        <v>0</v>
      </c>
      <c r="Q533" s="152">
        <f t="shared" si="243"/>
        <v>0</v>
      </c>
      <c r="R533" s="152">
        <f t="shared" si="243"/>
        <v>0</v>
      </c>
      <c r="S533" s="152">
        <f t="shared" si="243"/>
        <v>0</v>
      </c>
      <c r="T533" s="152">
        <f t="shared" si="243"/>
        <v>0</v>
      </c>
      <c r="U533" s="152">
        <f t="shared" si="243"/>
        <v>0</v>
      </c>
      <c r="V533" s="152">
        <f t="shared" si="243"/>
        <v>0</v>
      </c>
      <c r="W533" s="152">
        <f t="shared" si="243"/>
        <v>0</v>
      </c>
      <c r="X533" s="152">
        <f t="shared" si="243"/>
        <v>0</v>
      </c>
      <c r="Y533" s="152">
        <f t="shared" si="243"/>
        <v>0</v>
      </c>
      <c r="Z533" s="152">
        <f t="shared" si="243"/>
        <v>0</v>
      </c>
      <c r="AA533" s="152">
        <f t="shared" si="243"/>
        <v>0</v>
      </c>
      <c r="AB533" s="152">
        <f t="shared" si="243"/>
        <v>0</v>
      </c>
      <c r="AC533" s="152">
        <f t="shared" si="243"/>
        <v>0</v>
      </c>
      <c r="AD533" s="152">
        <f t="shared" si="243"/>
        <v>0</v>
      </c>
      <c r="AE533" s="152">
        <f t="shared" si="243"/>
        <v>0</v>
      </c>
      <c r="AF533" s="152">
        <f t="shared" si="243"/>
        <v>0</v>
      </c>
      <c r="AG533" s="152">
        <f t="shared" si="243"/>
        <v>0</v>
      </c>
      <c r="AH533" s="152">
        <f t="shared" si="243"/>
        <v>0</v>
      </c>
      <c r="AI533" s="152">
        <f t="shared" si="243"/>
        <v>0</v>
      </c>
      <c r="AJ533" s="152">
        <f t="shared" si="243"/>
        <v>0</v>
      </c>
      <c r="AK533" s="152">
        <f t="shared" si="243"/>
        <v>0</v>
      </c>
      <c r="AL533" s="152">
        <f t="shared" si="243"/>
        <v>0</v>
      </c>
      <c r="AM533" s="152">
        <f t="shared" si="243"/>
        <v>0</v>
      </c>
      <c r="AN533" s="152">
        <f t="shared" si="243"/>
        <v>0</v>
      </c>
      <c r="AO533" s="152">
        <f t="shared" si="243"/>
        <v>0</v>
      </c>
      <c r="AP533" s="152">
        <f t="shared" si="243"/>
        <v>0</v>
      </c>
    </row>
    <row r="534" spans="1:42" x14ac:dyDescent="0.2">
      <c r="A534" s="4">
        <f>A533+1</f>
        <v>2</v>
      </c>
      <c r="B534" s="143">
        <f t="shared" si="242"/>
        <v>0</v>
      </c>
      <c r="C534" s="152">
        <f t="shared" ref="C534:AP534" si="244">LOOKUP(C522,$B$490:$AP$490,$B$491:$AP$491)*$B727/100</f>
        <v>0</v>
      </c>
      <c r="D534" s="152">
        <f t="shared" si="244"/>
        <v>0</v>
      </c>
      <c r="E534" s="152">
        <f t="shared" si="244"/>
        <v>0</v>
      </c>
      <c r="F534" s="152">
        <f t="shared" si="244"/>
        <v>0</v>
      </c>
      <c r="G534" s="152">
        <f t="shared" si="244"/>
        <v>0</v>
      </c>
      <c r="H534" s="152">
        <f t="shared" si="244"/>
        <v>0</v>
      </c>
      <c r="I534" s="152">
        <f t="shared" si="244"/>
        <v>0</v>
      </c>
      <c r="J534" s="152">
        <f t="shared" si="244"/>
        <v>0</v>
      </c>
      <c r="K534" s="152">
        <f t="shared" si="244"/>
        <v>0</v>
      </c>
      <c r="L534" s="152">
        <f t="shared" si="244"/>
        <v>0</v>
      </c>
      <c r="M534" s="152">
        <f t="shared" si="244"/>
        <v>0</v>
      </c>
      <c r="N534" s="152">
        <f t="shared" si="244"/>
        <v>0</v>
      </c>
      <c r="O534" s="152">
        <f t="shared" si="244"/>
        <v>0</v>
      </c>
      <c r="P534" s="152">
        <f t="shared" si="244"/>
        <v>0</v>
      </c>
      <c r="Q534" s="152">
        <f t="shared" si="244"/>
        <v>0</v>
      </c>
      <c r="R534" s="152">
        <f t="shared" si="244"/>
        <v>0</v>
      </c>
      <c r="S534" s="152">
        <f t="shared" si="244"/>
        <v>0</v>
      </c>
      <c r="T534" s="152">
        <f t="shared" si="244"/>
        <v>0</v>
      </c>
      <c r="U534" s="152">
        <f t="shared" si="244"/>
        <v>0</v>
      </c>
      <c r="V534" s="152">
        <f t="shared" si="244"/>
        <v>0</v>
      </c>
      <c r="W534" s="152">
        <f t="shared" si="244"/>
        <v>0</v>
      </c>
      <c r="X534" s="152">
        <f t="shared" si="244"/>
        <v>0</v>
      </c>
      <c r="Y534" s="152">
        <f t="shared" si="244"/>
        <v>0</v>
      </c>
      <c r="Z534" s="152">
        <f t="shared" si="244"/>
        <v>0</v>
      </c>
      <c r="AA534" s="152">
        <f t="shared" si="244"/>
        <v>0</v>
      </c>
      <c r="AB534" s="152">
        <f t="shared" si="244"/>
        <v>0</v>
      </c>
      <c r="AC534" s="152">
        <f t="shared" si="244"/>
        <v>0</v>
      </c>
      <c r="AD534" s="152">
        <f t="shared" si="244"/>
        <v>0</v>
      </c>
      <c r="AE534" s="152">
        <f t="shared" si="244"/>
        <v>0</v>
      </c>
      <c r="AF534" s="152">
        <f t="shared" si="244"/>
        <v>0</v>
      </c>
      <c r="AG534" s="152">
        <f t="shared" si="244"/>
        <v>0</v>
      </c>
      <c r="AH534" s="152">
        <f t="shared" si="244"/>
        <v>0</v>
      </c>
      <c r="AI534" s="152">
        <f t="shared" si="244"/>
        <v>0</v>
      </c>
      <c r="AJ534" s="152">
        <f t="shared" si="244"/>
        <v>0</v>
      </c>
      <c r="AK534" s="152">
        <f t="shared" si="244"/>
        <v>0</v>
      </c>
      <c r="AL534" s="152">
        <f t="shared" si="244"/>
        <v>0</v>
      </c>
      <c r="AM534" s="152">
        <f t="shared" si="244"/>
        <v>0</v>
      </c>
      <c r="AN534" s="152">
        <f t="shared" si="244"/>
        <v>0</v>
      </c>
      <c r="AO534" s="152">
        <f t="shared" si="244"/>
        <v>0</v>
      </c>
      <c r="AP534" s="152">
        <f t="shared" si="244"/>
        <v>0</v>
      </c>
    </row>
    <row r="535" spans="1:42" x14ac:dyDescent="0.2">
      <c r="A535" s="4">
        <f t="shared" ref="A535:A540" si="245">A534+1</f>
        <v>3</v>
      </c>
      <c r="B535" s="143">
        <f t="shared" si="242"/>
        <v>0</v>
      </c>
      <c r="C535" s="152">
        <f t="shared" ref="C535:AP535" si="246">LOOKUP(C523,$B$490:$AP$490,$B$491:$AP$491)*$B728/100</f>
        <v>0</v>
      </c>
      <c r="D535" s="152">
        <f t="shared" si="246"/>
        <v>0</v>
      </c>
      <c r="E535" s="152">
        <f t="shared" si="246"/>
        <v>0</v>
      </c>
      <c r="F535" s="152">
        <f t="shared" si="246"/>
        <v>0</v>
      </c>
      <c r="G535" s="152">
        <f t="shared" si="246"/>
        <v>0</v>
      </c>
      <c r="H535" s="152">
        <f t="shared" si="246"/>
        <v>0</v>
      </c>
      <c r="I535" s="152">
        <f t="shared" si="246"/>
        <v>0</v>
      </c>
      <c r="J535" s="152">
        <f t="shared" si="246"/>
        <v>0</v>
      </c>
      <c r="K535" s="152">
        <f t="shared" si="246"/>
        <v>0</v>
      </c>
      <c r="L535" s="152">
        <f t="shared" si="246"/>
        <v>0</v>
      </c>
      <c r="M535" s="152">
        <f t="shared" si="246"/>
        <v>0</v>
      </c>
      <c r="N535" s="152">
        <f t="shared" si="246"/>
        <v>0</v>
      </c>
      <c r="O535" s="152">
        <f t="shared" si="246"/>
        <v>0</v>
      </c>
      <c r="P535" s="152">
        <f t="shared" si="246"/>
        <v>0</v>
      </c>
      <c r="Q535" s="152">
        <f t="shared" si="246"/>
        <v>0</v>
      </c>
      <c r="R535" s="152">
        <f t="shared" si="246"/>
        <v>0</v>
      </c>
      <c r="S535" s="152">
        <f t="shared" si="246"/>
        <v>0</v>
      </c>
      <c r="T535" s="152">
        <f t="shared" si="246"/>
        <v>0</v>
      </c>
      <c r="U535" s="152">
        <f t="shared" si="246"/>
        <v>0</v>
      </c>
      <c r="V535" s="152">
        <f t="shared" si="246"/>
        <v>0</v>
      </c>
      <c r="W535" s="152">
        <f t="shared" si="246"/>
        <v>0</v>
      </c>
      <c r="X535" s="152">
        <f t="shared" si="246"/>
        <v>0</v>
      </c>
      <c r="Y535" s="152">
        <f t="shared" si="246"/>
        <v>0</v>
      </c>
      <c r="Z535" s="152">
        <f t="shared" si="246"/>
        <v>0</v>
      </c>
      <c r="AA535" s="152">
        <f t="shared" si="246"/>
        <v>0</v>
      </c>
      <c r="AB535" s="152">
        <f t="shared" si="246"/>
        <v>0</v>
      </c>
      <c r="AC535" s="152">
        <f t="shared" si="246"/>
        <v>0</v>
      </c>
      <c r="AD535" s="152">
        <f t="shared" si="246"/>
        <v>0</v>
      </c>
      <c r="AE535" s="152">
        <f t="shared" si="246"/>
        <v>0</v>
      </c>
      <c r="AF535" s="152">
        <f t="shared" si="246"/>
        <v>0</v>
      </c>
      <c r="AG535" s="152">
        <f t="shared" si="246"/>
        <v>0</v>
      </c>
      <c r="AH535" s="152">
        <f t="shared" si="246"/>
        <v>0</v>
      </c>
      <c r="AI535" s="152">
        <f t="shared" si="246"/>
        <v>0</v>
      </c>
      <c r="AJ535" s="152">
        <f t="shared" si="246"/>
        <v>0</v>
      </c>
      <c r="AK535" s="152">
        <f t="shared" si="246"/>
        <v>0</v>
      </c>
      <c r="AL535" s="152">
        <f t="shared" si="246"/>
        <v>0</v>
      </c>
      <c r="AM535" s="152">
        <f t="shared" si="246"/>
        <v>0</v>
      </c>
      <c r="AN535" s="152">
        <f t="shared" si="246"/>
        <v>0</v>
      </c>
      <c r="AO535" s="152">
        <f t="shared" si="246"/>
        <v>0</v>
      </c>
      <c r="AP535" s="152">
        <f t="shared" si="246"/>
        <v>0</v>
      </c>
    </row>
    <row r="536" spans="1:42" x14ac:dyDescent="0.2">
      <c r="A536" s="4">
        <f t="shared" si="245"/>
        <v>4</v>
      </c>
      <c r="B536" s="143">
        <f t="shared" si="242"/>
        <v>0</v>
      </c>
      <c r="C536" s="152">
        <f t="shared" ref="C536:AP536" si="247">LOOKUP(C524,$B$490:$AP$490,$B$491:$AP$491)*$B729/100</f>
        <v>0</v>
      </c>
      <c r="D536" s="152">
        <f t="shared" si="247"/>
        <v>0</v>
      </c>
      <c r="E536" s="152">
        <f t="shared" si="247"/>
        <v>0</v>
      </c>
      <c r="F536" s="152">
        <f t="shared" si="247"/>
        <v>0</v>
      </c>
      <c r="G536" s="152">
        <f t="shared" si="247"/>
        <v>0</v>
      </c>
      <c r="H536" s="152">
        <f t="shared" si="247"/>
        <v>0</v>
      </c>
      <c r="I536" s="152">
        <f t="shared" si="247"/>
        <v>0</v>
      </c>
      <c r="J536" s="152">
        <f t="shared" si="247"/>
        <v>0</v>
      </c>
      <c r="K536" s="152">
        <f t="shared" si="247"/>
        <v>0</v>
      </c>
      <c r="L536" s="152">
        <f t="shared" si="247"/>
        <v>0</v>
      </c>
      <c r="M536" s="152">
        <f t="shared" si="247"/>
        <v>0</v>
      </c>
      <c r="N536" s="152">
        <f t="shared" si="247"/>
        <v>0</v>
      </c>
      <c r="O536" s="152">
        <f t="shared" si="247"/>
        <v>0</v>
      </c>
      <c r="P536" s="152">
        <f t="shared" si="247"/>
        <v>0</v>
      </c>
      <c r="Q536" s="152">
        <f t="shared" si="247"/>
        <v>0</v>
      </c>
      <c r="R536" s="152">
        <f t="shared" si="247"/>
        <v>0</v>
      </c>
      <c r="S536" s="152">
        <f t="shared" si="247"/>
        <v>0</v>
      </c>
      <c r="T536" s="152">
        <f t="shared" si="247"/>
        <v>0</v>
      </c>
      <c r="U536" s="152">
        <f t="shared" si="247"/>
        <v>0</v>
      </c>
      <c r="V536" s="152">
        <f t="shared" si="247"/>
        <v>0</v>
      </c>
      <c r="W536" s="152">
        <f t="shared" si="247"/>
        <v>0</v>
      </c>
      <c r="X536" s="152">
        <f t="shared" si="247"/>
        <v>0</v>
      </c>
      <c r="Y536" s="152">
        <f t="shared" si="247"/>
        <v>0</v>
      </c>
      <c r="Z536" s="152">
        <f t="shared" si="247"/>
        <v>0</v>
      </c>
      <c r="AA536" s="152">
        <f t="shared" si="247"/>
        <v>0</v>
      </c>
      <c r="AB536" s="152">
        <f t="shared" si="247"/>
        <v>0</v>
      </c>
      <c r="AC536" s="152">
        <f t="shared" si="247"/>
        <v>0</v>
      </c>
      <c r="AD536" s="152">
        <f t="shared" si="247"/>
        <v>0</v>
      </c>
      <c r="AE536" s="152">
        <f t="shared" si="247"/>
        <v>0</v>
      </c>
      <c r="AF536" s="152">
        <f t="shared" si="247"/>
        <v>0</v>
      </c>
      <c r="AG536" s="152">
        <f t="shared" si="247"/>
        <v>0</v>
      </c>
      <c r="AH536" s="152">
        <f t="shared" si="247"/>
        <v>0</v>
      </c>
      <c r="AI536" s="152">
        <f t="shared" si="247"/>
        <v>0</v>
      </c>
      <c r="AJ536" s="152">
        <f t="shared" si="247"/>
        <v>0</v>
      </c>
      <c r="AK536" s="152">
        <f t="shared" si="247"/>
        <v>0</v>
      </c>
      <c r="AL536" s="152">
        <f t="shared" si="247"/>
        <v>0</v>
      </c>
      <c r="AM536" s="152">
        <f t="shared" si="247"/>
        <v>0</v>
      </c>
      <c r="AN536" s="152">
        <f t="shared" si="247"/>
        <v>0</v>
      </c>
      <c r="AO536" s="152">
        <f t="shared" si="247"/>
        <v>0</v>
      </c>
      <c r="AP536" s="152">
        <f t="shared" si="247"/>
        <v>0</v>
      </c>
    </row>
    <row r="537" spans="1:42" x14ac:dyDescent="0.2">
      <c r="A537" s="4">
        <f t="shared" si="245"/>
        <v>5</v>
      </c>
      <c r="B537" s="143">
        <f t="shared" si="242"/>
        <v>0</v>
      </c>
      <c r="C537" s="152">
        <f t="shared" ref="C537:AP537" si="248">LOOKUP(C525,$B$490:$AP$490,$B$491:$AP$491)*$B730/100</f>
        <v>0</v>
      </c>
      <c r="D537" s="152">
        <f t="shared" si="248"/>
        <v>0</v>
      </c>
      <c r="E537" s="152">
        <f t="shared" si="248"/>
        <v>0</v>
      </c>
      <c r="F537" s="152">
        <f t="shared" si="248"/>
        <v>0</v>
      </c>
      <c r="G537" s="152">
        <f t="shared" si="248"/>
        <v>0</v>
      </c>
      <c r="H537" s="152">
        <f t="shared" si="248"/>
        <v>0</v>
      </c>
      <c r="I537" s="152">
        <f t="shared" si="248"/>
        <v>0</v>
      </c>
      <c r="J537" s="152">
        <f t="shared" si="248"/>
        <v>0</v>
      </c>
      <c r="K537" s="152">
        <f t="shared" si="248"/>
        <v>0</v>
      </c>
      <c r="L537" s="152">
        <f t="shared" si="248"/>
        <v>0</v>
      </c>
      <c r="M537" s="152">
        <f t="shared" si="248"/>
        <v>0</v>
      </c>
      <c r="N537" s="152">
        <f t="shared" si="248"/>
        <v>0</v>
      </c>
      <c r="O537" s="152">
        <f t="shared" si="248"/>
        <v>0</v>
      </c>
      <c r="P537" s="152">
        <f t="shared" si="248"/>
        <v>0</v>
      </c>
      <c r="Q537" s="152">
        <f t="shared" si="248"/>
        <v>0</v>
      </c>
      <c r="R537" s="152">
        <f t="shared" si="248"/>
        <v>0</v>
      </c>
      <c r="S537" s="152">
        <f t="shared" si="248"/>
        <v>0</v>
      </c>
      <c r="T537" s="152">
        <f t="shared" si="248"/>
        <v>0</v>
      </c>
      <c r="U537" s="152">
        <f t="shared" si="248"/>
        <v>0</v>
      </c>
      <c r="V537" s="152">
        <f t="shared" si="248"/>
        <v>0</v>
      </c>
      <c r="W537" s="152">
        <f t="shared" si="248"/>
        <v>0</v>
      </c>
      <c r="X537" s="152">
        <f t="shared" si="248"/>
        <v>0</v>
      </c>
      <c r="Y537" s="152">
        <f t="shared" si="248"/>
        <v>0</v>
      </c>
      <c r="Z537" s="152">
        <f t="shared" si="248"/>
        <v>0</v>
      </c>
      <c r="AA537" s="152">
        <f t="shared" si="248"/>
        <v>0</v>
      </c>
      <c r="AB537" s="152">
        <f t="shared" si="248"/>
        <v>0</v>
      </c>
      <c r="AC537" s="152">
        <f t="shared" si="248"/>
        <v>0</v>
      </c>
      <c r="AD537" s="152">
        <f t="shared" si="248"/>
        <v>0</v>
      </c>
      <c r="AE537" s="152">
        <f t="shared" si="248"/>
        <v>0</v>
      </c>
      <c r="AF537" s="152">
        <f t="shared" si="248"/>
        <v>0</v>
      </c>
      <c r="AG537" s="152">
        <f t="shared" si="248"/>
        <v>0</v>
      </c>
      <c r="AH537" s="152">
        <f t="shared" si="248"/>
        <v>0</v>
      </c>
      <c r="AI537" s="152">
        <f t="shared" si="248"/>
        <v>0</v>
      </c>
      <c r="AJ537" s="152">
        <f t="shared" si="248"/>
        <v>0</v>
      </c>
      <c r="AK537" s="152">
        <f t="shared" si="248"/>
        <v>0</v>
      </c>
      <c r="AL537" s="152">
        <f t="shared" si="248"/>
        <v>0</v>
      </c>
      <c r="AM537" s="152">
        <f t="shared" si="248"/>
        <v>0</v>
      </c>
      <c r="AN537" s="152">
        <f t="shared" si="248"/>
        <v>0</v>
      </c>
      <c r="AO537" s="152">
        <f t="shared" si="248"/>
        <v>0</v>
      </c>
      <c r="AP537" s="152">
        <f t="shared" si="248"/>
        <v>0</v>
      </c>
    </row>
    <row r="538" spans="1:42" x14ac:dyDescent="0.2">
      <c r="A538" s="4">
        <f t="shared" si="245"/>
        <v>6</v>
      </c>
      <c r="B538" s="143">
        <f t="shared" si="242"/>
        <v>0</v>
      </c>
      <c r="C538" s="152">
        <f t="shared" ref="C538:AP538" si="249">LOOKUP(C526,$B$490:$AP$490,$B$491:$AP$491)*$B731/100</f>
        <v>0</v>
      </c>
      <c r="D538" s="152">
        <f t="shared" si="249"/>
        <v>0</v>
      </c>
      <c r="E538" s="152">
        <f t="shared" si="249"/>
        <v>0</v>
      </c>
      <c r="F538" s="152">
        <f t="shared" si="249"/>
        <v>0</v>
      </c>
      <c r="G538" s="152">
        <f t="shared" si="249"/>
        <v>0</v>
      </c>
      <c r="H538" s="152">
        <f t="shared" si="249"/>
        <v>0</v>
      </c>
      <c r="I538" s="152">
        <f t="shared" si="249"/>
        <v>0</v>
      </c>
      <c r="J538" s="152">
        <f t="shared" si="249"/>
        <v>0</v>
      </c>
      <c r="K538" s="152">
        <f t="shared" si="249"/>
        <v>0</v>
      </c>
      <c r="L538" s="152">
        <f t="shared" si="249"/>
        <v>0</v>
      </c>
      <c r="M538" s="152">
        <f t="shared" si="249"/>
        <v>0</v>
      </c>
      <c r="N538" s="152">
        <f t="shared" si="249"/>
        <v>0</v>
      </c>
      <c r="O538" s="152">
        <f t="shared" si="249"/>
        <v>0</v>
      </c>
      <c r="P538" s="152">
        <f t="shared" si="249"/>
        <v>0</v>
      </c>
      <c r="Q538" s="152">
        <f t="shared" si="249"/>
        <v>0</v>
      </c>
      <c r="R538" s="152">
        <f t="shared" si="249"/>
        <v>0</v>
      </c>
      <c r="S538" s="152">
        <f t="shared" si="249"/>
        <v>0</v>
      </c>
      <c r="T538" s="152">
        <f t="shared" si="249"/>
        <v>0</v>
      </c>
      <c r="U538" s="152">
        <f t="shared" si="249"/>
        <v>0</v>
      </c>
      <c r="V538" s="152">
        <f t="shared" si="249"/>
        <v>0</v>
      </c>
      <c r="W538" s="152">
        <f t="shared" si="249"/>
        <v>0</v>
      </c>
      <c r="X538" s="152">
        <f t="shared" si="249"/>
        <v>0</v>
      </c>
      <c r="Y538" s="152">
        <f t="shared" si="249"/>
        <v>0</v>
      </c>
      <c r="Z538" s="152">
        <f t="shared" si="249"/>
        <v>0</v>
      </c>
      <c r="AA538" s="152">
        <f t="shared" si="249"/>
        <v>0</v>
      </c>
      <c r="AB538" s="152">
        <f t="shared" si="249"/>
        <v>0</v>
      </c>
      <c r="AC538" s="152">
        <f t="shared" si="249"/>
        <v>0</v>
      </c>
      <c r="AD538" s="152">
        <f t="shared" si="249"/>
        <v>0</v>
      </c>
      <c r="AE538" s="152">
        <f t="shared" si="249"/>
        <v>0</v>
      </c>
      <c r="AF538" s="152">
        <f t="shared" si="249"/>
        <v>0</v>
      </c>
      <c r="AG538" s="152">
        <f t="shared" si="249"/>
        <v>0</v>
      </c>
      <c r="AH538" s="152">
        <f t="shared" si="249"/>
        <v>0</v>
      </c>
      <c r="AI538" s="152">
        <f t="shared" si="249"/>
        <v>0</v>
      </c>
      <c r="AJ538" s="152">
        <f t="shared" si="249"/>
        <v>0</v>
      </c>
      <c r="AK538" s="152">
        <f t="shared" si="249"/>
        <v>0</v>
      </c>
      <c r="AL538" s="152">
        <f t="shared" si="249"/>
        <v>0</v>
      </c>
      <c r="AM538" s="152">
        <f t="shared" si="249"/>
        <v>0</v>
      </c>
      <c r="AN538" s="152">
        <f t="shared" si="249"/>
        <v>0</v>
      </c>
      <c r="AO538" s="152">
        <f t="shared" si="249"/>
        <v>0</v>
      </c>
      <c r="AP538" s="152">
        <f t="shared" si="249"/>
        <v>0</v>
      </c>
    </row>
    <row r="539" spans="1:42" x14ac:dyDescent="0.2">
      <c r="A539" s="4">
        <f t="shared" si="245"/>
        <v>7</v>
      </c>
      <c r="B539" s="143">
        <f t="shared" si="242"/>
        <v>0</v>
      </c>
      <c r="C539" s="152">
        <f t="shared" ref="C539:AP539" si="250">LOOKUP(C527,$B$490:$AP$490,$B$491:$AP$491)*$B732/100</f>
        <v>0</v>
      </c>
      <c r="D539" s="152">
        <f t="shared" si="250"/>
        <v>0</v>
      </c>
      <c r="E539" s="152">
        <f t="shared" si="250"/>
        <v>0</v>
      </c>
      <c r="F539" s="152">
        <f t="shared" si="250"/>
        <v>0</v>
      </c>
      <c r="G539" s="152">
        <f t="shared" si="250"/>
        <v>0</v>
      </c>
      <c r="H539" s="152">
        <f t="shared" si="250"/>
        <v>0</v>
      </c>
      <c r="I539" s="152">
        <f t="shared" si="250"/>
        <v>0</v>
      </c>
      <c r="J539" s="152">
        <f t="shared" si="250"/>
        <v>0</v>
      </c>
      <c r="K539" s="152">
        <f t="shared" si="250"/>
        <v>0</v>
      </c>
      <c r="L539" s="152">
        <f t="shared" si="250"/>
        <v>0</v>
      </c>
      <c r="M539" s="152">
        <f t="shared" si="250"/>
        <v>0</v>
      </c>
      <c r="N539" s="152">
        <f t="shared" si="250"/>
        <v>0</v>
      </c>
      <c r="O539" s="152">
        <f t="shared" si="250"/>
        <v>0</v>
      </c>
      <c r="P539" s="152">
        <f t="shared" si="250"/>
        <v>0</v>
      </c>
      <c r="Q539" s="152">
        <f t="shared" si="250"/>
        <v>0</v>
      </c>
      <c r="R539" s="152">
        <f t="shared" si="250"/>
        <v>0</v>
      </c>
      <c r="S539" s="152">
        <f t="shared" si="250"/>
        <v>0</v>
      </c>
      <c r="T539" s="152">
        <f t="shared" si="250"/>
        <v>0</v>
      </c>
      <c r="U539" s="152">
        <f t="shared" si="250"/>
        <v>0</v>
      </c>
      <c r="V539" s="152">
        <f t="shared" si="250"/>
        <v>0</v>
      </c>
      <c r="W539" s="152">
        <f t="shared" si="250"/>
        <v>0</v>
      </c>
      <c r="X539" s="152">
        <f t="shared" si="250"/>
        <v>0</v>
      </c>
      <c r="Y539" s="152">
        <f t="shared" si="250"/>
        <v>0</v>
      </c>
      <c r="Z539" s="152">
        <f t="shared" si="250"/>
        <v>0</v>
      </c>
      <c r="AA539" s="152">
        <f t="shared" si="250"/>
        <v>0</v>
      </c>
      <c r="AB539" s="152">
        <f t="shared" si="250"/>
        <v>0</v>
      </c>
      <c r="AC539" s="152">
        <f t="shared" si="250"/>
        <v>0</v>
      </c>
      <c r="AD539" s="152">
        <f t="shared" si="250"/>
        <v>0</v>
      </c>
      <c r="AE539" s="152">
        <f t="shared" si="250"/>
        <v>0</v>
      </c>
      <c r="AF539" s="152">
        <f t="shared" si="250"/>
        <v>0</v>
      </c>
      <c r="AG539" s="152">
        <f t="shared" si="250"/>
        <v>0</v>
      </c>
      <c r="AH539" s="152">
        <f t="shared" si="250"/>
        <v>0</v>
      </c>
      <c r="AI539" s="152">
        <f t="shared" si="250"/>
        <v>0</v>
      </c>
      <c r="AJ539" s="152">
        <f t="shared" si="250"/>
        <v>0</v>
      </c>
      <c r="AK539" s="152">
        <f t="shared" si="250"/>
        <v>0</v>
      </c>
      <c r="AL539" s="152">
        <f t="shared" si="250"/>
        <v>0</v>
      </c>
      <c r="AM539" s="152">
        <f t="shared" si="250"/>
        <v>0</v>
      </c>
      <c r="AN539" s="152">
        <f t="shared" si="250"/>
        <v>0</v>
      </c>
      <c r="AO539" s="152">
        <f t="shared" si="250"/>
        <v>0</v>
      </c>
      <c r="AP539" s="152">
        <f t="shared" si="250"/>
        <v>0</v>
      </c>
    </row>
    <row r="540" spans="1:42" x14ac:dyDescent="0.2">
      <c r="A540" s="4">
        <f t="shared" si="245"/>
        <v>8</v>
      </c>
      <c r="B540" s="143">
        <f t="shared" si="242"/>
        <v>0</v>
      </c>
      <c r="C540" s="152">
        <f t="shared" ref="C540:AP540" si="251">LOOKUP(C528,$B$490:$AP$490,$B$491:$AP$491)*$B733/100</f>
        <v>0</v>
      </c>
      <c r="D540" s="152">
        <f t="shared" si="251"/>
        <v>0</v>
      </c>
      <c r="E540" s="152">
        <f t="shared" si="251"/>
        <v>0</v>
      </c>
      <c r="F540" s="152">
        <f t="shared" si="251"/>
        <v>0</v>
      </c>
      <c r="G540" s="152">
        <f t="shared" si="251"/>
        <v>0</v>
      </c>
      <c r="H540" s="152">
        <f t="shared" si="251"/>
        <v>0</v>
      </c>
      <c r="I540" s="152">
        <f t="shared" si="251"/>
        <v>0</v>
      </c>
      <c r="J540" s="152">
        <f t="shared" si="251"/>
        <v>0</v>
      </c>
      <c r="K540" s="152">
        <f t="shared" si="251"/>
        <v>0</v>
      </c>
      <c r="L540" s="152">
        <f t="shared" si="251"/>
        <v>0</v>
      </c>
      <c r="M540" s="152">
        <f t="shared" si="251"/>
        <v>0</v>
      </c>
      <c r="N540" s="152">
        <f t="shared" si="251"/>
        <v>0</v>
      </c>
      <c r="O540" s="152">
        <f t="shared" si="251"/>
        <v>0</v>
      </c>
      <c r="P540" s="152">
        <f t="shared" si="251"/>
        <v>0</v>
      </c>
      <c r="Q540" s="152">
        <f t="shared" si="251"/>
        <v>0</v>
      </c>
      <c r="R540" s="152">
        <f t="shared" si="251"/>
        <v>0</v>
      </c>
      <c r="S540" s="152">
        <f t="shared" si="251"/>
        <v>0</v>
      </c>
      <c r="T540" s="152">
        <f t="shared" si="251"/>
        <v>0</v>
      </c>
      <c r="U540" s="152">
        <f t="shared" si="251"/>
        <v>0</v>
      </c>
      <c r="V540" s="152">
        <f t="shared" si="251"/>
        <v>0</v>
      </c>
      <c r="W540" s="152">
        <f t="shared" si="251"/>
        <v>0</v>
      </c>
      <c r="X540" s="152">
        <f t="shared" si="251"/>
        <v>0</v>
      </c>
      <c r="Y540" s="152">
        <f t="shared" si="251"/>
        <v>0</v>
      </c>
      <c r="Z540" s="152">
        <f t="shared" si="251"/>
        <v>0</v>
      </c>
      <c r="AA540" s="152">
        <f t="shared" si="251"/>
        <v>0</v>
      </c>
      <c r="AB540" s="152">
        <f t="shared" si="251"/>
        <v>0</v>
      </c>
      <c r="AC540" s="152">
        <f t="shared" si="251"/>
        <v>0</v>
      </c>
      <c r="AD540" s="152">
        <f t="shared" si="251"/>
        <v>0</v>
      </c>
      <c r="AE540" s="152">
        <f t="shared" si="251"/>
        <v>0</v>
      </c>
      <c r="AF540" s="152">
        <f t="shared" si="251"/>
        <v>0</v>
      </c>
      <c r="AG540" s="152">
        <f t="shared" si="251"/>
        <v>0</v>
      </c>
      <c r="AH540" s="152">
        <f t="shared" si="251"/>
        <v>0</v>
      </c>
      <c r="AI540" s="152">
        <f t="shared" si="251"/>
        <v>0</v>
      </c>
      <c r="AJ540" s="152">
        <f t="shared" si="251"/>
        <v>0</v>
      </c>
      <c r="AK540" s="152">
        <f t="shared" si="251"/>
        <v>0</v>
      </c>
      <c r="AL540" s="152">
        <f t="shared" si="251"/>
        <v>0</v>
      </c>
      <c r="AM540" s="152">
        <f t="shared" si="251"/>
        <v>0</v>
      </c>
      <c r="AN540" s="152">
        <f t="shared" si="251"/>
        <v>0</v>
      </c>
      <c r="AO540" s="152">
        <f t="shared" si="251"/>
        <v>0</v>
      </c>
      <c r="AP540" s="152">
        <f t="shared" si="251"/>
        <v>0</v>
      </c>
    </row>
    <row r="541" spans="1:42" x14ac:dyDescent="0.2">
      <c r="A541" s="4">
        <f>A540+1</f>
        <v>9</v>
      </c>
      <c r="B541" s="143">
        <f t="shared" si="242"/>
        <v>0</v>
      </c>
      <c r="C541" s="152">
        <f t="shared" ref="C541:AP541" si="252">LOOKUP(C529,$B$490:$AP$490,$B$491:$AP$491)*$B734/100</f>
        <v>0</v>
      </c>
      <c r="D541" s="152">
        <f t="shared" si="252"/>
        <v>0</v>
      </c>
      <c r="E541" s="152">
        <f t="shared" si="252"/>
        <v>0</v>
      </c>
      <c r="F541" s="152">
        <f t="shared" si="252"/>
        <v>0</v>
      </c>
      <c r="G541" s="152">
        <f t="shared" si="252"/>
        <v>0</v>
      </c>
      <c r="H541" s="152">
        <f t="shared" si="252"/>
        <v>0</v>
      </c>
      <c r="I541" s="152">
        <f t="shared" si="252"/>
        <v>0</v>
      </c>
      <c r="J541" s="152">
        <f t="shared" si="252"/>
        <v>0</v>
      </c>
      <c r="K541" s="152">
        <f t="shared" si="252"/>
        <v>0</v>
      </c>
      <c r="L541" s="152">
        <f t="shared" si="252"/>
        <v>0</v>
      </c>
      <c r="M541" s="152">
        <f t="shared" si="252"/>
        <v>0</v>
      </c>
      <c r="N541" s="152">
        <f t="shared" si="252"/>
        <v>0</v>
      </c>
      <c r="O541" s="152">
        <f t="shared" si="252"/>
        <v>0</v>
      </c>
      <c r="P541" s="152">
        <f t="shared" si="252"/>
        <v>0</v>
      </c>
      <c r="Q541" s="152">
        <f t="shared" si="252"/>
        <v>0</v>
      </c>
      <c r="R541" s="152">
        <f t="shared" si="252"/>
        <v>0</v>
      </c>
      <c r="S541" s="152">
        <f t="shared" si="252"/>
        <v>0</v>
      </c>
      <c r="T541" s="152">
        <f t="shared" si="252"/>
        <v>0</v>
      </c>
      <c r="U541" s="152">
        <f t="shared" si="252"/>
        <v>0</v>
      </c>
      <c r="V541" s="152">
        <f t="shared" si="252"/>
        <v>0</v>
      </c>
      <c r="W541" s="152">
        <f t="shared" si="252"/>
        <v>0</v>
      </c>
      <c r="X541" s="152">
        <f t="shared" si="252"/>
        <v>0</v>
      </c>
      <c r="Y541" s="152">
        <f t="shared" si="252"/>
        <v>0</v>
      </c>
      <c r="Z541" s="152">
        <f t="shared" si="252"/>
        <v>0</v>
      </c>
      <c r="AA541" s="152">
        <f t="shared" si="252"/>
        <v>0</v>
      </c>
      <c r="AB541" s="152">
        <f t="shared" si="252"/>
        <v>0</v>
      </c>
      <c r="AC541" s="152">
        <f t="shared" si="252"/>
        <v>0</v>
      </c>
      <c r="AD541" s="152">
        <f t="shared" si="252"/>
        <v>0</v>
      </c>
      <c r="AE541" s="152">
        <f t="shared" si="252"/>
        <v>0</v>
      </c>
      <c r="AF541" s="152">
        <f t="shared" si="252"/>
        <v>0</v>
      </c>
      <c r="AG541" s="152">
        <f t="shared" si="252"/>
        <v>0</v>
      </c>
      <c r="AH541" s="152">
        <f t="shared" si="252"/>
        <v>0</v>
      </c>
      <c r="AI541" s="152">
        <f t="shared" si="252"/>
        <v>0</v>
      </c>
      <c r="AJ541" s="152">
        <f t="shared" si="252"/>
        <v>0</v>
      </c>
      <c r="AK541" s="152">
        <f t="shared" si="252"/>
        <v>0</v>
      </c>
      <c r="AL541" s="152">
        <f t="shared" si="252"/>
        <v>0</v>
      </c>
      <c r="AM541" s="152">
        <f t="shared" si="252"/>
        <v>0</v>
      </c>
      <c r="AN541" s="152">
        <f t="shared" si="252"/>
        <v>0</v>
      </c>
      <c r="AO541" s="152">
        <f t="shared" si="252"/>
        <v>0</v>
      </c>
      <c r="AP541" s="152">
        <f t="shared" si="252"/>
        <v>0</v>
      </c>
    </row>
    <row r="542" spans="1:42" x14ac:dyDescent="0.2">
      <c r="A542" s="4">
        <f t="shared" ref="A542" si="253">A541+1</f>
        <v>10</v>
      </c>
      <c r="B542" s="143">
        <f t="shared" si="242"/>
        <v>0</v>
      </c>
      <c r="C542" s="171">
        <f t="shared" ref="C542:AP542" si="254">LOOKUP(C530,$B$490:$AP$490,$B$491:$AP$491)*$B735/100</f>
        <v>0</v>
      </c>
      <c r="D542" s="153">
        <f t="shared" si="254"/>
        <v>0</v>
      </c>
      <c r="E542" s="153">
        <f t="shared" si="254"/>
        <v>0</v>
      </c>
      <c r="F542" s="153">
        <f t="shared" si="254"/>
        <v>0</v>
      </c>
      <c r="G542" s="153">
        <f t="shared" si="254"/>
        <v>0</v>
      </c>
      <c r="H542" s="153">
        <f t="shared" si="254"/>
        <v>0</v>
      </c>
      <c r="I542" s="153">
        <f t="shared" si="254"/>
        <v>0</v>
      </c>
      <c r="J542" s="153">
        <f t="shared" si="254"/>
        <v>0</v>
      </c>
      <c r="K542" s="153">
        <f t="shared" si="254"/>
        <v>0</v>
      </c>
      <c r="L542" s="153">
        <f t="shared" si="254"/>
        <v>0</v>
      </c>
      <c r="M542" s="153">
        <f t="shared" si="254"/>
        <v>0</v>
      </c>
      <c r="N542" s="153">
        <f t="shared" si="254"/>
        <v>0</v>
      </c>
      <c r="O542" s="153">
        <f t="shared" si="254"/>
        <v>0</v>
      </c>
      <c r="P542" s="153">
        <f t="shared" si="254"/>
        <v>0</v>
      </c>
      <c r="Q542" s="153">
        <f t="shared" si="254"/>
        <v>0</v>
      </c>
      <c r="R542" s="153">
        <f t="shared" si="254"/>
        <v>0</v>
      </c>
      <c r="S542" s="153">
        <f t="shared" si="254"/>
        <v>0</v>
      </c>
      <c r="T542" s="153">
        <f t="shared" si="254"/>
        <v>0</v>
      </c>
      <c r="U542" s="153">
        <f t="shared" si="254"/>
        <v>0</v>
      </c>
      <c r="V542" s="153">
        <f t="shared" si="254"/>
        <v>0</v>
      </c>
      <c r="W542" s="153">
        <f t="shared" si="254"/>
        <v>0</v>
      </c>
      <c r="X542" s="153">
        <f t="shared" si="254"/>
        <v>0</v>
      </c>
      <c r="Y542" s="153">
        <f t="shared" si="254"/>
        <v>0</v>
      </c>
      <c r="Z542" s="153">
        <f t="shared" si="254"/>
        <v>0</v>
      </c>
      <c r="AA542" s="153">
        <f t="shared" si="254"/>
        <v>0</v>
      </c>
      <c r="AB542" s="153">
        <f t="shared" si="254"/>
        <v>0</v>
      </c>
      <c r="AC542" s="153">
        <f t="shared" si="254"/>
        <v>0</v>
      </c>
      <c r="AD542" s="153">
        <f t="shared" si="254"/>
        <v>0</v>
      </c>
      <c r="AE542" s="153">
        <f t="shared" si="254"/>
        <v>0</v>
      </c>
      <c r="AF542" s="153">
        <f t="shared" si="254"/>
        <v>0</v>
      </c>
      <c r="AG542" s="153">
        <f t="shared" si="254"/>
        <v>0</v>
      </c>
      <c r="AH542" s="153">
        <f t="shared" si="254"/>
        <v>0</v>
      </c>
      <c r="AI542" s="153">
        <f t="shared" si="254"/>
        <v>0</v>
      </c>
      <c r="AJ542" s="153">
        <f t="shared" si="254"/>
        <v>0</v>
      </c>
      <c r="AK542" s="153">
        <f t="shared" si="254"/>
        <v>0</v>
      </c>
      <c r="AL542" s="153">
        <f t="shared" si="254"/>
        <v>0</v>
      </c>
      <c r="AM542" s="153">
        <f t="shared" si="254"/>
        <v>0</v>
      </c>
      <c r="AN542" s="153">
        <f t="shared" si="254"/>
        <v>0</v>
      </c>
      <c r="AO542" s="153">
        <f t="shared" si="254"/>
        <v>0</v>
      </c>
      <c r="AP542" s="153">
        <f t="shared" si="254"/>
        <v>0</v>
      </c>
    </row>
    <row r="543" spans="1:42" x14ac:dyDescent="0.2">
      <c r="A543" s="24" t="s">
        <v>13</v>
      </c>
      <c r="B543" s="14"/>
      <c r="C543" s="152">
        <f>SUM(C533:C542)</f>
        <v>0</v>
      </c>
      <c r="D543" s="152">
        <f t="shared" ref="D543:AP543" si="255">SUM(D533:D542)</f>
        <v>0</v>
      </c>
      <c r="E543" s="152">
        <f t="shared" si="255"/>
        <v>0</v>
      </c>
      <c r="F543" s="152">
        <f t="shared" si="255"/>
        <v>0</v>
      </c>
      <c r="G543" s="152">
        <f t="shared" si="255"/>
        <v>0</v>
      </c>
      <c r="H543" s="152">
        <f t="shared" si="255"/>
        <v>0</v>
      </c>
      <c r="I543" s="152">
        <f t="shared" si="255"/>
        <v>0</v>
      </c>
      <c r="J543" s="152">
        <f t="shared" si="255"/>
        <v>0</v>
      </c>
      <c r="K543" s="152">
        <f t="shared" si="255"/>
        <v>0</v>
      </c>
      <c r="L543" s="152">
        <f t="shared" si="255"/>
        <v>0</v>
      </c>
      <c r="M543" s="152">
        <f t="shared" si="255"/>
        <v>0</v>
      </c>
      <c r="N543" s="152">
        <f t="shared" si="255"/>
        <v>0</v>
      </c>
      <c r="O543" s="152">
        <f t="shared" si="255"/>
        <v>0</v>
      </c>
      <c r="P543" s="152">
        <f t="shared" si="255"/>
        <v>0</v>
      </c>
      <c r="Q543" s="152">
        <f t="shared" si="255"/>
        <v>0</v>
      </c>
      <c r="R543" s="152">
        <f t="shared" si="255"/>
        <v>0</v>
      </c>
      <c r="S543" s="152">
        <f t="shared" si="255"/>
        <v>0</v>
      </c>
      <c r="T543" s="152">
        <f t="shared" si="255"/>
        <v>0</v>
      </c>
      <c r="U543" s="152">
        <f t="shared" si="255"/>
        <v>0</v>
      </c>
      <c r="V543" s="152">
        <f t="shared" si="255"/>
        <v>0</v>
      </c>
      <c r="W543" s="152">
        <f t="shared" si="255"/>
        <v>0</v>
      </c>
      <c r="X543" s="152">
        <f t="shared" si="255"/>
        <v>0</v>
      </c>
      <c r="Y543" s="152">
        <f t="shared" si="255"/>
        <v>0</v>
      </c>
      <c r="Z543" s="152">
        <f t="shared" si="255"/>
        <v>0</v>
      </c>
      <c r="AA543" s="152">
        <f t="shared" si="255"/>
        <v>0</v>
      </c>
      <c r="AB543" s="152">
        <f t="shared" si="255"/>
        <v>0</v>
      </c>
      <c r="AC543" s="152">
        <f t="shared" si="255"/>
        <v>0</v>
      </c>
      <c r="AD543" s="152">
        <f t="shared" si="255"/>
        <v>0</v>
      </c>
      <c r="AE543" s="152">
        <f t="shared" si="255"/>
        <v>0</v>
      </c>
      <c r="AF543" s="152">
        <f t="shared" si="255"/>
        <v>0</v>
      </c>
      <c r="AG543" s="152">
        <f t="shared" si="255"/>
        <v>0</v>
      </c>
      <c r="AH543" s="152">
        <f t="shared" si="255"/>
        <v>0</v>
      </c>
      <c r="AI543" s="152">
        <f t="shared" si="255"/>
        <v>0</v>
      </c>
      <c r="AJ543" s="152">
        <f t="shared" si="255"/>
        <v>0</v>
      </c>
      <c r="AK543" s="152">
        <f t="shared" si="255"/>
        <v>0</v>
      </c>
      <c r="AL543" s="152">
        <f t="shared" si="255"/>
        <v>0</v>
      </c>
      <c r="AM543" s="152">
        <f t="shared" si="255"/>
        <v>0</v>
      </c>
      <c r="AN543" s="152">
        <f t="shared" si="255"/>
        <v>0</v>
      </c>
      <c r="AO543" s="152">
        <f t="shared" si="255"/>
        <v>0</v>
      </c>
      <c r="AP543" s="152">
        <f t="shared" si="255"/>
        <v>0</v>
      </c>
    </row>
    <row r="544" spans="1:42" x14ac:dyDescent="0.2">
      <c r="A544" s="24"/>
      <c r="B544" s="14"/>
      <c r="C544" s="152"/>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row>
    <row r="545" spans="1:42" x14ac:dyDescent="0.2">
      <c r="A545" s="21" t="s">
        <v>77</v>
      </c>
      <c r="C545" s="152"/>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row>
    <row r="546" spans="1:42" x14ac:dyDescent="0.2">
      <c r="A546" s="85" t="s">
        <v>62</v>
      </c>
      <c r="C546" s="152"/>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row>
    <row r="547" spans="1:42" x14ac:dyDescent="0.2">
      <c r="A547" s="4">
        <v>1</v>
      </c>
      <c r="C547" s="152">
        <f t="shared" ref="C547:AP547" si="256">C409</f>
        <v>0</v>
      </c>
      <c r="D547" s="152">
        <f t="shared" si="256"/>
        <v>0</v>
      </c>
      <c r="E547" s="152">
        <f t="shared" si="256"/>
        <v>0</v>
      </c>
      <c r="F547" s="152">
        <f t="shared" si="256"/>
        <v>0</v>
      </c>
      <c r="G547" s="152">
        <f t="shared" si="256"/>
        <v>0</v>
      </c>
      <c r="H547" s="152">
        <f t="shared" si="256"/>
        <v>0</v>
      </c>
      <c r="I547" s="152">
        <f t="shared" si="256"/>
        <v>0</v>
      </c>
      <c r="J547" s="152">
        <f t="shared" si="256"/>
        <v>0</v>
      </c>
      <c r="K547" s="152">
        <f t="shared" si="256"/>
        <v>0</v>
      </c>
      <c r="L547" s="152">
        <f t="shared" si="256"/>
        <v>0</v>
      </c>
      <c r="M547" s="152">
        <f t="shared" si="256"/>
        <v>0</v>
      </c>
      <c r="N547" s="152">
        <f t="shared" si="256"/>
        <v>0</v>
      </c>
      <c r="O547" s="152">
        <f t="shared" si="256"/>
        <v>0</v>
      </c>
      <c r="P547" s="152">
        <f t="shared" si="256"/>
        <v>0</v>
      </c>
      <c r="Q547" s="152">
        <f t="shared" si="256"/>
        <v>0</v>
      </c>
      <c r="R547" s="152">
        <f t="shared" si="256"/>
        <v>0</v>
      </c>
      <c r="S547" s="152">
        <f t="shared" si="256"/>
        <v>0</v>
      </c>
      <c r="T547" s="152">
        <f t="shared" si="256"/>
        <v>0</v>
      </c>
      <c r="U547" s="152">
        <f t="shared" si="256"/>
        <v>0</v>
      </c>
      <c r="V547" s="152">
        <f t="shared" si="256"/>
        <v>0</v>
      </c>
      <c r="W547" s="152">
        <f t="shared" si="256"/>
        <v>0</v>
      </c>
      <c r="X547" s="152">
        <f t="shared" si="256"/>
        <v>0</v>
      </c>
      <c r="Y547" s="152">
        <f t="shared" si="256"/>
        <v>0</v>
      </c>
      <c r="Z547" s="152">
        <f t="shared" si="256"/>
        <v>0</v>
      </c>
      <c r="AA547" s="152">
        <f t="shared" si="256"/>
        <v>0</v>
      </c>
      <c r="AB547" s="152">
        <f t="shared" si="256"/>
        <v>0</v>
      </c>
      <c r="AC547" s="152">
        <f t="shared" si="256"/>
        <v>0</v>
      </c>
      <c r="AD547" s="152">
        <f t="shared" si="256"/>
        <v>0</v>
      </c>
      <c r="AE547" s="152">
        <f t="shared" si="256"/>
        <v>0</v>
      </c>
      <c r="AF547" s="152">
        <f t="shared" si="256"/>
        <v>0</v>
      </c>
      <c r="AG547" s="152">
        <f t="shared" si="256"/>
        <v>0</v>
      </c>
      <c r="AH547" s="152">
        <f t="shared" si="256"/>
        <v>0</v>
      </c>
      <c r="AI547" s="152">
        <f t="shared" si="256"/>
        <v>0</v>
      </c>
      <c r="AJ547" s="152">
        <f t="shared" si="256"/>
        <v>0</v>
      </c>
      <c r="AK547" s="152">
        <f t="shared" si="256"/>
        <v>0</v>
      </c>
      <c r="AL547" s="152">
        <f t="shared" si="256"/>
        <v>0</v>
      </c>
      <c r="AM547" s="152">
        <f t="shared" si="256"/>
        <v>0</v>
      </c>
      <c r="AN547" s="152">
        <f t="shared" si="256"/>
        <v>0</v>
      </c>
      <c r="AO547" s="152">
        <f t="shared" si="256"/>
        <v>0</v>
      </c>
      <c r="AP547" s="152">
        <f t="shared" si="256"/>
        <v>0</v>
      </c>
    </row>
    <row r="548" spans="1:42" x14ac:dyDescent="0.2">
      <c r="A548" s="4">
        <f>A547+1</f>
        <v>2</v>
      </c>
      <c r="C548" s="152">
        <f t="shared" ref="C548:AP548" si="257">C410</f>
        <v>0</v>
      </c>
      <c r="D548" s="152">
        <f t="shared" si="257"/>
        <v>0</v>
      </c>
      <c r="E548" s="152">
        <f t="shared" si="257"/>
        <v>0</v>
      </c>
      <c r="F548" s="152">
        <f t="shared" si="257"/>
        <v>0</v>
      </c>
      <c r="G548" s="152">
        <f t="shared" si="257"/>
        <v>0</v>
      </c>
      <c r="H548" s="152">
        <f t="shared" si="257"/>
        <v>0</v>
      </c>
      <c r="I548" s="152">
        <f t="shared" si="257"/>
        <v>0</v>
      </c>
      <c r="J548" s="152">
        <f t="shared" si="257"/>
        <v>0</v>
      </c>
      <c r="K548" s="152">
        <f t="shared" si="257"/>
        <v>0</v>
      </c>
      <c r="L548" s="152">
        <f t="shared" si="257"/>
        <v>0</v>
      </c>
      <c r="M548" s="152">
        <f t="shared" si="257"/>
        <v>0</v>
      </c>
      <c r="N548" s="152">
        <f t="shared" si="257"/>
        <v>0</v>
      </c>
      <c r="O548" s="152">
        <f t="shared" si="257"/>
        <v>0</v>
      </c>
      <c r="P548" s="152">
        <f t="shared" si="257"/>
        <v>0</v>
      </c>
      <c r="Q548" s="152">
        <f t="shared" si="257"/>
        <v>0</v>
      </c>
      <c r="R548" s="152">
        <f t="shared" si="257"/>
        <v>0</v>
      </c>
      <c r="S548" s="152">
        <f t="shared" si="257"/>
        <v>0</v>
      </c>
      <c r="T548" s="152">
        <f t="shared" si="257"/>
        <v>0</v>
      </c>
      <c r="U548" s="152">
        <f t="shared" si="257"/>
        <v>0</v>
      </c>
      <c r="V548" s="152">
        <f t="shared" si="257"/>
        <v>0</v>
      </c>
      <c r="W548" s="152">
        <f t="shared" si="257"/>
        <v>0</v>
      </c>
      <c r="X548" s="152">
        <f t="shared" si="257"/>
        <v>0</v>
      </c>
      <c r="Y548" s="152">
        <f t="shared" si="257"/>
        <v>0</v>
      </c>
      <c r="Z548" s="152">
        <f t="shared" si="257"/>
        <v>0</v>
      </c>
      <c r="AA548" s="152">
        <f t="shared" si="257"/>
        <v>0</v>
      </c>
      <c r="AB548" s="152">
        <f t="shared" si="257"/>
        <v>0</v>
      </c>
      <c r="AC548" s="152">
        <f t="shared" si="257"/>
        <v>0</v>
      </c>
      <c r="AD548" s="152">
        <f t="shared" si="257"/>
        <v>0</v>
      </c>
      <c r="AE548" s="152">
        <f t="shared" si="257"/>
        <v>0</v>
      </c>
      <c r="AF548" s="152">
        <f t="shared" si="257"/>
        <v>0</v>
      </c>
      <c r="AG548" s="152">
        <f t="shared" si="257"/>
        <v>0</v>
      </c>
      <c r="AH548" s="152">
        <f t="shared" si="257"/>
        <v>0</v>
      </c>
      <c r="AI548" s="152">
        <f t="shared" si="257"/>
        <v>0</v>
      </c>
      <c r="AJ548" s="152">
        <f t="shared" si="257"/>
        <v>0</v>
      </c>
      <c r="AK548" s="152">
        <f t="shared" si="257"/>
        <v>0</v>
      </c>
      <c r="AL548" s="152">
        <f t="shared" si="257"/>
        <v>0</v>
      </c>
      <c r="AM548" s="152">
        <f t="shared" si="257"/>
        <v>0</v>
      </c>
      <c r="AN548" s="152">
        <f t="shared" si="257"/>
        <v>0</v>
      </c>
      <c r="AO548" s="152">
        <f t="shared" si="257"/>
        <v>0</v>
      </c>
      <c r="AP548" s="152">
        <f t="shared" si="257"/>
        <v>0</v>
      </c>
    </row>
    <row r="549" spans="1:42" x14ac:dyDescent="0.2">
      <c r="A549" s="4">
        <f t="shared" ref="A549:A554" si="258">A548+1</f>
        <v>3</v>
      </c>
      <c r="C549" s="152">
        <f t="shared" ref="C549:AP549" si="259">C411</f>
        <v>0</v>
      </c>
      <c r="D549" s="152">
        <f t="shared" si="259"/>
        <v>0</v>
      </c>
      <c r="E549" s="152">
        <f t="shared" si="259"/>
        <v>0</v>
      </c>
      <c r="F549" s="152">
        <f t="shared" si="259"/>
        <v>0</v>
      </c>
      <c r="G549" s="152">
        <f t="shared" si="259"/>
        <v>0</v>
      </c>
      <c r="H549" s="152">
        <f t="shared" si="259"/>
        <v>0</v>
      </c>
      <c r="I549" s="152">
        <f t="shared" si="259"/>
        <v>0</v>
      </c>
      <c r="J549" s="152">
        <f t="shared" si="259"/>
        <v>0</v>
      </c>
      <c r="K549" s="152">
        <f t="shared" si="259"/>
        <v>0</v>
      </c>
      <c r="L549" s="152">
        <f t="shared" si="259"/>
        <v>0</v>
      </c>
      <c r="M549" s="152">
        <f t="shared" si="259"/>
        <v>0</v>
      </c>
      <c r="N549" s="152">
        <f t="shared" si="259"/>
        <v>0</v>
      </c>
      <c r="O549" s="152">
        <f t="shared" si="259"/>
        <v>0</v>
      </c>
      <c r="P549" s="152">
        <f t="shared" si="259"/>
        <v>0</v>
      </c>
      <c r="Q549" s="152">
        <f t="shared" si="259"/>
        <v>0</v>
      </c>
      <c r="R549" s="152">
        <f t="shared" si="259"/>
        <v>0</v>
      </c>
      <c r="S549" s="152">
        <f t="shared" si="259"/>
        <v>0</v>
      </c>
      <c r="T549" s="152">
        <f t="shared" si="259"/>
        <v>0</v>
      </c>
      <c r="U549" s="152">
        <f t="shared" si="259"/>
        <v>0</v>
      </c>
      <c r="V549" s="152">
        <f t="shared" si="259"/>
        <v>0</v>
      </c>
      <c r="W549" s="152">
        <f t="shared" si="259"/>
        <v>0</v>
      </c>
      <c r="X549" s="152">
        <f t="shared" si="259"/>
        <v>0</v>
      </c>
      <c r="Y549" s="152">
        <f t="shared" si="259"/>
        <v>0</v>
      </c>
      <c r="Z549" s="152">
        <f t="shared" si="259"/>
        <v>0</v>
      </c>
      <c r="AA549" s="152">
        <f t="shared" si="259"/>
        <v>0</v>
      </c>
      <c r="AB549" s="152">
        <f t="shared" si="259"/>
        <v>0</v>
      </c>
      <c r="AC549" s="152">
        <f t="shared" si="259"/>
        <v>0</v>
      </c>
      <c r="AD549" s="152">
        <f t="shared" si="259"/>
        <v>0</v>
      </c>
      <c r="AE549" s="152">
        <f t="shared" si="259"/>
        <v>0</v>
      </c>
      <c r="AF549" s="152">
        <f t="shared" si="259"/>
        <v>0</v>
      </c>
      <c r="AG549" s="152">
        <f t="shared" si="259"/>
        <v>0</v>
      </c>
      <c r="AH549" s="152">
        <f t="shared" si="259"/>
        <v>0</v>
      </c>
      <c r="AI549" s="152">
        <f t="shared" si="259"/>
        <v>0</v>
      </c>
      <c r="AJ549" s="152">
        <f t="shared" si="259"/>
        <v>0</v>
      </c>
      <c r="AK549" s="152">
        <f t="shared" si="259"/>
        <v>0</v>
      </c>
      <c r="AL549" s="152">
        <f t="shared" si="259"/>
        <v>0</v>
      </c>
      <c r="AM549" s="152">
        <f t="shared" si="259"/>
        <v>0</v>
      </c>
      <c r="AN549" s="152">
        <f t="shared" si="259"/>
        <v>0</v>
      </c>
      <c r="AO549" s="152">
        <f t="shared" si="259"/>
        <v>0</v>
      </c>
      <c r="AP549" s="152">
        <f t="shared" si="259"/>
        <v>0</v>
      </c>
    </row>
    <row r="550" spans="1:42" x14ac:dyDescent="0.2">
      <c r="A550" s="4">
        <f t="shared" si="258"/>
        <v>4</v>
      </c>
      <c r="C550" s="152">
        <f t="shared" ref="C550:AP550" si="260">C412</f>
        <v>0</v>
      </c>
      <c r="D550" s="152">
        <f t="shared" si="260"/>
        <v>0</v>
      </c>
      <c r="E550" s="152">
        <f t="shared" si="260"/>
        <v>0</v>
      </c>
      <c r="F550" s="152">
        <f t="shared" si="260"/>
        <v>0</v>
      </c>
      <c r="G550" s="152">
        <f t="shared" si="260"/>
        <v>0</v>
      </c>
      <c r="H550" s="152">
        <f t="shared" si="260"/>
        <v>0</v>
      </c>
      <c r="I550" s="152">
        <f t="shared" si="260"/>
        <v>0</v>
      </c>
      <c r="J550" s="152">
        <f t="shared" si="260"/>
        <v>0</v>
      </c>
      <c r="K550" s="152">
        <f t="shared" si="260"/>
        <v>0</v>
      </c>
      <c r="L550" s="152">
        <f t="shared" si="260"/>
        <v>0</v>
      </c>
      <c r="M550" s="152">
        <f t="shared" si="260"/>
        <v>0</v>
      </c>
      <c r="N550" s="152">
        <f t="shared" si="260"/>
        <v>0</v>
      </c>
      <c r="O550" s="152">
        <f t="shared" si="260"/>
        <v>0</v>
      </c>
      <c r="P550" s="152">
        <f t="shared" si="260"/>
        <v>0</v>
      </c>
      <c r="Q550" s="152">
        <f t="shared" si="260"/>
        <v>0</v>
      </c>
      <c r="R550" s="152">
        <f t="shared" si="260"/>
        <v>0</v>
      </c>
      <c r="S550" s="152">
        <f t="shared" si="260"/>
        <v>0</v>
      </c>
      <c r="T550" s="152">
        <f t="shared" si="260"/>
        <v>0</v>
      </c>
      <c r="U550" s="152">
        <f t="shared" si="260"/>
        <v>0</v>
      </c>
      <c r="V550" s="152">
        <f t="shared" si="260"/>
        <v>0</v>
      </c>
      <c r="W550" s="152">
        <f t="shared" si="260"/>
        <v>0</v>
      </c>
      <c r="X550" s="152">
        <f t="shared" si="260"/>
        <v>0</v>
      </c>
      <c r="Y550" s="152">
        <f t="shared" si="260"/>
        <v>0</v>
      </c>
      <c r="Z550" s="152">
        <f t="shared" si="260"/>
        <v>0</v>
      </c>
      <c r="AA550" s="152">
        <f t="shared" si="260"/>
        <v>0</v>
      </c>
      <c r="AB550" s="152">
        <f t="shared" si="260"/>
        <v>0</v>
      </c>
      <c r="AC550" s="152">
        <f t="shared" si="260"/>
        <v>0</v>
      </c>
      <c r="AD550" s="152">
        <f t="shared" si="260"/>
        <v>0</v>
      </c>
      <c r="AE550" s="152">
        <f t="shared" si="260"/>
        <v>0</v>
      </c>
      <c r="AF550" s="152">
        <f t="shared" si="260"/>
        <v>0</v>
      </c>
      <c r="AG550" s="152">
        <f t="shared" si="260"/>
        <v>0</v>
      </c>
      <c r="AH550" s="152">
        <f t="shared" si="260"/>
        <v>0</v>
      </c>
      <c r="AI550" s="152">
        <f t="shared" si="260"/>
        <v>0</v>
      </c>
      <c r="AJ550" s="152">
        <f t="shared" si="260"/>
        <v>0</v>
      </c>
      <c r="AK550" s="152">
        <f t="shared" si="260"/>
        <v>0</v>
      </c>
      <c r="AL550" s="152">
        <f t="shared" si="260"/>
        <v>0</v>
      </c>
      <c r="AM550" s="152">
        <f t="shared" si="260"/>
        <v>0</v>
      </c>
      <c r="AN550" s="152">
        <f t="shared" si="260"/>
        <v>0</v>
      </c>
      <c r="AO550" s="152">
        <f t="shared" si="260"/>
        <v>0</v>
      </c>
      <c r="AP550" s="152">
        <f t="shared" si="260"/>
        <v>0</v>
      </c>
    </row>
    <row r="551" spans="1:42" x14ac:dyDescent="0.2">
      <c r="A551" s="4">
        <f t="shared" si="258"/>
        <v>5</v>
      </c>
      <c r="C551" s="152">
        <f t="shared" ref="C551:AP551" si="261">C413</f>
        <v>0</v>
      </c>
      <c r="D551" s="152">
        <f t="shared" si="261"/>
        <v>0</v>
      </c>
      <c r="E551" s="152">
        <f t="shared" si="261"/>
        <v>0</v>
      </c>
      <c r="F551" s="152">
        <f t="shared" si="261"/>
        <v>0</v>
      </c>
      <c r="G551" s="152">
        <f t="shared" si="261"/>
        <v>0</v>
      </c>
      <c r="H551" s="152">
        <f t="shared" si="261"/>
        <v>0</v>
      </c>
      <c r="I551" s="152">
        <f t="shared" si="261"/>
        <v>0</v>
      </c>
      <c r="J551" s="152">
        <f t="shared" si="261"/>
        <v>0</v>
      </c>
      <c r="K551" s="152">
        <f t="shared" si="261"/>
        <v>0</v>
      </c>
      <c r="L551" s="152">
        <f t="shared" si="261"/>
        <v>0</v>
      </c>
      <c r="M551" s="152">
        <f t="shared" si="261"/>
        <v>0</v>
      </c>
      <c r="N551" s="152">
        <f t="shared" si="261"/>
        <v>0</v>
      </c>
      <c r="O551" s="152">
        <f t="shared" si="261"/>
        <v>0</v>
      </c>
      <c r="P551" s="152">
        <f t="shared" si="261"/>
        <v>0</v>
      </c>
      <c r="Q551" s="152">
        <f t="shared" si="261"/>
        <v>0</v>
      </c>
      <c r="R551" s="152">
        <f t="shared" si="261"/>
        <v>0</v>
      </c>
      <c r="S551" s="152">
        <f t="shared" si="261"/>
        <v>0</v>
      </c>
      <c r="T551" s="152">
        <f t="shared" si="261"/>
        <v>0</v>
      </c>
      <c r="U551" s="152">
        <f t="shared" si="261"/>
        <v>0</v>
      </c>
      <c r="V551" s="152">
        <f t="shared" si="261"/>
        <v>0</v>
      </c>
      <c r="W551" s="152">
        <f t="shared" si="261"/>
        <v>0</v>
      </c>
      <c r="X551" s="152">
        <f t="shared" si="261"/>
        <v>0</v>
      </c>
      <c r="Y551" s="152">
        <f t="shared" si="261"/>
        <v>0</v>
      </c>
      <c r="Z551" s="152">
        <f t="shared" si="261"/>
        <v>0</v>
      </c>
      <c r="AA551" s="152">
        <f t="shared" si="261"/>
        <v>0</v>
      </c>
      <c r="AB551" s="152">
        <f t="shared" si="261"/>
        <v>0</v>
      </c>
      <c r="AC551" s="152">
        <f t="shared" si="261"/>
        <v>0</v>
      </c>
      <c r="AD551" s="152">
        <f t="shared" si="261"/>
        <v>0</v>
      </c>
      <c r="AE551" s="152">
        <f t="shared" si="261"/>
        <v>0</v>
      </c>
      <c r="AF551" s="152">
        <f t="shared" si="261"/>
        <v>0</v>
      </c>
      <c r="AG551" s="152">
        <f t="shared" si="261"/>
        <v>0</v>
      </c>
      <c r="AH551" s="152">
        <f t="shared" si="261"/>
        <v>0</v>
      </c>
      <c r="AI551" s="152">
        <f t="shared" si="261"/>
        <v>0</v>
      </c>
      <c r="AJ551" s="152">
        <f t="shared" si="261"/>
        <v>0</v>
      </c>
      <c r="AK551" s="152">
        <f t="shared" si="261"/>
        <v>0</v>
      </c>
      <c r="AL551" s="152">
        <f t="shared" si="261"/>
        <v>0</v>
      </c>
      <c r="AM551" s="152">
        <f t="shared" si="261"/>
        <v>0</v>
      </c>
      <c r="AN551" s="152">
        <f t="shared" si="261"/>
        <v>0</v>
      </c>
      <c r="AO551" s="152">
        <f t="shared" si="261"/>
        <v>0</v>
      </c>
      <c r="AP551" s="152">
        <f t="shared" si="261"/>
        <v>0</v>
      </c>
    </row>
    <row r="552" spans="1:42" x14ac:dyDescent="0.2">
      <c r="A552" s="4">
        <f t="shared" si="258"/>
        <v>6</v>
      </c>
      <c r="C552" s="152">
        <f t="shared" ref="C552:AP552" si="262">C414</f>
        <v>0</v>
      </c>
      <c r="D552" s="152">
        <f t="shared" si="262"/>
        <v>0</v>
      </c>
      <c r="E552" s="152">
        <f t="shared" si="262"/>
        <v>0</v>
      </c>
      <c r="F552" s="152">
        <f t="shared" si="262"/>
        <v>0</v>
      </c>
      <c r="G552" s="152">
        <f t="shared" si="262"/>
        <v>0</v>
      </c>
      <c r="H552" s="152">
        <f t="shared" si="262"/>
        <v>0</v>
      </c>
      <c r="I552" s="152">
        <f t="shared" si="262"/>
        <v>0</v>
      </c>
      <c r="J552" s="152">
        <f t="shared" si="262"/>
        <v>0</v>
      </c>
      <c r="K552" s="152">
        <f t="shared" si="262"/>
        <v>0</v>
      </c>
      <c r="L552" s="152">
        <f t="shared" si="262"/>
        <v>0</v>
      </c>
      <c r="M552" s="152">
        <f t="shared" si="262"/>
        <v>0</v>
      </c>
      <c r="N552" s="152">
        <f t="shared" si="262"/>
        <v>0</v>
      </c>
      <c r="O552" s="152">
        <f t="shared" si="262"/>
        <v>0</v>
      </c>
      <c r="P552" s="152">
        <f t="shared" si="262"/>
        <v>0</v>
      </c>
      <c r="Q552" s="152">
        <f t="shared" si="262"/>
        <v>0</v>
      </c>
      <c r="R552" s="152">
        <f t="shared" si="262"/>
        <v>0</v>
      </c>
      <c r="S552" s="152">
        <f t="shared" si="262"/>
        <v>0</v>
      </c>
      <c r="T552" s="152">
        <f t="shared" si="262"/>
        <v>0</v>
      </c>
      <c r="U552" s="152">
        <f t="shared" si="262"/>
        <v>0</v>
      </c>
      <c r="V552" s="152">
        <f t="shared" si="262"/>
        <v>0</v>
      </c>
      <c r="W552" s="152">
        <f t="shared" si="262"/>
        <v>0</v>
      </c>
      <c r="X552" s="152">
        <f t="shared" si="262"/>
        <v>0</v>
      </c>
      <c r="Y552" s="152">
        <f t="shared" si="262"/>
        <v>0</v>
      </c>
      <c r="Z552" s="152">
        <f t="shared" si="262"/>
        <v>0</v>
      </c>
      <c r="AA552" s="152">
        <f t="shared" si="262"/>
        <v>0</v>
      </c>
      <c r="AB552" s="152">
        <f t="shared" si="262"/>
        <v>0</v>
      </c>
      <c r="AC552" s="152">
        <f t="shared" si="262"/>
        <v>0</v>
      </c>
      <c r="AD552" s="152">
        <f t="shared" si="262"/>
        <v>0</v>
      </c>
      <c r="AE552" s="152">
        <f t="shared" si="262"/>
        <v>0</v>
      </c>
      <c r="AF552" s="152">
        <f t="shared" si="262"/>
        <v>0</v>
      </c>
      <c r="AG552" s="152">
        <f t="shared" si="262"/>
        <v>0</v>
      </c>
      <c r="AH552" s="152">
        <f t="shared" si="262"/>
        <v>0</v>
      </c>
      <c r="AI552" s="152">
        <f t="shared" si="262"/>
        <v>0</v>
      </c>
      <c r="AJ552" s="152">
        <f t="shared" si="262"/>
        <v>0</v>
      </c>
      <c r="AK552" s="152">
        <f t="shared" si="262"/>
        <v>0</v>
      </c>
      <c r="AL552" s="152">
        <f t="shared" si="262"/>
        <v>0</v>
      </c>
      <c r="AM552" s="152">
        <f t="shared" si="262"/>
        <v>0</v>
      </c>
      <c r="AN552" s="152">
        <f t="shared" si="262"/>
        <v>0</v>
      </c>
      <c r="AO552" s="152">
        <f t="shared" si="262"/>
        <v>0</v>
      </c>
      <c r="AP552" s="152">
        <f t="shared" si="262"/>
        <v>0</v>
      </c>
    </row>
    <row r="553" spans="1:42" x14ac:dyDescent="0.2">
      <c r="A553" s="4">
        <f t="shared" si="258"/>
        <v>7</v>
      </c>
      <c r="C553" s="152">
        <f t="shared" ref="C553:AP553" si="263">C415</f>
        <v>0</v>
      </c>
      <c r="D553" s="152">
        <f t="shared" si="263"/>
        <v>0</v>
      </c>
      <c r="E553" s="152">
        <f t="shared" si="263"/>
        <v>0</v>
      </c>
      <c r="F553" s="152">
        <f t="shared" si="263"/>
        <v>0</v>
      </c>
      <c r="G553" s="152">
        <f t="shared" si="263"/>
        <v>0</v>
      </c>
      <c r="H553" s="152">
        <f t="shared" si="263"/>
        <v>0</v>
      </c>
      <c r="I553" s="152">
        <f t="shared" si="263"/>
        <v>0</v>
      </c>
      <c r="J553" s="152">
        <f t="shared" si="263"/>
        <v>0</v>
      </c>
      <c r="K553" s="152">
        <f t="shared" si="263"/>
        <v>0</v>
      </c>
      <c r="L553" s="152">
        <f t="shared" si="263"/>
        <v>0</v>
      </c>
      <c r="M553" s="152">
        <f t="shared" si="263"/>
        <v>0</v>
      </c>
      <c r="N553" s="152">
        <f t="shared" si="263"/>
        <v>0</v>
      </c>
      <c r="O553" s="152">
        <f t="shared" si="263"/>
        <v>0</v>
      </c>
      <c r="P553" s="152">
        <f t="shared" si="263"/>
        <v>0</v>
      </c>
      <c r="Q553" s="152">
        <f t="shared" si="263"/>
        <v>0</v>
      </c>
      <c r="R553" s="152">
        <f t="shared" si="263"/>
        <v>0</v>
      </c>
      <c r="S553" s="152">
        <f t="shared" si="263"/>
        <v>0</v>
      </c>
      <c r="T553" s="152">
        <f t="shared" si="263"/>
        <v>0</v>
      </c>
      <c r="U553" s="152">
        <f t="shared" si="263"/>
        <v>0</v>
      </c>
      <c r="V553" s="152">
        <f t="shared" si="263"/>
        <v>0</v>
      </c>
      <c r="W553" s="152">
        <f t="shared" si="263"/>
        <v>0</v>
      </c>
      <c r="X553" s="152">
        <f t="shared" si="263"/>
        <v>0</v>
      </c>
      <c r="Y553" s="152">
        <f t="shared" si="263"/>
        <v>0</v>
      </c>
      <c r="Z553" s="152">
        <f t="shared" si="263"/>
        <v>0</v>
      </c>
      <c r="AA553" s="152">
        <f t="shared" si="263"/>
        <v>0</v>
      </c>
      <c r="AB553" s="152">
        <f t="shared" si="263"/>
        <v>0</v>
      </c>
      <c r="AC553" s="152">
        <f t="shared" si="263"/>
        <v>0</v>
      </c>
      <c r="AD553" s="152">
        <f t="shared" si="263"/>
        <v>0</v>
      </c>
      <c r="AE553" s="152">
        <f t="shared" si="263"/>
        <v>0</v>
      </c>
      <c r="AF553" s="152">
        <f t="shared" si="263"/>
        <v>0</v>
      </c>
      <c r="AG553" s="152">
        <f t="shared" si="263"/>
        <v>0</v>
      </c>
      <c r="AH553" s="152">
        <f t="shared" si="263"/>
        <v>0</v>
      </c>
      <c r="AI553" s="152">
        <f t="shared" si="263"/>
        <v>0</v>
      </c>
      <c r="AJ553" s="152">
        <f t="shared" si="263"/>
        <v>0</v>
      </c>
      <c r="AK553" s="152">
        <f t="shared" si="263"/>
        <v>0</v>
      </c>
      <c r="AL553" s="152">
        <f t="shared" si="263"/>
        <v>0</v>
      </c>
      <c r="AM553" s="152">
        <f t="shared" si="263"/>
        <v>0</v>
      </c>
      <c r="AN553" s="152">
        <f t="shared" si="263"/>
        <v>0</v>
      </c>
      <c r="AO553" s="152">
        <f t="shared" si="263"/>
        <v>0</v>
      </c>
      <c r="AP553" s="152">
        <f t="shared" si="263"/>
        <v>0</v>
      </c>
    </row>
    <row r="554" spans="1:42" x14ac:dyDescent="0.2">
      <c r="A554" s="4">
        <f t="shared" si="258"/>
        <v>8</v>
      </c>
      <c r="C554" s="152">
        <f t="shared" ref="C554:AP554" si="264">C416</f>
        <v>0</v>
      </c>
      <c r="D554" s="152">
        <f t="shared" si="264"/>
        <v>0</v>
      </c>
      <c r="E554" s="152">
        <f t="shared" si="264"/>
        <v>0</v>
      </c>
      <c r="F554" s="152">
        <f t="shared" si="264"/>
        <v>0</v>
      </c>
      <c r="G554" s="152">
        <f t="shared" si="264"/>
        <v>0</v>
      </c>
      <c r="H554" s="152">
        <f t="shared" si="264"/>
        <v>0</v>
      </c>
      <c r="I554" s="152">
        <f t="shared" si="264"/>
        <v>0</v>
      </c>
      <c r="J554" s="152">
        <f t="shared" si="264"/>
        <v>0</v>
      </c>
      <c r="K554" s="152">
        <f t="shared" si="264"/>
        <v>0</v>
      </c>
      <c r="L554" s="152">
        <f t="shared" si="264"/>
        <v>0</v>
      </c>
      <c r="M554" s="152">
        <f t="shared" si="264"/>
        <v>0</v>
      </c>
      <c r="N554" s="152">
        <f t="shared" si="264"/>
        <v>0</v>
      </c>
      <c r="O554" s="152">
        <f t="shared" si="264"/>
        <v>0</v>
      </c>
      <c r="P554" s="152">
        <f t="shared" si="264"/>
        <v>0</v>
      </c>
      <c r="Q554" s="152">
        <f t="shared" si="264"/>
        <v>0</v>
      </c>
      <c r="R554" s="152">
        <f t="shared" si="264"/>
        <v>0</v>
      </c>
      <c r="S554" s="152">
        <f t="shared" si="264"/>
        <v>0</v>
      </c>
      <c r="T554" s="152">
        <f t="shared" si="264"/>
        <v>0</v>
      </c>
      <c r="U554" s="152">
        <f t="shared" si="264"/>
        <v>0</v>
      </c>
      <c r="V554" s="152">
        <f t="shared" si="264"/>
        <v>0</v>
      </c>
      <c r="W554" s="152">
        <f t="shared" si="264"/>
        <v>0</v>
      </c>
      <c r="X554" s="152">
        <f t="shared" si="264"/>
        <v>0</v>
      </c>
      <c r="Y554" s="152">
        <f t="shared" si="264"/>
        <v>0</v>
      </c>
      <c r="Z554" s="152">
        <f t="shared" si="264"/>
        <v>0</v>
      </c>
      <c r="AA554" s="152">
        <f t="shared" si="264"/>
        <v>0</v>
      </c>
      <c r="AB554" s="152">
        <f t="shared" si="264"/>
        <v>0</v>
      </c>
      <c r="AC554" s="152">
        <f t="shared" si="264"/>
        <v>0</v>
      </c>
      <c r="AD554" s="152">
        <f t="shared" si="264"/>
        <v>0</v>
      </c>
      <c r="AE554" s="152">
        <f t="shared" si="264"/>
        <v>0</v>
      </c>
      <c r="AF554" s="152">
        <f t="shared" si="264"/>
        <v>0</v>
      </c>
      <c r="AG554" s="152">
        <f t="shared" si="264"/>
        <v>0</v>
      </c>
      <c r="AH554" s="152">
        <f t="shared" si="264"/>
        <v>0</v>
      </c>
      <c r="AI554" s="152">
        <f t="shared" si="264"/>
        <v>0</v>
      </c>
      <c r="AJ554" s="152">
        <f t="shared" si="264"/>
        <v>0</v>
      </c>
      <c r="AK554" s="152">
        <f t="shared" si="264"/>
        <v>0</v>
      </c>
      <c r="AL554" s="152">
        <f t="shared" si="264"/>
        <v>0</v>
      </c>
      <c r="AM554" s="152">
        <f t="shared" si="264"/>
        <v>0</v>
      </c>
      <c r="AN554" s="152">
        <f t="shared" si="264"/>
        <v>0</v>
      </c>
      <c r="AO554" s="152">
        <f t="shared" si="264"/>
        <v>0</v>
      </c>
      <c r="AP554" s="152">
        <f t="shared" si="264"/>
        <v>0</v>
      </c>
    </row>
    <row r="555" spans="1:42" x14ac:dyDescent="0.2">
      <c r="A555" s="4">
        <f>A554+1</f>
        <v>9</v>
      </c>
      <c r="C555" s="152">
        <f t="shared" ref="C555:AP555" si="265">C417</f>
        <v>0</v>
      </c>
      <c r="D555" s="152">
        <f t="shared" si="265"/>
        <v>0</v>
      </c>
      <c r="E555" s="152">
        <f t="shared" si="265"/>
        <v>0</v>
      </c>
      <c r="F555" s="152">
        <f t="shared" si="265"/>
        <v>0</v>
      </c>
      <c r="G555" s="152">
        <f t="shared" si="265"/>
        <v>0</v>
      </c>
      <c r="H555" s="152">
        <f t="shared" si="265"/>
        <v>0</v>
      </c>
      <c r="I555" s="152">
        <f t="shared" si="265"/>
        <v>0</v>
      </c>
      <c r="J555" s="152">
        <f t="shared" si="265"/>
        <v>0</v>
      </c>
      <c r="K555" s="152">
        <f t="shared" si="265"/>
        <v>0</v>
      </c>
      <c r="L555" s="152">
        <f t="shared" si="265"/>
        <v>0</v>
      </c>
      <c r="M555" s="152">
        <f t="shared" si="265"/>
        <v>0</v>
      </c>
      <c r="N555" s="152">
        <f t="shared" si="265"/>
        <v>0</v>
      </c>
      <c r="O555" s="152">
        <f t="shared" si="265"/>
        <v>0</v>
      </c>
      <c r="P555" s="152">
        <f t="shared" si="265"/>
        <v>0</v>
      </c>
      <c r="Q555" s="152">
        <f t="shared" si="265"/>
        <v>0</v>
      </c>
      <c r="R555" s="152">
        <f t="shared" si="265"/>
        <v>0</v>
      </c>
      <c r="S555" s="152">
        <f t="shared" si="265"/>
        <v>0</v>
      </c>
      <c r="T555" s="152">
        <f t="shared" si="265"/>
        <v>0</v>
      </c>
      <c r="U555" s="152">
        <f t="shared" si="265"/>
        <v>0</v>
      </c>
      <c r="V555" s="152">
        <f t="shared" si="265"/>
        <v>0</v>
      </c>
      <c r="W555" s="152">
        <f t="shared" si="265"/>
        <v>0</v>
      </c>
      <c r="X555" s="152">
        <f t="shared" si="265"/>
        <v>0</v>
      </c>
      <c r="Y555" s="152">
        <f t="shared" si="265"/>
        <v>0</v>
      </c>
      <c r="Z555" s="152">
        <f t="shared" si="265"/>
        <v>0</v>
      </c>
      <c r="AA555" s="152">
        <f t="shared" si="265"/>
        <v>0</v>
      </c>
      <c r="AB555" s="152">
        <f t="shared" si="265"/>
        <v>0</v>
      </c>
      <c r="AC555" s="152">
        <f t="shared" si="265"/>
        <v>0</v>
      </c>
      <c r="AD555" s="152">
        <f t="shared" si="265"/>
        <v>0</v>
      </c>
      <c r="AE555" s="152">
        <f t="shared" si="265"/>
        <v>0</v>
      </c>
      <c r="AF555" s="152">
        <f t="shared" si="265"/>
        <v>0</v>
      </c>
      <c r="AG555" s="152">
        <f t="shared" si="265"/>
        <v>0</v>
      </c>
      <c r="AH555" s="152">
        <f t="shared" si="265"/>
        <v>0</v>
      </c>
      <c r="AI555" s="152">
        <f t="shared" si="265"/>
        <v>0</v>
      </c>
      <c r="AJ555" s="152">
        <f t="shared" si="265"/>
        <v>0</v>
      </c>
      <c r="AK555" s="152">
        <f t="shared" si="265"/>
        <v>0</v>
      </c>
      <c r="AL555" s="152">
        <f t="shared" si="265"/>
        <v>0</v>
      </c>
      <c r="AM555" s="152">
        <f t="shared" si="265"/>
        <v>0</v>
      </c>
      <c r="AN555" s="152">
        <f t="shared" si="265"/>
        <v>0</v>
      </c>
      <c r="AO555" s="152">
        <f t="shared" si="265"/>
        <v>0</v>
      </c>
      <c r="AP555" s="152">
        <f t="shared" si="265"/>
        <v>0</v>
      </c>
    </row>
    <row r="556" spans="1:42" x14ac:dyDescent="0.2">
      <c r="A556" s="4">
        <f t="shared" ref="A556" si="266">A555+1</f>
        <v>10</v>
      </c>
      <c r="C556" s="152">
        <f t="shared" ref="C556:AP556" si="267">C418</f>
        <v>0</v>
      </c>
      <c r="D556" s="152">
        <f t="shared" si="267"/>
        <v>0</v>
      </c>
      <c r="E556" s="152">
        <f t="shared" si="267"/>
        <v>0</v>
      </c>
      <c r="F556" s="152">
        <f t="shared" si="267"/>
        <v>0</v>
      </c>
      <c r="G556" s="152">
        <f t="shared" si="267"/>
        <v>0</v>
      </c>
      <c r="H556" s="152">
        <f t="shared" si="267"/>
        <v>0</v>
      </c>
      <c r="I556" s="152">
        <f t="shared" si="267"/>
        <v>0</v>
      </c>
      <c r="J556" s="152">
        <f t="shared" si="267"/>
        <v>0</v>
      </c>
      <c r="K556" s="152">
        <f t="shared" si="267"/>
        <v>0</v>
      </c>
      <c r="L556" s="152">
        <f t="shared" si="267"/>
        <v>0</v>
      </c>
      <c r="M556" s="152">
        <f t="shared" si="267"/>
        <v>0</v>
      </c>
      <c r="N556" s="152">
        <f t="shared" si="267"/>
        <v>0</v>
      </c>
      <c r="O556" s="152">
        <f t="shared" si="267"/>
        <v>0</v>
      </c>
      <c r="P556" s="152">
        <f t="shared" si="267"/>
        <v>0</v>
      </c>
      <c r="Q556" s="152">
        <f t="shared" si="267"/>
        <v>0</v>
      </c>
      <c r="R556" s="152">
        <f t="shared" si="267"/>
        <v>0</v>
      </c>
      <c r="S556" s="152">
        <f t="shared" si="267"/>
        <v>0</v>
      </c>
      <c r="T556" s="152">
        <f t="shared" si="267"/>
        <v>0</v>
      </c>
      <c r="U556" s="152">
        <f t="shared" si="267"/>
        <v>0</v>
      </c>
      <c r="V556" s="152">
        <f t="shared" si="267"/>
        <v>0</v>
      </c>
      <c r="W556" s="152">
        <f t="shared" si="267"/>
        <v>0</v>
      </c>
      <c r="X556" s="152">
        <f t="shared" si="267"/>
        <v>0</v>
      </c>
      <c r="Y556" s="152">
        <f t="shared" si="267"/>
        <v>0</v>
      </c>
      <c r="Z556" s="152">
        <f t="shared" si="267"/>
        <v>0</v>
      </c>
      <c r="AA556" s="152">
        <f t="shared" si="267"/>
        <v>0</v>
      </c>
      <c r="AB556" s="152">
        <f t="shared" si="267"/>
        <v>0</v>
      </c>
      <c r="AC556" s="152">
        <f t="shared" si="267"/>
        <v>0</v>
      </c>
      <c r="AD556" s="152">
        <f t="shared" si="267"/>
        <v>0</v>
      </c>
      <c r="AE556" s="152">
        <f t="shared" si="267"/>
        <v>0</v>
      </c>
      <c r="AF556" s="152">
        <f t="shared" si="267"/>
        <v>0</v>
      </c>
      <c r="AG556" s="152">
        <f t="shared" si="267"/>
        <v>0</v>
      </c>
      <c r="AH556" s="152">
        <f t="shared" si="267"/>
        <v>0</v>
      </c>
      <c r="AI556" s="152">
        <f t="shared" si="267"/>
        <v>0</v>
      </c>
      <c r="AJ556" s="152">
        <f t="shared" si="267"/>
        <v>0</v>
      </c>
      <c r="AK556" s="152">
        <f t="shared" si="267"/>
        <v>0</v>
      </c>
      <c r="AL556" s="152">
        <f t="shared" si="267"/>
        <v>0</v>
      </c>
      <c r="AM556" s="152">
        <f t="shared" si="267"/>
        <v>0</v>
      </c>
      <c r="AN556" s="152">
        <f t="shared" si="267"/>
        <v>0</v>
      </c>
      <c r="AO556" s="152">
        <f t="shared" si="267"/>
        <v>0</v>
      </c>
      <c r="AP556" s="152">
        <f t="shared" si="267"/>
        <v>0</v>
      </c>
    </row>
    <row r="557" spans="1:42" x14ac:dyDescent="0.2">
      <c r="A557" s="21"/>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row>
    <row r="558" spans="1:42" x14ac:dyDescent="0.2">
      <c r="A558" s="85" t="s">
        <v>65</v>
      </c>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row>
    <row r="559" spans="1:42" x14ac:dyDescent="0.2">
      <c r="A559" s="4">
        <v>1</v>
      </c>
      <c r="B559" s="175">
        <f t="shared" ref="B559:B568" si="268">SUM(C559:AP559)</f>
        <v>0</v>
      </c>
      <c r="C559" s="152">
        <f t="shared" ref="C559:AP559" si="269">LOOKUP(C547,$B$490:$AP$490,$B$491:$AP$491)*$B758/100</f>
        <v>0</v>
      </c>
      <c r="D559" s="152">
        <f t="shared" si="269"/>
        <v>0</v>
      </c>
      <c r="E559" s="152">
        <f t="shared" si="269"/>
        <v>0</v>
      </c>
      <c r="F559" s="152">
        <f t="shared" si="269"/>
        <v>0</v>
      </c>
      <c r="G559" s="152">
        <f t="shared" si="269"/>
        <v>0</v>
      </c>
      <c r="H559" s="152">
        <f t="shared" si="269"/>
        <v>0</v>
      </c>
      <c r="I559" s="152">
        <f t="shared" si="269"/>
        <v>0</v>
      </c>
      <c r="J559" s="152">
        <f t="shared" si="269"/>
        <v>0</v>
      </c>
      <c r="K559" s="152">
        <f t="shared" si="269"/>
        <v>0</v>
      </c>
      <c r="L559" s="152">
        <f t="shared" si="269"/>
        <v>0</v>
      </c>
      <c r="M559" s="152">
        <f t="shared" si="269"/>
        <v>0</v>
      </c>
      <c r="N559" s="152">
        <f t="shared" si="269"/>
        <v>0</v>
      </c>
      <c r="O559" s="152">
        <f t="shared" si="269"/>
        <v>0</v>
      </c>
      <c r="P559" s="152">
        <f t="shared" si="269"/>
        <v>0</v>
      </c>
      <c r="Q559" s="152">
        <f t="shared" si="269"/>
        <v>0</v>
      </c>
      <c r="R559" s="152">
        <f t="shared" si="269"/>
        <v>0</v>
      </c>
      <c r="S559" s="152">
        <f t="shared" si="269"/>
        <v>0</v>
      </c>
      <c r="T559" s="152">
        <f t="shared" si="269"/>
        <v>0</v>
      </c>
      <c r="U559" s="152">
        <f t="shared" si="269"/>
        <v>0</v>
      </c>
      <c r="V559" s="152">
        <f t="shared" si="269"/>
        <v>0</v>
      </c>
      <c r="W559" s="152">
        <f t="shared" si="269"/>
        <v>0</v>
      </c>
      <c r="X559" s="152">
        <f t="shared" si="269"/>
        <v>0</v>
      </c>
      <c r="Y559" s="152">
        <f t="shared" si="269"/>
        <v>0</v>
      </c>
      <c r="Z559" s="152">
        <f t="shared" si="269"/>
        <v>0</v>
      </c>
      <c r="AA559" s="152">
        <f t="shared" si="269"/>
        <v>0</v>
      </c>
      <c r="AB559" s="152">
        <f t="shared" si="269"/>
        <v>0</v>
      </c>
      <c r="AC559" s="152">
        <f t="shared" si="269"/>
        <v>0</v>
      </c>
      <c r="AD559" s="152">
        <f t="shared" si="269"/>
        <v>0</v>
      </c>
      <c r="AE559" s="152">
        <f t="shared" si="269"/>
        <v>0</v>
      </c>
      <c r="AF559" s="152">
        <f t="shared" si="269"/>
        <v>0</v>
      </c>
      <c r="AG559" s="152">
        <f t="shared" si="269"/>
        <v>0</v>
      </c>
      <c r="AH559" s="152">
        <f t="shared" si="269"/>
        <v>0</v>
      </c>
      <c r="AI559" s="152">
        <f t="shared" si="269"/>
        <v>0</v>
      </c>
      <c r="AJ559" s="152">
        <f t="shared" si="269"/>
        <v>0</v>
      </c>
      <c r="AK559" s="152">
        <f t="shared" si="269"/>
        <v>0</v>
      </c>
      <c r="AL559" s="152">
        <f t="shared" si="269"/>
        <v>0</v>
      </c>
      <c r="AM559" s="152">
        <f t="shared" si="269"/>
        <v>0</v>
      </c>
      <c r="AN559" s="152">
        <f t="shared" si="269"/>
        <v>0</v>
      </c>
      <c r="AO559" s="152">
        <f t="shared" si="269"/>
        <v>0</v>
      </c>
      <c r="AP559" s="152">
        <f t="shared" si="269"/>
        <v>0</v>
      </c>
    </row>
    <row r="560" spans="1:42" x14ac:dyDescent="0.2">
      <c r="A560" s="4">
        <f>A559+1</f>
        <v>2</v>
      </c>
      <c r="B560" s="175">
        <f t="shared" si="268"/>
        <v>0</v>
      </c>
      <c r="C560" s="152">
        <f t="shared" ref="C560:AP560" si="270">LOOKUP(C548,$B$490:$AP$490,$B$491:$AP$491)*$B759/100</f>
        <v>0</v>
      </c>
      <c r="D560" s="152">
        <f t="shared" si="270"/>
        <v>0</v>
      </c>
      <c r="E560" s="152">
        <f t="shared" si="270"/>
        <v>0</v>
      </c>
      <c r="F560" s="152">
        <f t="shared" si="270"/>
        <v>0</v>
      </c>
      <c r="G560" s="152">
        <f t="shared" si="270"/>
        <v>0</v>
      </c>
      <c r="H560" s="152">
        <f t="shared" si="270"/>
        <v>0</v>
      </c>
      <c r="I560" s="152">
        <f t="shared" si="270"/>
        <v>0</v>
      </c>
      <c r="J560" s="152">
        <f t="shared" si="270"/>
        <v>0</v>
      </c>
      <c r="K560" s="152">
        <f t="shared" si="270"/>
        <v>0</v>
      </c>
      <c r="L560" s="152">
        <f t="shared" si="270"/>
        <v>0</v>
      </c>
      <c r="M560" s="152">
        <f t="shared" si="270"/>
        <v>0</v>
      </c>
      <c r="N560" s="152">
        <f t="shared" si="270"/>
        <v>0</v>
      </c>
      <c r="O560" s="152">
        <f t="shared" si="270"/>
        <v>0</v>
      </c>
      <c r="P560" s="152">
        <f t="shared" si="270"/>
        <v>0</v>
      </c>
      <c r="Q560" s="152">
        <f t="shared" si="270"/>
        <v>0</v>
      </c>
      <c r="R560" s="152">
        <f t="shared" si="270"/>
        <v>0</v>
      </c>
      <c r="S560" s="152">
        <f t="shared" si="270"/>
        <v>0</v>
      </c>
      <c r="T560" s="152">
        <f t="shared" si="270"/>
        <v>0</v>
      </c>
      <c r="U560" s="152">
        <f t="shared" si="270"/>
        <v>0</v>
      </c>
      <c r="V560" s="152">
        <f t="shared" si="270"/>
        <v>0</v>
      </c>
      <c r="W560" s="152">
        <f t="shared" si="270"/>
        <v>0</v>
      </c>
      <c r="X560" s="152">
        <f t="shared" si="270"/>
        <v>0</v>
      </c>
      <c r="Y560" s="152">
        <f t="shared" si="270"/>
        <v>0</v>
      </c>
      <c r="Z560" s="152">
        <f t="shared" si="270"/>
        <v>0</v>
      </c>
      <c r="AA560" s="152">
        <f t="shared" si="270"/>
        <v>0</v>
      </c>
      <c r="AB560" s="152">
        <f t="shared" si="270"/>
        <v>0</v>
      </c>
      <c r="AC560" s="152">
        <f t="shared" si="270"/>
        <v>0</v>
      </c>
      <c r="AD560" s="152">
        <f t="shared" si="270"/>
        <v>0</v>
      </c>
      <c r="AE560" s="152">
        <f t="shared" si="270"/>
        <v>0</v>
      </c>
      <c r="AF560" s="152">
        <f t="shared" si="270"/>
        <v>0</v>
      </c>
      <c r="AG560" s="152">
        <f t="shared" si="270"/>
        <v>0</v>
      </c>
      <c r="AH560" s="152">
        <f t="shared" si="270"/>
        <v>0</v>
      </c>
      <c r="AI560" s="152">
        <f t="shared" si="270"/>
        <v>0</v>
      </c>
      <c r="AJ560" s="152">
        <f t="shared" si="270"/>
        <v>0</v>
      </c>
      <c r="AK560" s="152">
        <f t="shared" si="270"/>
        <v>0</v>
      </c>
      <c r="AL560" s="152">
        <f t="shared" si="270"/>
        <v>0</v>
      </c>
      <c r="AM560" s="152">
        <f t="shared" si="270"/>
        <v>0</v>
      </c>
      <c r="AN560" s="152">
        <f t="shared" si="270"/>
        <v>0</v>
      </c>
      <c r="AO560" s="152">
        <f t="shared" si="270"/>
        <v>0</v>
      </c>
      <c r="AP560" s="152">
        <f t="shared" si="270"/>
        <v>0</v>
      </c>
    </row>
    <row r="561" spans="1:42" x14ac:dyDescent="0.2">
      <c r="A561" s="4">
        <f t="shared" ref="A561:A566" si="271">A560+1</f>
        <v>3</v>
      </c>
      <c r="B561" s="175">
        <f t="shared" si="268"/>
        <v>0</v>
      </c>
      <c r="C561" s="152">
        <f t="shared" ref="C561:AP561" si="272">LOOKUP(C549,$B$490:$AP$490,$B$491:$AP$491)*$B760/100</f>
        <v>0</v>
      </c>
      <c r="D561" s="152">
        <f t="shared" si="272"/>
        <v>0</v>
      </c>
      <c r="E561" s="152">
        <f t="shared" si="272"/>
        <v>0</v>
      </c>
      <c r="F561" s="152">
        <f t="shared" si="272"/>
        <v>0</v>
      </c>
      <c r="G561" s="152">
        <f t="shared" si="272"/>
        <v>0</v>
      </c>
      <c r="H561" s="152">
        <f t="shared" si="272"/>
        <v>0</v>
      </c>
      <c r="I561" s="152">
        <f t="shared" si="272"/>
        <v>0</v>
      </c>
      <c r="J561" s="152">
        <f t="shared" si="272"/>
        <v>0</v>
      </c>
      <c r="K561" s="152">
        <f t="shared" si="272"/>
        <v>0</v>
      </c>
      <c r="L561" s="152">
        <f t="shared" si="272"/>
        <v>0</v>
      </c>
      <c r="M561" s="152">
        <f t="shared" si="272"/>
        <v>0</v>
      </c>
      <c r="N561" s="152">
        <f t="shared" si="272"/>
        <v>0</v>
      </c>
      <c r="O561" s="152">
        <f t="shared" si="272"/>
        <v>0</v>
      </c>
      <c r="P561" s="152">
        <f t="shared" si="272"/>
        <v>0</v>
      </c>
      <c r="Q561" s="152">
        <f t="shared" si="272"/>
        <v>0</v>
      </c>
      <c r="R561" s="152">
        <f t="shared" si="272"/>
        <v>0</v>
      </c>
      <c r="S561" s="152">
        <f t="shared" si="272"/>
        <v>0</v>
      </c>
      <c r="T561" s="152">
        <f t="shared" si="272"/>
        <v>0</v>
      </c>
      <c r="U561" s="152">
        <f t="shared" si="272"/>
        <v>0</v>
      </c>
      <c r="V561" s="152">
        <f t="shared" si="272"/>
        <v>0</v>
      </c>
      <c r="W561" s="152">
        <f t="shared" si="272"/>
        <v>0</v>
      </c>
      <c r="X561" s="152">
        <f t="shared" si="272"/>
        <v>0</v>
      </c>
      <c r="Y561" s="152">
        <f t="shared" si="272"/>
        <v>0</v>
      </c>
      <c r="Z561" s="152">
        <f t="shared" si="272"/>
        <v>0</v>
      </c>
      <c r="AA561" s="152">
        <f t="shared" si="272"/>
        <v>0</v>
      </c>
      <c r="AB561" s="152">
        <f t="shared" si="272"/>
        <v>0</v>
      </c>
      <c r="AC561" s="152">
        <f t="shared" si="272"/>
        <v>0</v>
      </c>
      <c r="AD561" s="152">
        <f t="shared" si="272"/>
        <v>0</v>
      </c>
      <c r="AE561" s="152">
        <f t="shared" si="272"/>
        <v>0</v>
      </c>
      <c r="AF561" s="152">
        <f t="shared" si="272"/>
        <v>0</v>
      </c>
      <c r="AG561" s="152">
        <f t="shared" si="272"/>
        <v>0</v>
      </c>
      <c r="AH561" s="152">
        <f t="shared" si="272"/>
        <v>0</v>
      </c>
      <c r="AI561" s="152">
        <f t="shared" si="272"/>
        <v>0</v>
      </c>
      <c r="AJ561" s="152">
        <f t="shared" si="272"/>
        <v>0</v>
      </c>
      <c r="AK561" s="152">
        <f t="shared" si="272"/>
        <v>0</v>
      </c>
      <c r="AL561" s="152">
        <f t="shared" si="272"/>
        <v>0</v>
      </c>
      <c r="AM561" s="152">
        <f t="shared" si="272"/>
        <v>0</v>
      </c>
      <c r="AN561" s="152">
        <f t="shared" si="272"/>
        <v>0</v>
      </c>
      <c r="AO561" s="152">
        <f t="shared" si="272"/>
        <v>0</v>
      </c>
      <c r="AP561" s="152">
        <f t="shared" si="272"/>
        <v>0</v>
      </c>
    </row>
    <row r="562" spans="1:42" x14ac:dyDescent="0.2">
      <c r="A562" s="4">
        <f t="shared" si="271"/>
        <v>4</v>
      </c>
      <c r="B562" s="175">
        <f t="shared" si="268"/>
        <v>0</v>
      </c>
      <c r="C562" s="152">
        <f t="shared" ref="C562:AP562" si="273">LOOKUP(C550,$B$490:$AP$490,$B$491:$AP$491)*$B761/100</f>
        <v>0</v>
      </c>
      <c r="D562" s="152">
        <f t="shared" si="273"/>
        <v>0</v>
      </c>
      <c r="E562" s="152">
        <f t="shared" si="273"/>
        <v>0</v>
      </c>
      <c r="F562" s="152">
        <f t="shared" si="273"/>
        <v>0</v>
      </c>
      <c r="G562" s="152">
        <f t="shared" si="273"/>
        <v>0</v>
      </c>
      <c r="H562" s="152">
        <f t="shared" si="273"/>
        <v>0</v>
      </c>
      <c r="I562" s="152">
        <f t="shared" si="273"/>
        <v>0</v>
      </c>
      <c r="J562" s="152">
        <f t="shared" si="273"/>
        <v>0</v>
      </c>
      <c r="K562" s="152">
        <f t="shared" si="273"/>
        <v>0</v>
      </c>
      <c r="L562" s="152">
        <f t="shared" si="273"/>
        <v>0</v>
      </c>
      <c r="M562" s="152">
        <f t="shared" si="273"/>
        <v>0</v>
      </c>
      <c r="N562" s="152">
        <f t="shared" si="273"/>
        <v>0</v>
      </c>
      <c r="O562" s="152">
        <f t="shared" si="273"/>
        <v>0</v>
      </c>
      <c r="P562" s="152">
        <f t="shared" si="273"/>
        <v>0</v>
      </c>
      <c r="Q562" s="152">
        <f t="shared" si="273"/>
        <v>0</v>
      </c>
      <c r="R562" s="152">
        <f t="shared" si="273"/>
        <v>0</v>
      </c>
      <c r="S562" s="152">
        <f t="shared" si="273"/>
        <v>0</v>
      </c>
      <c r="T562" s="152">
        <f t="shared" si="273"/>
        <v>0</v>
      </c>
      <c r="U562" s="152">
        <f t="shared" si="273"/>
        <v>0</v>
      </c>
      <c r="V562" s="152">
        <f t="shared" si="273"/>
        <v>0</v>
      </c>
      <c r="W562" s="152">
        <f t="shared" si="273"/>
        <v>0</v>
      </c>
      <c r="X562" s="152">
        <f t="shared" si="273"/>
        <v>0</v>
      </c>
      <c r="Y562" s="152">
        <f t="shared" si="273"/>
        <v>0</v>
      </c>
      <c r="Z562" s="152">
        <f t="shared" si="273"/>
        <v>0</v>
      </c>
      <c r="AA562" s="152">
        <f t="shared" si="273"/>
        <v>0</v>
      </c>
      <c r="AB562" s="152">
        <f t="shared" si="273"/>
        <v>0</v>
      </c>
      <c r="AC562" s="152">
        <f t="shared" si="273"/>
        <v>0</v>
      </c>
      <c r="AD562" s="152">
        <f t="shared" si="273"/>
        <v>0</v>
      </c>
      <c r="AE562" s="152">
        <f t="shared" si="273"/>
        <v>0</v>
      </c>
      <c r="AF562" s="152">
        <f t="shared" si="273"/>
        <v>0</v>
      </c>
      <c r="AG562" s="152">
        <f t="shared" si="273"/>
        <v>0</v>
      </c>
      <c r="AH562" s="152">
        <f t="shared" si="273"/>
        <v>0</v>
      </c>
      <c r="AI562" s="152">
        <f t="shared" si="273"/>
        <v>0</v>
      </c>
      <c r="AJ562" s="152">
        <f t="shared" si="273"/>
        <v>0</v>
      </c>
      <c r="AK562" s="152">
        <f t="shared" si="273"/>
        <v>0</v>
      </c>
      <c r="AL562" s="152">
        <f t="shared" si="273"/>
        <v>0</v>
      </c>
      <c r="AM562" s="152">
        <f t="shared" si="273"/>
        <v>0</v>
      </c>
      <c r="AN562" s="152">
        <f t="shared" si="273"/>
        <v>0</v>
      </c>
      <c r="AO562" s="152">
        <f t="shared" si="273"/>
        <v>0</v>
      </c>
      <c r="AP562" s="152">
        <f t="shared" si="273"/>
        <v>0</v>
      </c>
    </row>
    <row r="563" spans="1:42" x14ac:dyDescent="0.2">
      <c r="A563" s="4">
        <f t="shared" si="271"/>
        <v>5</v>
      </c>
      <c r="B563" s="175">
        <f t="shared" si="268"/>
        <v>0</v>
      </c>
      <c r="C563" s="152">
        <f t="shared" ref="C563:AP563" si="274">LOOKUP(C551,$B$490:$AP$490,$B$491:$AP$491)*$B762/100</f>
        <v>0</v>
      </c>
      <c r="D563" s="152">
        <f t="shared" si="274"/>
        <v>0</v>
      </c>
      <c r="E563" s="152">
        <f t="shared" si="274"/>
        <v>0</v>
      </c>
      <c r="F563" s="152">
        <f t="shared" si="274"/>
        <v>0</v>
      </c>
      <c r="G563" s="152">
        <f t="shared" si="274"/>
        <v>0</v>
      </c>
      <c r="H563" s="152">
        <f t="shared" si="274"/>
        <v>0</v>
      </c>
      <c r="I563" s="152">
        <f t="shared" si="274"/>
        <v>0</v>
      </c>
      <c r="J563" s="152">
        <f t="shared" si="274"/>
        <v>0</v>
      </c>
      <c r="K563" s="152">
        <f t="shared" si="274"/>
        <v>0</v>
      </c>
      <c r="L563" s="152">
        <f t="shared" si="274"/>
        <v>0</v>
      </c>
      <c r="M563" s="152">
        <f t="shared" si="274"/>
        <v>0</v>
      </c>
      <c r="N563" s="152">
        <f t="shared" si="274"/>
        <v>0</v>
      </c>
      <c r="O563" s="152">
        <f t="shared" si="274"/>
        <v>0</v>
      </c>
      <c r="P563" s="152">
        <f t="shared" si="274"/>
        <v>0</v>
      </c>
      <c r="Q563" s="152">
        <f t="shared" si="274"/>
        <v>0</v>
      </c>
      <c r="R563" s="152">
        <f t="shared" si="274"/>
        <v>0</v>
      </c>
      <c r="S563" s="152">
        <f t="shared" si="274"/>
        <v>0</v>
      </c>
      <c r="T563" s="152">
        <f t="shared" si="274"/>
        <v>0</v>
      </c>
      <c r="U563" s="152">
        <f t="shared" si="274"/>
        <v>0</v>
      </c>
      <c r="V563" s="152">
        <f t="shared" si="274"/>
        <v>0</v>
      </c>
      <c r="W563" s="152">
        <f t="shared" si="274"/>
        <v>0</v>
      </c>
      <c r="X563" s="152">
        <f t="shared" si="274"/>
        <v>0</v>
      </c>
      <c r="Y563" s="152">
        <f t="shared" si="274"/>
        <v>0</v>
      </c>
      <c r="Z563" s="152">
        <f t="shared" si="274"/>
        <v>0</v>
      </c>
      <c r="AA563" s="152">
        <f t="shared" si="274"/>
        <v>0</v>
      </c>
      <c r="AB563" s="152">
        <f t="shared" si="274"/>
        <v>0</v>
      </c>
      <c r="AC563" s="152">
        <f t="shared" si="274"/>
        <v>0</v>
      </c>
      <c r="AD563" s="152">
        <f t="shared" si="274"/>
        <v>0</v>
      </c>
      <c r="AE563" s="152">
        <f t="shared" si="274"/>
        <v>0</v>
      </c>
      <c r="AF563" s="152">
        <f t="shared" si="274"/>
        <v>0</v>
      </c>
      <c r="AG563" s="152">
        <f t="shared" si="274"/>
        <v>0</v>
      </c>
      <c r="AH563" s="152">
        <f t="shared" si="274"/>
        <v>0</v>
      </c>
      <c r="AI563" s="152">
        <f t="shared" si="274"/>
        <v>0</v>
      </c>
      <c r="AJ563" s="152">
        <f t="shared" si="274"/>
        <v>0</v>
      </c>
      <c r="AK563" s="152">
        <f t="shared" si="274"/>
        <v>0</v>
      </c>
      <c r="AL563" s="152">
        <f t="shared" si="274"/>
        <v>0</v>
      </c>
      <c r="AM563" s="152">
        <f t="shared" si="274"/>
        <v>0</v>
      </c>
      <c r="AN563" s="152">
        <f t="shared" si="274"/>
        <v>0</v>
      </c>
      <c r="AO563" s="152">
        <f t="shared" si="274"/>
        <v>0</v>
      </c>
      <c r="AP563" s="152">
        <f t="shared" si="274"/>
        <v>0</v>
      </c>
    </row>
    <row r="564" spans="1:42" x14ac:dyDescent="0.2">
      <c r="A564" s="4">
        <f t="shared" si="271"/>
        <v>6</v>
      </c>
      <c r="B564" s="175">
        <f t="shared" si="268"/>
        <v>0</v>
      </c>
      <c r="C564" s="152">
        <f t="shared" ref="C564:AP564" si="275">LOOKUP(C552,$B$490:$AP$490,$B$491:$AP$491)*$B763/100</f>
        <v>0</v>
      </c>
      <c r="D564" s="152">
        <f t="shared" si="275"/>
        <v>0</v>
      </c>
      <c r="E564" s="152">
        <f t="shared" si="275"/>
        <v>0</v>
      </c>
      <c r="F564" s="152">
        <f t="shared" si="275"/>
        <v>0</v>
      </c>
      <c r="G564" s="152">
        <f t="shared" si="275"/>
        <v>0</v>
      </c>
      <c r="H564" s="152">
        <f t="shared" si="275"/>
        <v>0</v>
      </c>
      <c r="I564" s="152">
        <f t="shared" si="275"/>
        <v>0</v>
      </c>
      <c r="J564" s="152">
        <f t="shared" si="275"/>
        <v>0</v>
      </c>
      <c r="K564" s="152">
        <f t="shared" si="275"/>
        <v>0</v>
      </c>
      <c r="L564" s="152">
        <f t="shared" si="275"/>
        <v>0</v>
      </c>
      <c r="M564" s="152">
        <f t="shared" si="275"/>
        <v>0</v>
      </c>
      <c r="N564" s="152">
        <f t="shared" si="275"/>
        <v>0</v>
      </c>
      <c r="O564" s="152">
        <f t="shared" si="275"/>
        <v>0</v>
      </c>
      <c r="P564" s="152">
        <f t="shared" si="275"/>
        <v>0</v>
      </c>
      <c r="Q564" s="152">
        <f t="shared" si="275"/>
        <v>0</v>
      </c>
      <c r="R564" s="152">
        <f t="shared" si="275"/>
        <v>0</v>
      </c>
      <c r="S564" s="152">
        <f t="shared" si="275"/>
        <v>0</v>
      </c>
      <c r="T564" s="152">
        <f t="shared" si="275"/>
        <v>0</v>
      </c>
      <c r="U564" s="152">
        <f t="shared" si="275"/>
        <v>0</v>
      </c>
      <c r="V564" s="152">
        <f t="shared" si="275"/>
        <v>0</v>
      </c>
      <c r="W564" s="152">
        <f t="shared" si="275"/>
        <v>0</v>
      </c>
      <c r="X564" s="152">
        <f t="shared" si="275"/>
        <v>0</v>
      </c>
      <c r="Y564" s="152">
        <f t="shared" si="275"/>
        <v>0</v>
      </c>
      <c r="Z564" s="152">
        <f t="shared" si="275"/>
        <v>0</v>
      </c>
      <c r="AA564" s="152">
        <f t="shared" si="275"/>
        <v>0</v>
      </c>
      <c r="AB564" s="152">
        <f t="shared" si="275"/>
        <v>0</v>
      </c>
      <c r="AC564" s="152">
        <f t="shared" si="275"/>
        <v>0</v>
      </c>
      <c r="AD564" s="152">
        <f t="shared" si="275"/>
        <v>0</v>
      </c>
      <c r="AE564" s="152">
        <f t="shared" si="275"/>
        <v>0</v>
      </c>
      <c r="AF564" s="152">
        <f t="shared" si="275"/>
        <v>0</v>
      </c>
      <c r="AG564" s="152">
        <f t="shared" si="275"/>
        <v>0</v>
      </c>
      <c r="AH564" s="152">
        <f t="shared" si="275"/>
        <v>0</v>
      </c>
      <c r="AI564" s="152">
        <f t="shared" si="275"/>
        <v>0</v>
      </c>
      <c r="AJ564" s="152">
        <f t="shared" si="275"/>
        <v>0</v>
      </c>
      <c r="AK564" s="152">
        <f t="shared" si="275"/>
        <v>0</v>
      </c>
      <c r="AL564" s="152">
        <f t="shared" si="275"/>
        <v>0</v>
      </c>
      <c r="AM564" s="152">
        <f t="shared" si="275"/>
        <v>0</v>
      </c>
      <c r="AN564" s="152">
        <f t="shared" si="275"/>
        <v>0</v>
      </c>
      <c r="AO564" s="152">
        <f t="shared" si="275"/>
        <v>0</v>
      </c>
      <c r="AP564" s="152">
        <f t="shared" si="275"/>
        <v>0</v>
      </c>
    </row>
    <row r="565" spans="1:42" x14ac:dyDescent="0.2">
      <c r="A565" s="4">
        <f t="shared" si="271"/>
        <v>7</v>
      </c>
      <c r="B565" s="175">
        <f t="shared" si="268"/>
        <v>0</v>
      </c>
      <c r="C565" s="152">
        <f t="shared" ref="C565:AP565" si="276">LOOKUP(C553,$B$490:$AP$490,$B$491:$AP$491)*$B764/100</f>
        <v>0</v>
      </c>
      <c r="D565" s="152">
        <f t="shared" si="276"/>
        <v>0</v>
      </c>
      <c r="E565" s="152">
        <f t="shared" si="276"/>
        <v>0</v>
      </c>
      <c r="F565" s="152">
        <f t="shared" si="276"/>
        <v>0</v>
      </c>
      <c r="G565" s="152">
        <f t="shared" si="276"/>
        <v>0</v>
      </c>
      <c r="H565" s="152">
        <f t="shared" si="276"/>
        <v>0</v>
      </c>
      <c r="I565" s="152">
        <f t="shared" si="276"/>
        <v>0</v>
      </c>
      <c r="J565" s="152">
        <f t="shared" si="276"/>
        <v>0</v>
      </c>
      <c r="K565" s="152">
        <f t="shared" si="276"/>
        <v>0</v>
      </c>
      <c r="L565" s="152">
        <f t="shared" si="276"/>
        <v>0</v>
      </c>
      <c r="M565" s="152">
        <f t="shared" si="276"/>
        <v>0</v>
      </c>
      <c r="N565" s="152">
        <f t="shared" si="276"/>
        <v>0</v>
      </c>
      <c r="O565" s="152">
        <f t="shared" si="276"/>
        <v>0</v>
      </c>
      <c r="P565" s="152">
        <f t="shared" si="276"/>
        <v>0</v>
      </c>
      <c r="Q565" s="152">
        <f t="shared" si="276"/>
        <v>0</v>
      </c>
      <c r="R565" s="152">
        <f t="shared" si="276"/>
        <v>0</v>
      </c>
      <c r="S565" s="152">
        <f t="shared" si="276"/>
        <v>0</v>
      </c>
      <c r="T565" s="152">
        <f t="shared" si="276"/>
        <v>0</v>
      </c>
      <c r="U565" s="152">
        <f t="shared" si="276"/>
        <v>0</v>
      </c>
      <c r="V565" s="152">
        <f t="shared" si="276"/>
        <v>0</v>
      </c>
      <c r="W565" s="152">
        <f t="shared" si="276"/>
        <v>0</v>
      </c>
      <c r="X565" s="152">
        <f t="shared" si="276"/>
        <v>0</v>
      </c>
      <c r="Y565" s="152">
        <f t="shared" si="276"/>
        <v>0</v>
      </c>
      <c r="Z565" s="152">
        <f t="shared" si="276"/>
        <v>0</v>
      </c>
      <c r="AA565" s="152">
        <f t="shared" si="276"/>
        <v>0</v>
      </c>
      <c r="AB565" s="152">
        <f t="shared" si="276"/>
        <v>0</v>
      </c>
      <c r="AC565" s="152">
        <f t="shared" si="276"/>
        <v>0</v>
      </c>
      <c r="AD565" s="152">
        <f t="shared" si="276"/>
        <v>0</v>
      </c>
      <c r="AE565" s="152">
        <f t="shared" si="276"/>
        <v>0</v>
      </c>
      <c r="AF565" s="152">
        <f t="shared" si="276"/>
        <v>0</v>
      </c>
      <c r="AG565" s="152">
        <f t="shared" si="276"/>
        <v>0</v>
      </c>
      <c r="AH565" s="152">
        <f t="shared" si="276"/>
        <v>0</v>
      </c>
      <c r="AI565" s="152">
        <f t="shared" si="276"/>
        <v>0</v>
      </c>
      <c r="AJ565" s="152">
        <f t="shared" si="276"/>
        <v>0</v>
      </c>
      <c r="AK565" s="152">
        <f t="shared" si="276"/>
        <v>0</v>
      </c>
      <c r="AL565" s="152">
        <f t="shared" si="276"/>
        <v>0</v>
      </c>
      <c r="AM565" s="152">
        <f t="shared" si="276"/>
        <v>0</v>
      </c>
      <c r="AN565" s="152">
        <f t="shared" si="276"/>
        <v>0</v>
      </c>
      <c r="AO565" s="152">
        <f t="shared" si="276"/>
        <v>0</v>
      </c>
      <c r="AP565" s="152">
        <f t="shared" si="276"/>
        <v>0</v>
      </c>
    </row>
    <row r="566" spans="1:42" x14ac:dyDescent="0.2">
      <c r="A566" s="4">
        <f t="shared" si="271"/>
        <v>8</v>
      </c>
      <c r="B566" s="175">
        <f t="shared" si="268"/>
        <v>0</v>
      </c>
      <c r="C566" s="152">
        <f t="shared" ref="C566:AP566" si="277">LOOKUP(C554,$B$490:$AP$490,$B$491:$AP$491)*$B765/100</f>
        <v>0</v>
      </c>
      <c r="D566" s="152">
        <f t="shared" si="277"/>
        <v>0</v>
      </c>
      <c r="E566" s="152">
        <f t="shared" si="277"/>
        <v>0</v>
      </c>
      <c r="F566" s="152">
        <f t="shared" si="277"/>
        <v>0</v>
      </c>
      <c r="G566" s="152">
        <f t="shared" si="277"/>
        <v>0</v>
      </c>
      <c r="H566" s="152">
        <f t="shared" si="277"/>
        <v>0</v>
      </c>
      <c r="I566" s="152">
        <f t="shared" si="277"/>
        <v>0</v>
      </c>
      <c r="J566" s="152">
        <f t="shared" si="277"/>
        <v>0</v>
      </c>
      <c r="K566" s="152">
        <f t="shared" si="277"/>
        <v>0</v>
      </c>
      <c r="L566" s="152">
        <f t="shared" si="277"/>
        <v>0</v>
      </c>
      <c r="M566" s="152">
        <f t="shared" si="277"/>
        <v>0</v>
      </c>
      <c r="N566" s="152">
        <f t="shared" si="277"/>
        <v>0</v>
      </c>
      <c r="O566" s="152">
        <f t="shared" si="277"/>
        <v>0</v>
      </c>
      <c r="P566" s="152">
        <f t="shared" si="277"/>
        <v>0</v>
      </c>
      <c r="Q566" s="152">
        <f t="shared" si="277"/>
        <v>0</v>
      </c>
      <c r="R566" s="152">
        <f t="shared" si="277"/>
        <v>0</v>
      </c>
      <c r="S566" s="152">
        <f t="shared" si="277"/>
        <v>0</v>
      </c>
      <c r="T566" s="152">
        <f t="shared" si="277"/>
        <v>0</v>
      </c>
      <c r="U566" s="152">
        <f t="shared" si="277"/>
        <v>0</v>
      </c>
      <c r="V566" s="152">
        <f t="shared" si="277"/>
        <v>0</v>
      </c>
      <c r="W566" s="152">
        <f t="shared" si="277"/>
        <v>0</v>
      </c>
      <c r="X566" s="152">
        <f t="shared" si="277"/>
        <v>0</v>
      </c>
      <c r="Y566" s="152">
        <f t="shared" si="277"/>
        <v>0</v>
      </c>
      <c r="Z566" s="152">
        <f t="shared" si="277"/>
        <v>0</v>
      </c>
      <c r="AA566" s="152">
        <f t="shared" si="277"/>
        <v>0</v>
      </c>
      <c r="AB566" s="152">
        <f t="shared" si="277"/>
        <v>0</v>
      </c>
      <c r="AC566" s="152">
        <f t="shared" si="277"/>
        <v>0</v>
      </c>
      <c r="AD566" s="152">
        <f t="shared" si="277"/>
        <v>0</v>
      </c>
      <c r="AE566" s="152">
        <f t="shared" si="277"/>
        <v>0</v>
      </c>
      <c r="AF566" s="152">
        <f t="shared" si="277"/>
        <v>0</v>
      </c>
      <c r="AG566" s="152">
        <f t="shared" si="277"/>
        <v>0</v>
      </c>
      <c r="AH566" s="152">
        <f t="shared" si="277"/>
        <v>0</v>
      </c>
      <c r="AI566" s="152">
        <f t="shared" si="277"/>
        <v>0</v>
      </c>
      <c r="AJ566" s="152">
        <f t="shared" si="277"/>
        <v>0</v>
      </c>
      <c r="AK566" s="152">
        <f t="shared" si="277"/>
        <v>0</v>
      </c>
      <c r="AL566" s="152">
        <f t="shared" si="277"/>
        <v>0</v>
      </c>
      <c r="AM566" s="152">
        <f t="shared" si="277"/>
        <v>0</v>
      </c>
      <c r="AN566" s="152">
        <f t="shared" si="277"/>
        <v>0</v>
      </c>
      <c r="AO566" s="152">
        <f t="shared" si="277"/>
        <v>0</v>
      </c>
      <c r="AP566" s="152">
        <f t="shared" si="277"/>
        <v>0</v>
      </c>
    </row>
    <row r="567" spans="1:42" x14ac:dyDescent="0.2">
      <c r="A567" s="4">
        <f>A566+1</f>
        <v>9</v>
      </c>
      <c r="B567" s="175">
        <f t="shared" si="268"/>
        <v>0</v>
      </c>
      <c r="C567" s="152">
        <f t="shared" ref="C567:AP567" si="278">LOOKUP(C555,$B$490:$AP$490,$B$491:$AP$491)*$B766/100</f>
        <v>0</v>
      </c>
      <c r="D567" s="152">
        <f t="shared" si="278"/>
        <v>0</v>
      </c>
      <c r="E567" s="152">
        <f t="shared" si="278"/>
        <v>0</v>
      </c>
      <c r="F567" s="152">
        <f t="shared" si="278"/>
        <v>0</v>
      </c>
      <c r="G567" s="152">
        <f t="shared" si="278"/>
        <v>0</v>
      </c>
      <c r="H567" s="152">
        <f t="shared" si="278"/>
        <v>0</v>
      </c>
      <c r="I567" s="152">
        <f t="shared" si="278"/>
        <v>0</v>
      </c>
      <c r="J567" s="152">
        <f t="shared" si="278"/>
        <v>0</v>
      </c>
      <c r="K567" s="152">
        <f t="shared" si="278"/>
        <v>0</v>
      </c>
      <c r="L567" s="152">
        <f t="shared" si="278"/>
        <v>0</v>
      </c>
      <c r="M567" s="152">
        <f t="shared" si="278"/>
        <v>0</v>
      </c>
      <c r="N567" s="152">
        <f t="shared" si="278"/>
        <v>0</v>
      </c>
      <c r="O567" s="152">
        <f t="shared" si="278"/>
        <v>0</v>
      </c>
      <c r="P567" s="152">
        <f t="shared" si="278"/>
        <v>0</v>
      </c>
      <c r="Q567" s="152">
        <f t="shared" si="278"/>
        <v>0</v>
      </c>
      <c r="R567" s="152">
        <f t="shared" si="278"/>
        <v>0</v>
      </c>
      <c r="S567" s="152">
        <f t="shared" si="278"/>
        <v>0</v>
      </c>
      <c r="T567" s="152">
        <f t="shared" si="278"/>
        <v>0</v>
      </c>
      <c r="U567" s="152">
        <f t="shared" si="278"/>
        <v>0</v>
      </c>
      <c r="V567" s="152">
        <f t="shared" si="278"/>
        <v>0</v>
      </c>
      <c r="W567" s="152">
        <f t="shared" si="278"/>
        <v>0</v>
      </c>
      <c r="X567" s="152">
        <f t="shared" si="278"/>
        <v>0</v>
      </c>
      <c r="Y567" s="152">
        <f t="shared" si="278"/>
        <v>0</v>
      </c>
      <c r="Z567" s="152">
        <f t="shared" si="278"/>
        <v>0</v>
      </c>
      <c r="AA567" s="152">
        <f t="shared" si="278"/>
        <v>0</v>
      </c>
      <c r="AB567" s="152">
        <f t="shared" si="278"/>
        <v>0</v>
      </c>
      <c r="AC567" s="152">
        <f t="shared" si="278"/>
        <v>0</v>
      </c>
      <c r="AD567" s="152">
        <f t="shared" si="278"/>
        <v>0</v>
      </c>
      <c r="AE567" s="152">
        <f t="shared" si="278"/>
        <v>0</v>
      </c>
      <c r="AF567" s="152">
        <f t="shared" si="278"/>
        <v>0</v>
      </c>
      <c r="AG567" s="152">
        <f t="shared" si="278"/>
        <v>0</v>
      </c>
      <c r="AH567" s="152">
        <f t="shared" si="278"/>
        <v>0</v>
      </c>
      <c r="AI567" s="152">
        <f t="shared" si="278"/>
        <v>0</v>
      </c>
      <c r="AJ567" s="152">
        <f t="shared" si="278"/>
        <v>0</v>
      </c>
      <c r="AK567" s="152">
        <f t="shared" si="278"/>
        <v>0</v>
      </c>
      <c r="AL567" s="152">
        <f t="shared" si="278"/>
        <v>0</v>
      </c>
      <c r="AM567" s="152">
        <f t="shared" si="278"/>
        <v>0</v>
      </c>
      <c r="AN567" s="152">
        <f t="shared" si="278"/>
        <v>0</v>
      </c>
      <c r="AO567" s="152">
        <f t="shared" si="278"/>
        <v>0</v>
      </c>
      <c r="AP567" s="152">
        <f t="shared" si="278"/>
        <v>0</v>
      </c>
    </row>
    <row r="568" spans="1:42" x14ac:dyDescent="0.2">
      <c r="A568" s="4">
        <f t="shared" ref="A568" si="279">A567+1</f>
        <v>10</v>
      </c>
      <c r="B568" s="175">
        <f t="shared" si="268"/>
        <v>0</v>
      </c>
      <c r="C568" s="171">
        <f t="shared" ref="C568:AP568" si="280">LOOKUP(C556,$B$490:$AP$490,$B$491:$AP$491)*$B767/100</f>
        <v>0</v>
      </c>
      <c r="D568" s="153">
        <f t="shared" si="280"/>
        <v>0</v>
      </c>
      <c r="E568" s="153">
        <f t="shared" si="280"/>
        <v>0</v>
      </c>
      <c r="F568" s="153">
        <f t="shared" si="280"/>
        <v>0</v>
      </c>
      <c r="G568" s="153">
        <f t="shared" si="280"/>
        <v>0</v>
      </c>
      <c r="H568" s="153">
        <f t="shared" si="280"/>
        <v>0</v>
      </c>
      <c r="I568" s="153">
        <f t="shared" si="280"/>
        <v>0</v>
      </c>
      <c r="J568" s="153">
        <f t="shared" si="280"/>
        <v>0</v>
      </c>
      <c r="K568" s="153">
        <f t="shared" si="280"/>
        <v>0</v>
      </c>
      <c r="L568" s="153">
        <f t="shared" si="280"/>
        <v>0</v>
      </c>
      <c r="M568" s="153">
        <f t="shared" si="280"/>
        <v>0</v>
      </c>
      <c r="N568" s="153">
        <f t="shared" si="280"/>
        <v>0</v>
      </c>
      <c r="O568" s="153">
        <f t="shared" si="280"/>
        <v>0</v>
      </c>
      <c r="P568" s="153">
        <f t="shared" si="280"/>
        <v>0</v>
      </c>
      <c r="Q568" s="153">
        <f t="shared" si="280"/>
        <v>0</v>
      </c>
      <c r="R568" s="153">
        <f t="shared" si="280"/>
        <v>0</v>
      </c>
      <c r="S568" s="153">
        <f t="shared" si="280"/>
        <v>0</v>
      </c>
      <c r="T568" s="153">
        <f t="shared" si="280"/>
        <v>0</v>
      </c>
      <c r="U568" s="153">
        <f t="shared" si="280"/>
        <v>0</v>
      </c>
      <c r="V568" s="153">
        <f t="shared" si="280"/>
        <v>0</v>
      </c>
      <c r="W568" s="153">
        <f t="shared" si="280"/>
        <v>0</v>
      </c>
      <c r="X568" s="153">
        <f t="shared" si="280"/>
        <v>0</v>
      </c>
      <c r="Y568" s="153">
        <f t="shared" si="280"/>
        <v>0</v>
      </c>
      <c r="Z568" s="153">
        <f t="shared" si="280"/>
        <v>0</v>
      </c>
      <c r="AA568" s="153">
        <f t="shared" si="280"/>
        <v>0</v>
      </c>
      <c r="AB568" s="153">
        <f t="shared" si="280"/>
        <v>0</v>
      </c>
      <c r="AC568" s="153">
        <f t="shared" si="280"/>
        <v>0</v>
      </c>
      <c r="AD568" s="153">
        <f t="shared" si="280"/>
        <v>0</v>
      </c>
      <c r="AE568" s="153">
        <f t="shared" si="280"/>
        <v>0</v>
      </c>
      <c r="AF568" s="153">
        <f t="shared" si="280"/>
        <v>0</v>
      </c>
      <c r="AG568" s="153">
        <f t="shared" si="280"/>
        <v>0</v>
      </c>
      <c r="AH568" s="153">
        <f t="shared" si="280"/>
        <v>0</v>
      </c>
      <c r="AI568" s="153">
        <f t="shared" si="280"/>
        <v>0</v>
      </c>
      <c r="AJ568" s="153">
        <f t="shared" si="280"/>
        <v>0</v>
      </c>
      <c r="AK568" s="153">
        <f t="shared" si="280"/>
        <v>0</v>
      </c>
      <c r="AL568" s="153">
        <f t="shared" si="280"/>
        <v>0</v>
      </c>
      <c r="AM568" s="153">
        <f t="shared" si="280"/>
        <v>0</v>
      </c>
      <c r="AN568" s="153">
        <f t="shared" si="280"/>
        <v>0</v>
      </c>
      <c r="AO568" s="153">
        <f t="shared" si="280"/>
        <v>0</v>
      </c>
      <c r="AP568" s="153">
        <f t="shared" si="280"/>
        <v>0</v>
      </c>
    </row>
    <row r="569" spans="1:42" x14ac:dyDescent="0.2">
      <c r="A569" s="24" t="s">
        <v>13</v>
      </c>
      <c r="B569" s="14"/>
      <c r="C569" s="152">
        <f>SUM(C559:C568)</f>
        <v>0</v>
      </c>
      <c r="D569" s="152">
        <f t="shared" ref="D569:AP569" si="281">SUM(D559:D568)</f>
        <v>0</v>
      </c>
      <c r="E569" s="152">
        <f t="shared" si="281"/>
        <v>0</v>
      </c>
      <c r="F569" s="152">
        <f t="shared" si="281"/>
        <v>0</v>
      </c>
      <c r="G569" s="152">
        <f t="shared" si="281"/>
        <v>0</v>
      </c>
      <c r="H569" s="152">
        <f t="shared" si="281"/>
        <v>0</v>
      </c>
      <c r="I569" s="152">
        <f t="shared" si="281"/>
        <v>0</v>
      </c>
      <c r="J569" s="152">
        <f t="shared" si="281"/>
        <v>0</v>
      </c>
      <c r="K569" s="152">
        <f t="shared" si="281"/>
        <v>0</v>
      </c>
      <c r="L569" s="152">
        <f t="shared" si="281"/>
        <v>0</v>
      </c>
      <c r="M569" s="152">
        <f t="shared" si="281"/>
        <v>0</v>
      </c>
      <c r="N569" s="152">
        <f t="shared" si="281"/>
        <v>0</v>
      </c>
      <c r="O569" s="152">
        <f t="shared" si="281"/>
        <v>0</v>
      </c>
      <c r="P569" s="152">
        <f t="shared" si="281"/>
        <v>0</v>
      </c>
      <c r="Q569" s="152">
        <f t="shared" si="281"/>
        <v>0</v>
      </c>
      <c r="R569" s="152">
        <f t="shared" si="281"/>
        <v>0</v>
      </c>
      <c r="S569" s="152">
        <f t="shared" si="281"/>
        <v>0</v>
      </c>
      <c r="T569" s="152">
        <f t="shared" si="281"/>
        <v>0</v>
      </c>
      <c r="U569" s="152">
        <f t="shared" si="281"/>
        <v>0</v>
      </c>
      <c r="V569" s="152">
        <f t="shared" si="281"/>
        <v>0</v>
      </c>
      <c r="W569" s="152">
        <f t="shared" si="281"/>
        <v>0</v>
      </c>
      <c r="X569" s="152">
        <f t="shared" si="281"/>
        <v>0</v>
      </c>
      <c r="Y569" s="152">
        <f t="shared" si="281"/>
        <v>0</v>
      </c>
      <c r="Z569" s="152">
        <f t="shared" si="281"/>
        <v>0</v>
      </c>
      <c r="AA569" s="152">
        <f t="shared" si="281"/>
        <v>0</v>
      </c>
      <c r="AB569" s="152">
        <f t="shared" si="281"/>
        <v>0</v>
      </c>
      <c r="AC569" s="152">
        <f t="shared" si="281"/>
        <v>0</v>
      </c>
      <c r="AD569" s="152">
        <f t="shared" si="281"/>
        <v>0</v>
      </c>
      <c r="AE569" s="152">
        <f t="shared" si="281"/>
        <v>0</v>
      </c>
      <c r="AF569" s="152">
        <f t="shared" si="281"/>
        <v>0</v>
      </c>
      <c r="AG569" s="152">
        <f t="shared" si="281"/>
        <v>0</v>
      </c>
      <c r="AH569" s="152">
        <f t="shared" si="281"/>
        <v>0</v>
      </c>
      <c r="AI569" s="152">
        <f t="shared" si="281"/>
        <v>0</v>
      </c>
      <c r="AJ569" s="152">
        <f t="shared" si="281"/>
        <v>0</v>
      </c>
      <c r="AK569" s="152">
        <f t="shared" si="281"/>
        <v>0</v>
      </c>
      <c r="AL569" s="152">
        <f t="shared" si="281"/>
        <v>0</v>
      </c>
      <c r="AM569" s="152">
        <f t="shared" si="281"/>
        <v>0</v>
      </c>
      <c r="AN569" s="152">
        <f t="shared" si="281"/>
        <v>0</v>
      </c>
      <c r="AO569" s="152">
        <f t="shared" si="281"/>
        <v>0</v>
      </c>
      <c r="AP569" s="152">
        <f t="shared" si="281"/>
        <v>0</v>
      </c>
    </row>
    <row r="570" spans="1:42" x14ac:dyDescent="0.2">
      <c r="A570" s="24"/>
      <c r="B570" s="14"/>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c r="AA570" s="152"/>
      <c r="AB570" s="152"/>
      <c r="AC570" s="152"/>
      <c r="AD570" s="152"/>
      <c r="AE570" s="152"/>
      <c r="AF570" s="152"/>
      <c r="AG570" s="152"/>
      <c r="AH570" s="152"/>
      <c r="AI570" s="152"/>
      <c r="AJ570" s="152"/>
      <c r="AK570" s="152"/>
      <c r="AL570" s="152"/>
      <c r="AM570" s="152"/>
      <c r="AN570" s="152"/>
      <c r="AO570" s="152"/>
      <c r="AP570" s="152"/>
    </row>
    <row r="571" spans="1:42" x14ac:dyDescent="0.2">
      <c r="A571" s="80" t="s">
        <v>190</v>
      </c>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c r="AE571" s="210"/>
      <c r="AF571" s="210"/>
      <c r="AG571" s="210"/>
      <c r="AH571" s="210"/>
      <c r="AI571" s="210"/>
      <c r="AJ571" s="210"/>
      <c r="AK571" s="210"/>
      <c r="AL571" s="210"/>
      <c r="AM571" s="210"/>
      <c r="AN571" s="210"/>
      <c r="AO571" s="210"/>
      <c r="AP571" s="210"/>
    </row>
    <row r="572" spans="1:42" x14ac:dyDescent="0.2">
      <c r="A572" s="19" t="s">
        <v>442</v>
      </c>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c r="AA572" s="115"/>
      <c r="AB572" s="115"/>
      <c r="AC572" s="115"/>
      <c r="AD572" s="115"/>
      <c r="AE572" s="115"/>
      <c r="AF572" s="115"/>
      <c r="AG572" s="115"/>
      <c r="AH572" s="115"/>
      <c r="AI572" s="115"/>
      <c r="AJ572" s="115"/>
      <c r="AK572" s="115"/>
      <c r="AL572" s="115"/>
      <c r="AM572" s="115"/>
      <c r="AN572" s="115"/>
      <c r="AO572" s="115"/>
      <c r="AP572" s="115"/>
    </row>
    <row r="573" spans="1:42" x14ac:dyDescent="0.2">
      <c r="A573" s="17" t="s">
        <v>5</v>
      </c>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c r="AA573" s="115"/>
      <c r="AB573" s="115"/>
      <c r="AC573" s="115"/>
      <c r="AD573" s="115"/>
      <c r="AE573" s="115"/>
      <c r="AF573" s="115"/>
      <c r="AG573" s="115"/>
      <c r="AH573" s="115"/>
      <c r="AI573" s="115"/>
      <c r="AJ573" s="115"/>
      <c r="AK573" s="115"/>
      <c r="AL573" s="115"/>
      <c r="AM573" s="115"/>
      <c r="AN573" s="115"/>
      <c r="AO573" s="115"/>
      <c r="AP573" s="115"/>
    </row>
    <row r="574" spans="1:42" x14ac:dyDescent="0.2">
      <c r="A574" s="84" t="s">
        <v>443</v>
      </c>
      <c r="B574" s="115"/>
      <c r="C574" s="115">
        <f t="array" ref="C574:AP574">Inputs!D183:AQ183</f>
        <v>0</v>
      </c>
      <c r="D574" s="115">
        <v>0</v>
      </c>
      <c r="E574" s="115">
        <v>0</v>
      </c>
      <c r="F574" s="115">
        <v>0</v>
      </c>
      <c r="G574" s="115">
        <v>0</v>
      </c>
      <c r="H574" s="115">
        <v>0</v>
      </c>
      <c r="I574" s="115">
        <v>0</v>
      </c>
      <c r="J574" s="115">
        <v>0</v>
      </c>
      <c r="K574" s="115">
        <v>0</v>
      </c>
      <c r="L574" s="115">
        <v>0</v>
      </c>
      <c r="M574" s="115">
        <v>0</v>
      </c>
      <c r="N574" s="115">
        <v>0</v>
      </c>
      <c r="O574" s="115">
        <v>0</v>
      </c>
      <c r="P574" s="115">
        <v>0</v>
      </c>
      <c r="Q574" s="115">
        <v>0</v>
      </c>
      <c r="R574" s="115">
        <v>0</v>
      </c>
      <c r="S574" s="115">
        <v>0</v>
      </c>
      <c r="T574" s="115">
        <v>0</v>
      </c>
      <c r="U574" s="115">
        <v>0</v>
      </c>
      <c r="V574" s="115">
        <v>0</v>
      </c>
      <c r="W574" s="115">
        <v>0</v>
      </c>
      <c r="X574" s="115">
        <v>0</v>
      </c>
      <c r="Y574" s="115">
        <v>0</v>
      </c>
      <c r="Z574" s="115">
        <v>0</v>
      </c>
      <c r="AA574" s="115">
        <v>0</v>
      </c>
      <c r="AB574" s="115">
        <v>0</v>
      </c>
      <c r="AC574" s="115">
        <v>0</v>
      </c>
      <c r="AD574" s="115">
        <v>0</v>
      </c>
      <c r="AE574" s="115">
        <v>0</v>
      </c>
      <c r="AF574" s="115">
        <v>0</v>
      </c>
      <c r="AG574" s="115">
        <v>0</v>
      </c>
      <c r="AH574" s="115">
        <v>0</v>
      </c>
      <c r="AI574" s="115">
        <v>0</v>
      </c>
      <c r="AJ574" s="115">
        <v>0</v>
      </c>
      <c r="AK574" s="115">
        <v>0</v>
      </c>
      <c r="AL574" s="115">
        <v>0</v>
      </c>
      <c r="AM574" s="115">
        <v>0</v>
      </c>
      <c r="AN574" s="115">
        <v>0</v>
      </c>
      <c r="AO574" s="115">
        <v>0</v>
      </c>
      <c r="AP574" s="115">
        <v>0</v>
      </c>
    </row>
    <row r="575" spans="1:42" x14ac:dyDescent="0.2">
      <c r="A575" s="84" t="s">
        <v>444</v>
      </c>
      <c r="B575" s="115"/>
      <c r="C575" s="115">
        <f t="array" ref="C575:AP575">Inputs!D186:AQ186</f>
        <v>0</v>
      </c>
      <c r="D575" s="115">
        <v>0</v>
      </c>
      <c r="E575" s="115">
        <v>0</v>
      </c>
      <c r="F575" s="115">
        <v>0</v>
      </c>
      <c r="G575" s="115">
        <v>0</v>
      </c>
      <c r="H575" s="115">
        <v>0</v>
      </c>
      <c r="I575" s="115">
        <v>0</v>
      </c>
      <c r="J575" s="115">
        <v>0</v>
      </c>
      <c r="K575" s="115">
        <v>0</v>
      </c>
      <c r="L575" s="115">
        <v>0</v>
      </c>
      <c r="M575" s="115">
        <v>0</v>
      </c>
      <c r="N575" s="115">
        <v>0</v>
      </c>
      <c r="O575" s="115">
        <v>0</v>
      </c>
      <c r="P575" s="115">
        <v>0</v>
      </c>
      <c r="Q575" s="115">
        <v>0</v>
      </c>
      <c r="R575" s="115">
        <v>0</v>
      </c>
      <c r="S575" s="115">
        <v>0</v>
      </c>
      <c r="T575" s="115">
        <v>0</v>
      </c>
      <c r="U575" s="115">
        <v>0</v>
      </c>
      <c r="V575" s="115">
        <v>0</v>
      </c>
      <c r="W575" s="115">
        <v>0</v>
      </c>
      <c r="X575" s="115">
        <v>0</v>
      </c>
      <c r="Y575" s="115">
        <v>0</v>
      </c>
      <c r="Z575" s="115">
        <v>0</v>
      </c>
      <c r="AA575" s="115">
        <v>0</v>
      </c>
      <c r="AB575" s="115">
        <v>0</v>
      </c>
      <c r="AC575" s="115">
        <v>0</v>
      </c>
      <c r="AD575" s="115">
        <v>0</v>
      </c>
      <c r="AE575" s="115">
        <v>0</v>
      </c>
      <c r="AF575" s="115">
        <v>0</v>
      </c>
      <c r="AG575" s="115">
        <v>0</v>
      </c>
      <c r="AH575" s="115">
        <v>0</v>
      </c>
      <c r="AI575" s="115">
        <v>0</v>
      </c>
      <c r="AJ575" s="115">
        <v>0</v>
      </c>
      <c r="AK575" s="115">
        <v>0</v>
      </c>
      <c r="AL575" s="115">
        <v>0</v>
      </c>
      <c r="AM575" s="115">
        <v>0</v>
      </c>
      <c r="AN575" s="115">
        <v>0</v>
      </c>
      <c r="AO575" s="115">
        <v>0</v>
      </c>
      <c r="AP575" s="115">
        <v>0</v>
      </c>
    </row>
    <row r="576" spans="1:42" x14ac:dyDescent="0.2">
      <c r="A576" s="21" t="s">
        <v>445</v>
      </c>
      <c r="B576" s="327"/>
      <c r="C576" s="327">
        <f t="array" ref="C576:AP576">Inputs!D187:AQ187</f>
        <v>0</v>
      </c>
      <c r="D576" s="327">
        <v>0</v>
      </c>
      <c r="E576" s="327">
        <v>0</v>
      </c>
      <c r="F576" s="327">
        <v>0</v>
      </c>
      <c r="G576" s="327">
        <v>0</v>
      </c>
      <c r="H576" s="327">
        <v>0</v>
      </c>
      <c r="I576" s="327">
        <v>0</v>
      </c>
      <c r="J576" s="327">
        <v>0</v>
      </c>
      <c r="K576" s="327">
        <v>0</v>
      </c>
      <c r="L576" s="327">
        <v>0</v>
      </c>
      <c r="M576" s="327">
        <v>0</v>
      </c>
      <c r="N576" s="327">
        <v>0</v>
      </c>
      <c r="O576" s="327">
        <v>0</v>
      </c>
      <c r="P576" s="327">
        <v>0</v>
      </c>
      <c r="Q576" s="327">
        <v>0</v>
      </c>
      <c r="R576" s="327">
        <v>0</v>
      </c>
      <c r="S576" s="327">
        <v>0</v>
      </c>
      <c r="T576" s="327">
        <v>0</v>
      </c>
      <c r="U576" s="327">
        <v>0</v>
      </c>
      <c r="V576" s="327">
        <v>0</v>
      </c>
      <c r="W576" s="327">
        <v>0</v>
      </c>
      <c r="X576" s="327">
        <v>0</v>
      </c>
      <c r="Y576" s="327">
        <v>0</v>
      </c>
      <c r="Z576" s="327">
        <v>0</v>
      </c>
      <c r="AA576" s="327">
        <v>0</v>
      </c>
      <c r="AB576" s="327">
        <v>0</v>
      </c>
      <c r="AC576" s="327">
        <v>0</v>
      </c>
      <c r="AD576" s="327">
        <v>0</v>
      </c>
      <c r="AE576" s="327">
        <v>0</v>
      </c>
      <c r="AF576" s="327">
        <v>0</v>
      </c>
      <c r="AG576" s="327">
        <v>0</v>
      </c>
      <c r="AH576" s="327">
        <v>0</v>
      </c>
      <c r="AI576" s="327">
        <v>0</v>
      </c>
      <c r="AJ576" s="327">
        <v>0</v>
      </c>
      <c r="AK576" s="327">
        <v>0</v>
      </c>
      <c r="AL576" s="327">
        <v>0</v>
      </c>
      <c r="AM576" s="327">
        <v>0</v>
      </c>
      <c r="AN576" s="327">
        <v>0</v>
      </c>
      <c r="AO576" s="327">
        <v>0</v>
      </c>
      <c r="AP576" s="327">
        <v>0</v>
      </c>
    </row>
    <row r="577" spans="1:42" x14ac:dyDescent="0.2">
      <c r="A577" s="21" t="s">
        <v>446</v>
      </c>
      <c r="B577" s="115"/>
      <c r="C577" s="115">
        <f t="shared" ref="C577:AP577" si="282">MIN(C$576,C$575/100*$G$305)</f>
        <v>0</v>
      </c>
      <c r="D577" s="115">
        <f t="shared" si="282"/>
        <v>0</v>
      </c>
      <c r="E577" s="115">
        <f t="shared" si="282"/>
        <v>0</v>
      </c>
      <c r="F577" s="115">
        <f t="shared" si="282"/>
        <v>0</v>
      </c>
      <c r="G577" s="115">
        <f t="shared" si="282"/>
        <v>0</v>
      </c>
      <c r="H577" s="115">
        <f t="shared" si="282"/>
        <v>0</v>
      </c>
      <c r="I577" s="115">
        <f t="shared" si="282"/>
        <v>0</v>
      </c>
      <c r="J577" s="115">
        <f t="shared" si="282"/>
        <v>0</v>
      </c>
      <c r="K577" s="115">
        <f t="shared" si="282"/>
        <v>0</v>
      </c>
      <c r="L577" s="115">
        <f t="shared" si="282"/>
        <v>0</v>
      </c>
      <c r="M577" s="115">
        <f t="shared" si="282"/>
        <v>0</v>
      </c>
      <c r="N577" s="115">
        <f t="shared" si="282"/>
        <v>0</v>
      </c>
      <c r="O577" s="115">
        <f t="shared" si="282"/>
        <v>0</v>
      </c>
      <c r="P577" s="115">
        <f t="shared" si="282"/>
        <v>0</v>
      </c>
      <c r="Q577" s="115">
        <f t="shared" si="282"/>
        <v>0</v>
      </c>
      <c r="R577" s="115">
        <f t="shared" si="282"/>
        <v>0</v>
      </c>
      <c r="S577" s="115">
        <f t="shared" si="282"/>
        <v>0</v>
      </c>
      <c r="T577" s="115">
        <f t="shared" si="282"/>
        <v>0</v>
      </c>
      <c r="U577" s="115">
        <f t="shared" si="282"/>
        <v>0</v>
      </c>
      <c r="V577" s="115">
        <f t="shared" si="282"/>
        <v>0</v>
      </c>
      <c r="W577" s="115">
        <f t="shared" si="282"/>
        <v>0</v>
      </c>
      <c r="X577" s="115">
        <f t="shared" si="282"/>
        <v>0</v>
      </c>
      <c r="Y577" s="115">
        <f t="shared" si="282"/>
        <v>0</v>
      </c>
      <c r="Z577" s="115">
        <f t="shared" si="282"/>
        <v>0</v>
      </c>
      <c r="AA577" s="115">
        <f t="shared" si="282"/>
        <v>0</v>
      </c>
      <c r="AB577" s="115">
        <f t="shared" si="282"/>
        <v>0</v>
      </c>
      <c r="AC577" s="115">
        <f t="shared" si="282"/>
        <v>0</v>
      </c>
      <c r="AD577" s="115">
        <f t="shared" si="282"/>
        <v>0</v>
      </c>
      <c r="AE577" s="115">
        <f t="shared" si="282"/>
        <v>0</v>
      </c>
      <c r="AF577" s="115">
        <f t="shared" si="282"/>
        <v>0</v>
      </c>
      <c r="AG577" s="115">
        <f t="shared" si="282"/>
        <v>0</v>
      </c>
      <c r="AH577" s="115">
        <f t="shared" si="282"/>
        <v>0</v>
      </c>
      <c r="AI577" s="115">
        <f t="shared" si="282"/>
        <v>0</v>
      </c>
      <c r="AJ577" s="115">
        <f t="shared" si="282"/>
        <v>0</v>
      </c>
      <c r="AK577" s="115">
        <f t="shared" si="282"/>
        <v>0</v>
      </c>
      <c r="AL577" s="115">
        <f t="shared" si="282"/>
        <v>0</v>
      </c>
      <c r="AM577" s="115">
        <f t="shared" si="282"/>
        <v>0</v>
      </c>
      <c r="AN577" s="115">
        <f t="shared" si="282"/>
        <v>0</v>
      </c>
      <c r="AO577" s="115">
        <f t="shared" si="282"/>
        <v>0</v>
      </c>
      <c r="AP577" s="115">
        <f t="shared" si="282"/>
        <v>0</v>
      </c>
    </row>
    <row r="578" spans="1:42" x14ac:dyDescent="0.2">
      <c r="A578" s="84" t="s">
        <v>13</v>
      </c>
      <c r="B578" s="115"/>
      <c r="C578" s="115">
        <f>C$574+C$577</f>
        <v>0</v>
      </c>
      <c r="D578" s="115">
        <f t="shared" ref="D578:AP578" si="283">D$574+D$577</f>
        <v>0</v>
      </c>
      <c r="E578" s="115">
        <f t="shared" si="283"/>
        <v>0</v>
      </c>
      <c r="F578" s="115">
        <f t="shared" si="283"/>
        <v>0</v>
      </c>
      <c r="G578" s="115">
        <f t="shared" si="283"/>
        <v>0</v>
      </c>
      <c r="H578" s="115">
        <f t="shared" si="283"/>
        <v>0</v>
      </c>
      <c r="I578" s="115">
        <f t="shared" si="283"/>
        <v>0</v>
      </c>
      <c r="J578" s="115">
        <f t="shared" si="283"/>
        <v>0</v>
      </c>
      <c r="K578" s="115">
        <f t="shared" si="283"/>
        <v>0</v>
      </c>
      <c r="L578" s="115">
        <f t="shared" si="283"/>
        <v>0</v>
      </c>
      <c r="M578" s="115">
        <f t="shared" si="283"/>
        <v>0</v>
      </c>
      <c r="N578" s="115">
        <f t="shared" si="283"/>
        <v>0</v>
      </c>
      <c r="O578" s="115">
        <f t="shared" si="283"/>
        <v>0</v>
      </c>
      <c r="P578" s="115">
        <f t="shared" si="283"/>
        <v>0</v>
      </c>
      <c r="Q578" s="115">
        <f t="shared" si="283"/>
        <v>0</v>
      </c>
      <c r="R578" s="115">
        <f t="shared" si="283"/>
        <v>0</v>
      </c>
      <c r="S578" s="115">
        <f t="shared" si="283"/>
        <v>0</v>
      </c>
      <c r="T578" s="115">
        <f t="shared" si="283"/>
        <v>0</v>
      </c>
      <c r="U578" s="115">
        <f t="shared" si="283"/>
        <v>0</v>
      </c>
      <c r="V578" s="115">
        <f t="shared" si="283"/>
        <v>0</v>
      </c>
      <c r="W578" s="115">
        <f t="shared" si="283"/>
        <v>0</v>
      </c>
      <c r="X578" s="115">
        <f t="shared" si="283"/>
        <v>0</v>
      </c>
      <c r="Y578" s="115">
        <f t="shared" si="283"/>
        <v>0</v>
      </c>
      <c r="Z578" s="115">
        <f t="shared" si="283"/>
        <v>0</v>
      </c>
      <c r="AA578" s="115">
        <f t="shared" si="283"/>
        <v>0</v>
      </c>
      <c r="AB578" s="115">
        <f t="shared" si="283"/>
        <v>0</v>
      </c>
      <c r="AC578" s="115">
        <f t="shared" si="283"/>
        <v>0</v>
      </c>
      <c r="AD578" s="115">
        <f t="shared" si="283"/>
        <v>0</v>
      </c>
      <c r="AE578" s="115">
        <f t="shared" si="283"/>
        <v>0</v>
      </c>
      <c r="AF578" s="115">
        <f t="shared" si="283"/>
        <v>0</v>
      </c>
      <c r="AG578" s="115">
        <f t="shared" si="283"/>
        <v>0</v>
      </c>
      <c r="AH578" s="115">
        <f t="shared" si="283"/>
        <v>0</v>
      </c>
      <c r="AI578" s="115">
        <f t="shared" si="283"/>
        <v>0</v>
      </c>
      <c r="AJ578" s="115">
        <f t="shared" si="283"/>
        <v>0</v>
      </c>
      <c r="AK578" s="115">
        <f t="shared" si="283"/>
        <v>0</v>
      </c>
      <c r="AL578" s="115">
        <f t="shared" si="283"/>
        <v>0</v>
      </c>
      <c r="AM578" s="115">
        <f t="shared" si="283"/>
        <v>0</v>
      </c>
      <c r="AN578" s="115">
        <f t="shared" si="283"/>
        <v>0</v>
      </c>
      <c r="AO578" s="115">
        <f t="shared" si="283"/>
        <v>0</v>
      </c>
      <c r="AP578" s="115">
        <f t="shared" si="283"/>
        <v>0</v>
      </c>
    </row>
    <row r="579" spans="1:42" x14ac:dyDescent="0.2">
      <c r="A579" s="17" t="s">
        <v>4</v>
      </c>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row>
    <row r="580" spans="1:42" x14ac:dyDescent="0.2">
      <c r="A580" s="84" t="s">
        <v>443</v>
      </c>
      <c r="B580" s="115"/>
      <c r="C580" s="115">
        <f t="array" ref="C580:AP580">Inputs!D182:AQ182</f>
        <v>0</v>
      </c>
      <c r="D580" s="115">
        <v>0</v>
      </c>
      <c r="E580" s="115">
        <v>0</v>
      </c>
      <c r="F580" s="115">
        <v>0</v>
      </c>
      <c r="G580" s="115">
        <v>0</v>
      </c>
      <c r="H580" s="115">
        <v>0</v>
      </c>
      <c r="I580" s="115">
        <v>0</v>
      </c>
      <c r="J580" s="115">
        <v>0</v>
      </c>
      <c r="K580" s="115">
        <v>0</v>
      </c>
      <c r="L580" s="115">
        <v>0</v>
      </c>
      <c r="M580" s="115">
        <v>0</v>
      </c>
      <c r="N580" s="115">
        <v>0</v>
      </c>
      <c r="O580" s="115">
        <v>0</v>
      </c>
      <c r="P580" s="115">
        <v>0</v>
      </c>
      <c r="Q580" s="115">
        <v>0</v>
      </c>
      <c r="R580" s="115">
        <v>0</v>
      </c>
      <c r="S580" s="115">
        <v>0</v>
      </c>
      <c r="T580" s="115">
        <v>0</v>
      </c>
      <c r="U580" s="115">
        <v>0</v>
      </c>
      <c r="V580" s="115">
        <v>0</v>
      </c>
      <c r="W580" s="115">
        <v>0</v>
      </c>
      <c r="X580" s="115">
        <v>0</v>
      </c>
      <c r="Y580" s="115">
        <v>0</v>
      </c>
      <c r="Z580" s="115">
        <v>0</v>
      </c>
      <c r="AA580" s="115">
        <v>0</v>
      </c>
      <c r="AB580" s="115">
        <v>0</v>
      </c>
      <c r="AC580" s="115">
        <v>0</v>
      </c>
      <c r="AD580" s="115">
        <v>0</v>
      </c>
      <c r="AE580" s="115">
        <v>0</v>
      </c>
      <c r="AF580" s="115">
        <v>0</v>
      </c>
      <c r="AG580" s="115">
        <v>0</v>
      </c>
      <c r="AH580" s="115">
        <v>0</v>
      </c>
      <c r="AI580" s="115">
        <v>0</v>
      </c>
      <c r="AJ580" s="115">
        <v>0</v>
      </c>
      <c r="AK580" s="115">
        <v>0</v>
      </c>
      <c r="AL580" s="115">
        <v>0</v>
      </c>
      <c r="AM580" s="115">
        <v>0</v>
      </c>
      <c r="AN580" s="115">
        <v>0</v>
      </c>
      <c r="AO580" s="115">
        <v>0</v>
      </c>
      <c r="AP580" s="115">
        <v>0</v>
      </c>
    </row>
    <row r="581" spans="1:42" x14ac:dyDescent="0.2">
      <c r="A581" s="84" t="s">
        <v>447</v>
      </c>
      <c r="B581" s="115"/>
      <c r="C581" s="115">
        <f t="array" ref="C581:AP581">Inputs!D184:AQ184</f>
        <v>0</v>
      </c>
      <c r="D581" s="115">
        <v>0</v>
      </c>
      <c r="E581" s="115">
        <v>0</v>
      </c>
      <c r="F581" s="115">
        <v>0</v>
      </c>
      <c r="G581" s="115">
        <v>0</v>
      </c>
      <c r="H581" s="115">
        <v>0</v>
      </c>
      <c r="I581" s="115">
        <v>0</v>
      </c>
      <c r="J581" s="115">
        <v>0</v>
      </c>
      <c r="K581" s="115">
        <v>0</v>
      </c>
      <c r="L581" s="115">
        <v>0</v>
      </c>
      <c r="M581" s="115">
        <v>0</v>
      </c>
      <c r="N581" s="115">
        <v>0</v>
      </c>
      <c r="O581" s="115">
        <v>0</v>
      </c>
      <c r="P581" s="115">
        <v>0</v>
      </c>
      <c r="Q581" s="115">
        <v>0</v>
      </c>
      <c r="R581" s="115">
        <v>0</v>
      </c>
      <c r="S581" s="115">
        <v>0</v>
      </c>
      <c r="T581" s="115">
        <v>0</v>
      </c>
      <c r="U581" s="115">
        <v>0</v>
      </c>
      <c r="V581" s="115">
        <v>0</v>
      </c>
      <c r="W581" s="115">
        <v>0</v>
      </c>
      <c r="X581" s="115">
        <v>0</v>
      </c>
      <c r="Y581" s="115">
        <v>0</v>
      </c>
      <c r="Z581" s="115">
        <v>0</v>
      </c>
      <c r="AA581" s="115">
        <v>0</v>
      </c>
      <c r="AB581" s="115">
        <v>0</v>
      </c>
      <c r="AC581" s="115">
        <v>0</v>
      </c>
      <c r="AD581" s="115">
        <v>0</v>
      </c>
      <c r="AE581" s="115">
        <v>0</v>
      </c>
      <c r="AF581" s="115">
        <v>0</v>
      </c>
      <c r="AG581" s="115">
        <v>0</v>
      </c>
      <c r="AH581" s="115">
        <v>0</v>
      </c>
      <c r="AI581" s="115">
        <v>0</v>
      </c>
      <c r="AJ581" s="115">
        <v>0</v>
      </c>
      <c r="AK581" s="115">
        <v>0</v>
      </c>
      <c r="AL581" s="115">
        <v>0</v>
      </c>
      <c r="AM581" s="115">
        <v>0</v>
      </c>
      <c r="AN581" s="115">
        <v>0</v>
      </c>
      <c r="AO581" s="115">
        <v>0</v>
      </c>
      <c r="AP581" s="115">
        <v>0</v>
      </c>
    </row>
    <row r="582" spans="1:42" x14ac:dyDescent="0.2">
      <c r="A582" s="21" t="s">
        <v>445</v>
      </c>
      <c r="B582" s="327"/>
      <c r="C582" s="327">
        <f t="array" ref="C582:AP582">Inputs!D185:AQ185</f>
        <v>0</v>
      </c>
      <c r="D582" s="327">
        <v>0</v>
      </c>
      <c r="E582" s="327">
        <v>0</v>
      </c>
      <c r="F582" s="327">
        <v>0</v>
      </c>
      <c r="G582" s="327">
        <v>0</v>
      </c>
      <c r="H582" s="327">
        <v>0</v>
      </c>
      <c r="I582" s="327">
        <v>0</v>
      </c>
      <c r="J582" s="327">
        <v>0</v>
      </c>
      <c r="K582" s="327">
        <v>0</v>
      </c>
      <c r="L582" s="327">
        <v>0</v>
      </c>
      <c r="M582" s="327">
        <v>0</v>
      </c>
      <c r="N582" s="327">
        <v>0</v>
      </c>
      <c r="O582" s="327">
        <v>0</v>
      </c>
      <c r="P582" s="327">
        <v>0</v>
      </c>
      <c r="Q582" s="327">
        <v>0</v>
      </c>
      <c r="R582" s="327">
        <v>0</v>
      </c>
      <c r="S582" s="327">
        <v>0</v>
      </c>
      <c r="T582" s="327">
        <v>0</v>
      </c>
      <c r="U582" s="327">
        <v>0</v>
      </c>
      <c r="V582" s="327">
        <v>0</v>
      </c>
      <c r="W582" s="327">
        <v>0</v>
      </c>
      <c r="X582" s="327">
        <v>0</v>
      </c>
      <c r="Y582" s="327">
        <v>0</v>
      </c>
      <c r="Z582" s="327">
        <v>0</v>
      </c>
      <c r="AA582" s="327">
        <v>0</v>
      </c>
      <c r="AB582" s="327">
        <v>0</v>
      </c>
      <c r="AC582" s="327">
        <v>0</v>
      </c>
      <c r="AD582" s="327">
        <v>0</v>
      </c>
      <c r="AE582" s="327">
        <v>0</v>
      </c>
      <c r="AF582" s="327">
        <v>0</v>
      </c>
      <c r="AG582" s="327">
        <v>0</v>
      </c>
      <c r="AH582" s="327">
        <v>0</v>
      </c>
      <c r="AI582" s="327">
        <v>0</v>
      </c>
      <c r="AJ582" s="327">
        <v>0</v>
      </c>
      <c r="AK582" s="327">
        <v>0</v>
      </c>
      <c r="AL582" s="327">
        <v>0</v>
      </c>
      <c r="AM582" s="327">
        <v>0</v>
      </c>
      <c r="AN582" s="327">
        <v>0</v>
      </c>
      <c r="AO582" s="327">
        <v>0</v>
      </c>
      <c r="AP582" s="327">
        <v>0</v>
      </c>
    </row>
    <row r="583" spans="1:42" x14ac:dyDescent="0.2">
      <c r="A583" s="84" t="s">
        <v>446</v>
      </c>
      <c r="B583" s="115"/>
      <c r="C583" s="115">
        <f t="shared" ref="C583:AP583" si="284">MIN(C$582,C$581/100*$G$443)</f>
        <v>0</v>
      </c>
      <c r="D583" s="115">
        <f t="shared" si="284"/>
        <v>0</v>
      </c>
      <c r="E583" s="115">
        <f t="shared" si="284"/>
        <v>0</v>
      </c>
      <c r="F583" s="115">
        <f t="shared" si="284"/>
        <v>0</v>
      </c>
      <c r="G583" s="115">
        <f t="shared" si="284"/>
        <v>0</v>
      </c>
      <c r="H583" s="115">
        <f t="shared" si="284"/>
        <v>0</v>
      </c>
      <c r="I583" s="115">
        <f t="shared" si="284"/>
        <v>0</v>
      </c>
      <c r="J583" s="115">
        <f t="shared" si="284"/>
        <v>0</v>
      </c>
      <c r="K583" s="115">
        <f t="shared" si="284"/>
        <v>0</v>
      </c>
      <c r="L583" s="115">
        <f t="shared" si="284"/>
        <v>0</v>
      </c>
      <c r="M583" s="115">
        <f t="shared" si="284"/>
        <v>0</v>
      </c>
      <c r="N583" s="115">
        <f t="shared" si="284"/>
        <v>0</v>
      </c>
      <c r="O583" s="115">
        <f t="shared" si="284"/>
        <v>0</v>
      </c>
      <c r="P583" s="115">
        <f t="shared" si="284"/>
        <v>0</v>
      </c>
      <c r="Q583" s="115">
        <f t="shared" si="284"/>
        <v>0</v>
      </c>
      <c r="R583" s="115">
        <f t="shared" si="284"/>
        <v>0</v>
      </c>
      <c r="S583" s="115">
        <f t="shared" si="284"/>
        <v>0</v>
      </c>
      <c r="T583" s="115">
        <f t="shared" si="284"/>
        <v>0</v>
      </c>
      <c r="U583" s="115">
        <f t="shared" si="284"/>
        <v>0</v>
      </c>
      <c r="V583" s="115">
        <f t="shared" si="284"/>
        <v>0</v>
      </c>
      <c r="W583" s="115">
        <f t="shared" si="284"/>
        <v>0</v>
      </c>
      <c r="X583" s="115">
        <f t="shared" si="284"/>
        <v>0</v>
      </c>
      <c r="Y583" s="115">
        <f t="shared" si="284"/>
        <v>0</v>
      </c>
      <c r="Z583" s="115">
        <f t="shared" si="284"/>
        <v>0</v>
      </c>
      <c r="AA583" s="115">
        <f t="shared" si="284"/>
        <v>0</v>
      </c>
      <c r="AB583" s="115">
        <f t="shared" si="284"/>
        <v>0</v>
      </c>
      <c r="AC583" s="115">
        <f t="shared" si="284"/>
        <v>0</v>
      </c>
      <c r="AD583" s="115">
        <f t="shared" si="284"/>
        <v>0</v>
      </c>
      <c r="AE583" s="115">
        <f t="shared" si="284"/>
        <v>0</v>
      </c>
      <c r="AF583" s="115">
        <f t="shared" si="284"/>
        <v>0</v>
      </c>
      <c r="AG583" s="115">
        <f t="shared" si="284"/>
        <v>0</v>
      </c>
      <c r="AH583" s="115">
        <f t="shared" si="284"/>
        <v>0</v>
      </c>
      <c r="AI583" s="115">
        <f t="shared" si="284"/>
        <v>0</v>
      </c>
      <c r="AJ583" s="115">
        <f t="shared" si="284"/>
        <v>0</v>
      </c>
      <c r="AK583" s="115">
        <f t="shared" si="284"/>
        <v>0</v>
      </c>
      <c r="AL583" s="115">
        <f t="shared" si="284"/>
        <v>0</v>
      </c>
      <c r="AM583" s="115">
        <f t="shared" si="284"/>
        <v>0</v>
      </c>
      <c r="AN583" s="115">
        <f t="shared" si="284"/>
        <v>0</v>
      </c>
      <c r="AO583" s="115">
        <f t="shared" si="284"/>
        <v>0</v>
      </c>
      <c r="AP583" s="115">
        <f t="shared" si="284"/>
        <v>0</v>
      </c>
    </row>
    <row r="584" spans="1:42" x14ac:dyDescent="0.2">
      <c r="A584" s="84" t="s">
        <v>13</v>
      </c>
      <c r="B584" s="115"/>
      <c r="C584" s="115">
        <f>C$580+C$583</f>
        <v>0</v>
      </c>
      <c r="D584" s="115">
        <f t="shared" ref="D584:AP584" si="285">D$580+D$583</f>
        <v>0</v>
      </c>
      <c r="E584" s="115">
        <f t="shared" si="285"/>
        <v>0</v>
      </c>
      <c r="F584" s="115">
        <f t="shared" si="285"/>
        <v>0</v>
      </c>
      <c r="G584" s="115">
        <f t="shared" si="285"/>
        <v>0</v>
      </c>
      <c r="H584" s="115">
        <f t="shared" si="285"/>
        <v>0</v>
      </c>
      <c r="I584" s="115">
        <f t="shared" si="285"/>
        <v>0</v>
      </c>
      <c r="J584" s="115">
        <f t="shared" si="285"/>
        <v>0</v>
      </c>
      <c r="K584" s="115">
        <f t="shared" si="285"/>
        <v>0</v>
      </c>
      <c r="L584" s="115">
        <f t="shared" si="285"/>
        <v>0</v>
      </c>
      <c r="M584" s="115">
        <f t="shared" si="285"/>
        <v>0</v>
      </c>
      <c r="N584" s="115">
        <f t="shared" si="285"/>
        <v>0</v>
      </c>
      <c r="O584" s="115">
        <f t="shared" si="285"/>
        <v>0</v>
      </c>
      <c r="P584" s="115">
        <f t="shared" si="285"/>
        <v>0</v>
      </c>
      <c r="Q584" s="115">
        <f t="shared" si="285"/>
        <v>0</v>
      </c>
      <c r="R584" s="115">
        <f t="shared" si="285"/>
        <v>0</v>
      </c>
      <c r="S584" s="115">
        <f t="shared" si="285"/>
        <v>0</v>
      </c>
      <c r="T584" s="115">
        <f t="shared" si="285"/>
        <v>0</v>
      </c>
      <c r="U584" s="115">
        <f t="shared" si="285"/>
        <v>0</v>
      </c>
      <c r="V584" s="115">
        <f t="shared" si="285"/>
        <v>0</v>
      </c>
      <c r="W584" s="115">
        <f t="shared" si="285"/>
        <v>0</v>
      </c>
      <c r="X584" s="115">
        <f t="shared" si="285"/>
        <v>0</v>
      </c>
      <c r="Y584" s="115">
        <f t="shared" si="285"/>
        <v>0</v>
      </c>
      <c r="Z584" s="115">
        <f t="shared" si="285"/>
        <v>0</v>
      </c>
      <c r="AA584" s="115">
        <f t="shared" si="285"/>
        <v>0</v>
      </c>
      <c r="AB584" s="115">
        <f t="shared" si="285"/>
        <v>0</v>
      </c>
      <c r="AC584" s="115">
        <f t="shared" si="285"/>
        <v>0</v>
      </c>
      <c r="AD584" s="115">
        <f t="shared" si="285"/>
        <v>0</v>
      </c>
      <c r="AE584" s="115">
        <f t="shared" si="285"/>
        <v>0</v>
      </c>
      <c r="AF584" s="115">
        <f t="shared" si="285"/>
        <v>0</v>
      </c>
      <c r="AG584" s="115">
        <f t="shared" si="285"/>
        <v>0</v>
      </c>
      <c r="AH584" s="115">
        <f t="shared" si="285"/>
        <v>0</v>
      </c>
      <c r="AI584" s="115">
        <f t="shared" si="285"/>
        <v>0</v>
      </c>
      <c r="AJ584" s="115">
        <f t="shared" si="285"/>
        <v>0</v>
      </c>
      <c r="AK584" s="115">
        <f t="shared" si="285"/>
        <v>0</v>
      </c>
      <c r="AL584" s="115">
        <f t="shared" si="285"/>
        <v>0</v>
      </c>
      <c r="AM584" s="115">
        <f t="shared" si="285"/>
        <v>0</v>
      </c>
      <c r="AN584" s="115">
        <f t="shared" si="285"/>
        <v>0</v>
      </c>
      <c r="AO584" s="115">
        <f t="shared" si="285"/>
        <v>0</v>
      </c>
      <c r="AP584" s="115">
        <f t="shared" si="285"/>
        <v>0</v>
      </c>
    </row>
    <row r="585" spans="1:42" x14ac:dyDescent="0.2">
      <c r="A585" s="19"/>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row>
    <row r="586" spans="1:42" x14ac:dyDescent="0.2">
      <c r="A586" s="19" t="s">
        <v>57</v>
      </c>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row>
    <row r="587" spans="1:42" x14ac:dyDescent="0.2">
      <c r="A587" s="17" t="s">
        <v>5</v>
      </c>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c r="AA587" s="115"/>
      <c r="AB587" s="115"/>
      <c r="AC587" s="115"/>
      <c r="AD587" s="115"/>
      <c r="AE587" s="115"/>
      <c r="AF587" s="115"/>
      <c r="AG587" s="115"/>
      <c r="AH587" s="115"/>
      <c r="AI587" s="115"/>
      <c r="AJ587" s="115"/>
      <c r="AK587" s="115"/>
      <c r="AL587" s="115"/>
      <c r="AM587" s="115"/>
      <c r="AN587" s="115"/>
      <c r="AO587" s="115"/>
      <c r="AP587" s="115"/>
    </row>
    <row r="588" spans="1:42" x14ac:dyDescent="0.2">
      <c r="A588" s="21" t="s">
        <v>261</v>
      </c>
      <c r="C588" s="197">
        <f>IF(ptc_sta_amount="n/a",Inputs!D195,IF(C$2&lt;=ptc_sta_term,ptc_sta_amount*(1+ptc_sta_escal/100)^B$2,0))</f>
        <v>0</v>
      </c>
      <c r="D588" s="197">
        <f>IF(ptc_sta_amount="n/a",Inputs!E195,IF(D$2&lt;=ptc_sta_term,ptc_sta_amount*(1+ptc_sta_escal/100)^C$2,0))</f>
        <v>0</v>
      </c>
      <c r="E588" s="197">
        <f>IF(ptc_sta_amount="n/a",Inputs!F195,IF(E$2&lt;=ptc_sta_term,ptc_sta_amount*(1+ptc_sta_escal/100)^D$2,0))</f>
        <v>0</v>
      </c>
      <c r="F588" s="197">
        <f>IF(ptc_sta_amount="n/a",Inputs!G195,IF(F$2&lt;=ptc_sta_term,ptc_sta_amount*(1+ptc_sta_escal/100)^E$2,0))</f>
        <v>0</v>
      </c>
      <c r="G588" s="197">
        <f>IF(ptc_sta_amount="n/a",Inputs!H195,IF(G$2&lt;=ptc_sta_term,ptc_sta_amount*(1+ptc_sta_escal/100)^F$2,0))</f>
        <v>0</v>
      </c>
      <c r="H588" s="197">
        <f>IF(ptc_sta_amount="n/a",Inputs!I195,IF(H$2&lt;=ptc_sta_term,ptc_sta_amount*(1+ptc_sta_escal/100)^G$2,0))</f>
        <v>0</v>
      </c>
      <c r="I588" s="197">
        <f>IF(ptc_sta_amount="n/a",Inputs!J195,IF(I$2&lt;=ptc_sta_term,ptc_sta_amount*(1+ptc_sta_escal/100)^H$2,0))</f>
        <v>0</v>
      </c>
      <c r="J588" s="197">
        <f>IF(ptc_sta_amount="n/a",Inputs!K195,IF(J$2&lt;=ptc_sta_term,ptc_sta_amount*(1+ptc_sta_escal/100)^I$2,0))</f>
        <v>0</v>
      </c>
      <c r="K588" s="197">
        <f>IF(ptc_sta_amount="n/a",Inputs!L195,IF(K$2&lt;=ptc_sta_term,ptc_sta_amount*(1+ptc_sta_escal/100)^J$2,0))</f>
        <v>0</v>
      </c>
      <c r="L588" s="197">
        <f>IF(ptc_sta_amount="n/a",Inputs!M195,IF(L$2&lt;=ptc_sta_term,ptc_sta_amount*(1+ptc_sta_escal/100)^K$2,0))</f>
        <v>0</v>
      </c>
      <c r="M588" s="197">
        <f>IF(ptc_sta_amount="n/a",Inputs!N195,IF(M$2&lt;=ptc_sta_term,ptc_sta_amount*(1+ptc_sta_escal/100)^L$2,0))</f>
        <v>0</v>
      </c>
      <c r="N588" s="197">
        <f>IF(ptc_sta_amount="n/a",Inputs!O195,IF(N$2&lt;=ptc_sta_term,ptc_sta_amount*(1+ptc_sta_escal/100)^M$2,0))</f>
        <v>0</v>
      </c>
      <c r="O588" s="197">
        <f>IF(ptc_sta_amount="n/a",Inputs!P195,IF(O$2&lt;=ptc_sta_term,ptc_sta_amount*(1+ptc_sta_escal/100)^N$2,0))</f>
        <v>0</v>
      </c>
      <c r="P588" s="197">
        <f>IF(ptc_sta_amount="n/a",Inputs!Q195,IF(P$2&lt;=ptc_sta_term,ptc_sta_amount*(1+ptc_sta_escal/100)^O$2,0))</f>
        <v>0</v>
      </c>
      <c r="Q588" s="197">
        <f>IF(ptc_sta_amount="n/a",Inputs!R195,IF(Q$2&lt;=ptc_sta_term,ptc_sta_amount*(1+ptc_sta_escal/100)^P$2,0))</f>
        <v>0</v>
      </c>
      <c r="R588" s="197">
        <f>IF(ptc_sta_amount="n/a",Inputs!S195,IF(R$2&lt;=ptc_sta_term,ptc_sta_amount*(1+ptc_sta_escal/100)^Q$2,0))</f>
        <v>0</v>
      </c>
      <c r="S588" s="197">
        <f>IF(ptc_sta_amount="n/a",Inputs!T195,IF(S$2&lt;=ptc_sta_term,ptc_sta_amount*(1+ptc_sta_escal/100)^R$2,0))</f>
        <v>0</v>
      </c>
      <c r="T588" s="197">
        <f>IF(ptc_sta_amount="n/a",Inputs!U195,IF(T$2&lt;=ptc_sta_term,ptc_sta_amount*(1+ptc_sta_escal/100)^S$2,0))</f>
        <v>0</v>
      </c>
      <c r="U588" s="197">
        <f>IF(ptc_sta_amount="n/a",Inputs!V195,IF(U$2&lt;=ptc_sta_term,ptc_sta_amount*(1+ptc_sta_escal/100)^T$2,0))</f>
        <v>0</v>
      </c>
      <c r="V588" s="197">
        <f>IF(ptc_sta_amount="n/a",Inputs!W195,IF(V$2&lt;=ptc_sta_term,ptc_sta_amount*(1+ptc_sta_escal/100)^U$2,0))</f>
        <v>0</v>
      </c>
      <c r="W588" s="197">
        <f>IF(ptc_sta_amount="n/a",Inputs!X195,IF(W$2&lt;=ptc_sta_term,ptc_sta_amount*(1+ptc_sta_escal/100)^V$2,0))</f>
        <v>0</v>
      </c>
      <c r="X588" s="197">
        <f>IF(ptc_sta_amount="n/a",Inputs!Y195,IF(X$2&lt;=ptc_sta_term,ptc_sta_amount*(1+ptc_sta_escal/100)^W$2,0))</f>
        <v>0</v>
      </c>
      <c r="Y588" s="197">
        <f>IF(ptc_sta_amount="n/a",Inputs!Z195,IF(Y$2&lt;=ptc_sta_term,ptc_sta_amount*(1+ptc_sta_escal/100)^X$2,0))</f>
        <v>0</v>
      </c>
      <c r="Z588" s="197">
        <f>IF(ptc_sta_amount="n/a",Inputs!AA195,IF(Z$2&lt;=ptc_sta_term,ptc_sta_amount*(1+ptc_sta_escal/100)^Y$2,0))</f>
        <v>0</v>
      </c>
      <c r="AA588" s="197">
        <f>IF(ptc_sta_amount="n/a",Inputs!AB195,IF(AA$2&lt;=ptc_sta_term,ptc_sta_amount*(1+ptc_sta_escal/100)^Z$2,0))</f>
        <v>0</v>
      </c>
      <c r="AB588" s="197">
        <f>IF(ptc_sta_amount="n/a",Inputs!AC195,IF(AB$2&lt;=ptc_sta_term,ptc_sta_amount*(1+ptc_sta_escal/100)^AA$2,0))</f>
        <v>0</v>
      </c>
      <c r="AC588" s="197">
        <f>IF(ptc_sta_amount="n/a",Inputs!AD195,IF(AC$2&lt;=ptc_sta_term,ptc_sta_amount*(1+ptc_sta_escal/100)^AB$2,0))</f>
        <v>0</v>
      </c>
      <c r="AD588" s="197">
        <f>IF(ptc_sta_amount="n/a",Inputs!AE195,IF(AD$2&lt;=ptc_sta_term,ptc_sta_amount*(1+ptc_sta_escal/100)^AC$2,0))</f>
        <v>0</v>
      </c>
      <c r="AE588" s="197">
        <f>IF(ptc_sta_amount="n/a",Inputs!AF195,IF(AE$2&lt;=ptc_sta_term,ptc_sta_amount*(1+ptc_sta_escal/100)^AD$2,0))</f>
        <v>0</v>
      </c>
      <c r="AF588" s="197">
        <f>IF(ptc_sta_amount="n/a",Inputs!AG195,IF(AF$2&lt;=ptc_sta_term,ptc_sta_amount*(1+ptc_sta_escal/100)^AE$2,0))</f>
        <v>0</v>
      </c>
      <c r="AG588" s="197">
        <f>IF(ptc_sta_amount="n/a",Inputs!AH195,IF(AG$2&lt;=ptc_sta_term,ptc_sta_amount*(1+ptc_sta_escal/100)^AF$2,0))</f>
        <v>0</v>
      </c>
      <c r="AH588" s="197">
        <f>IF(ptc_sta_amount="n/a",Inputs!AI195,IF(AH$2&lt;=ptc_sta_term,ptc_sta_amount*(1+ptc_sta_escal/100)^AG$2,0))</f>
        <v>0</v>
      </c>
      <c r="AI588" s="197">
        <f>IF(ptc_sta_amount="n/a",Inputs!AJ195,IF(AI$2&lt;=ptc_sta_term,ptc_sta_amount*(1+ptc_sta_escal/100)^AH$2,0))</f>
        <v>0</v>
      </c>
      <c r="AJ588" s="197">
        <f>IF(ptc_sta_amount="n/a",Inputs!AK195,IF(AJ$2&lt;=ptc_sta_term,ptc_sta_amount*(1+ptc_sta_escal/100)^AI$2,0))</f>
        <v>0</v>
      </c>
      <c r="AK588" s="197">
        <f>IF(ptc_sta_amount="n/a",Inputs!AL195,IF(AK$2&lt;=ptc_sta_term,ptc_sta_amount*(1+ptc_sta_escal/100)^AJ$2,0))</f>
        <v>0</v>
      </c>
      <c r="AL588" s="197">
        <f>IF(ptc_sta_amount="n/a",Inputs!AM195,IF(AL$2&lt;=ptc_sta_term,ptc_sta_amount*(1+ptc_sta_escal/100)^AK$2,0))</f>
        <v>0</v>
      </c>
      <c r="AM588" s="197">
        <f>IF(ptc_sta_amount="n/a",Inputs!AN195,IF(AM$2&lt;=ptc_sta_term,ptc_sta_amount*(1+ptc_sta_escal/100)^AL$2,0))</f>
        <v>0</v>
      </c>
      <c r="AN588" s="197">
        <f>IF(ptc_sta_amount="n/a",Inputs!AO195,IF(AN$2&lt;=ptc_sta_term,ptc_sta_amount*(1+ptc_sta_escal/100)^AM$2,0))</f>
        <v>0</v>
      </c>
      <c r="AO588" s="197">
        <f>IF(ptc_sta_amount="n/a",Inputs!AP195,IF(AO$2&lt;=ptc_sta_term,ptc_sta_amount*(1+ptc_sta_escal/100)^AN$2,0))</f>
        <v>0</v>
      </c>
      <c r="AP588" s="197">
        <f>IF(ptc_sta_amount="n/a",Inputs!AQ195,IF(AP$2&lt;=ptc_sta_term,ptc_sta_amount*(1+ptc_sta_escal/100)^AO$2,0))</f>
        <v>0</v>
      </c>
    </row>
    <row r="589" spans="1:42" x14ac:dyDescent="0.2">
      <c r="A589" s="21" t="s">
        <v>262</v>
      </c>
      <c r="C589" s="197">
        <f>ROUND(C588*1000,0)</f>
        <v>0</v>
      </c>
      <c r="D589" s="197">
        <f>ROUND(D588*1000,0)</f>
        <v>0</v>
      </c>
      <c r="E589" s="197">
        <f t="shared" ref="E589:AP589" si="286">ROUND(E588*1000,0)</f>
        <v>0</v>
      </c>
      <c r="F589" s="197">
        <f t="shared" si="286"/>
        <v>0</v>
      </c>
      <c r="G589" s="197">
        <f t="shared" si="286"/>
        <v>0</v>
      </c>
      <c r="H589" s="197">
        <f t="shared" si="286"/>
        <v>0</v>
      </c>
      <c r="I589" s="197">
        <f t="shared" si="286"/>
        <v>0</v>
      </c>
      <c r="J589" s="197">
        <f t="shared" si="286"/>
        <v>0</v>
      </c>
      <c r="K589" s="197">
        <f t="shared" si="286"/>
        <v>0</v>
      </c>
      <c r="L589" s="197">
        <f t="shared" si="286"/>
        <v>0</v>
      </c>
      <c r="M589" s="197">
        <f t="shared" si="286"/>
        <v>0</v>
      </c>
      <c r="N589" s="197">
        <f t="shared" si="286"/>
        <v>0</v>
      </c>
      <c r="O589" s="197">
        <f t="shared" si="286"/>
        <v>0</v>
      </c>
      <c r="P589" s="197">
        <f t="shared" si="286"/>
        <v>0</v>
      </c>
      <c r="Q589" s="197">
        <f t="shared" si="286"/>
        <v>0</v>
      </c>
      <c r="R589" s="197">
        <f t="shared" si="286"/>
        <v>0</v>
      </c>
      <c r="S589" s="197">
        <f t="shared" si="286"/>
        <v>0</v>
      </c>
      <c r="T589" s="197">
        <f t="shared" si="286"/>
        <v>0</v>
      </c>
      <c r="U589" s="197">
        <f t="shared" si="286"/>
        <v>0</v>
      </c>
      <c r="V589" s="197">
        <f t="shared" si="286"/>
        <v>0</v>
      </c>
      <c r="W589" s="197">
        <f t="shared" si="286"/>
        <v>0</v>
      </c>
      <c r="X589" s="197">
        <f t="shared" si="286"/>
        <v>0</v>
      </c>
      <c r="Y589" s="197">
        <f t="shared" si="286"/>
        <v>0</v>
      </c>
      <c r="Z589" s="197">
        <f t="shared" si="286"/>
        <v>0</v>
      </c>
      <c r="AA589" s="197">
        <f t="shared" si="286"/>
        <v>0</v>
      </c>
      <c r="AB589" s="197">
        <f t="shared" si="286"/>
        <v>0</v>
      </c>
      <c r="AC589" s="197">
        <f t="shared" si="286"/>
        <v>0</v>
      </c>
      <c r="AD589" s="197">
        <f t="shared" si="286"/>
        <v>0</v>
      </c>
      <c r="AE589" s="197">
        <f t="shared" si="286"/>
        <v>0</v>
      </c>
      <c r="AF589" s="197">
        <f t="shared" si="286"/>
        <v>0</v>
      </c>
      <c r="AG589" s="197">
        <f t="shared" si="286"/>
        <v>0</v>
      </c>
      <c r="AH589" s="197">
        <f t="shared" si="286"/>
        <v>0</v>
      </c>
      <c r="AI589" s="197">
        <f t="shared" si="286"/>
        <v>0</v>
      </c>
      <c r="AJ589" s="197">
        <f t="shared" si="286"/>
        <v>0</v>
      </c>
      <c r="AK589" s="197">
        <f t="shared" si="286"/>
        <v>0</v>
      </c>
      <c r="AL589" s="197">
        <f t="shared" si="286"/>
        <v>0</v>
      </c>
      <c r="AM589" s="197">
        <f t="shared" si="286"/>
        <v>0</v>
      </c>
      <c r="AN589" s="197">
        <f t="shared" si="286"/>
        <v>0</v>
      </c>
      <c r="AO589" s="197">
        <f t="shared" si="286"/>
        <v>0</v>
      </c>
      <c r="AP589" s="197">
        <f t="shared" si="286"/>
        <v>0</v>
      </c>
    </row>
    <row r="590" spans="1:42" x14ac:dyDescent="0.2">
      <c r="A590" s="21" t="s">
        <v>419</v>
      </c>
      <c r="C590" s="116">
        <f>C$5/1000</f>
        <v>0</v>
      </c>
      <c r="D590" s="116">
        <f t="shared" ref="D590:AP590" si="287">D$5/1000</f>
        <v>0</v>
      </c>
      <c r="E590" s="116">
        <f t="shared" si="287"/>
        <v>0</v>
      </c>
      <c r="F590" s="116">
        <f t="shared" si="287"/>
        <v>0</v>
      </c>
      <c r="G590" s="116">
        <f t="shared" si="287"/>
        <v>0</v>
      </c>
      <c r="H590" s="116">
        <f t="shared" si="287"/>
        <v>0</v>
      </c>
      <c r="I590" s="116">
        <f t="shared" si="287"/>
        <v>0</v>
      </c>
      <c r="J590" s="116">
        <f t="shared" si="287"/>
        <v>0</v>
      </c>
      <c r="K590" s="116">
        <f t="shared" si="287"/>
        <v>0</v>
      </c>
      <c r="L590" s="116">
        <f t="shared" si="287"/>
        <v>0</v>
      </c>
      <c r="M590" s="116">
        <f t="shared" si="287"/>
        <v>0</v>
      </c>
      <c r="N590" s="116">
        <f t="shared" si="287"/>
        <v>0</v>
      </c>
      <c r="O590" s="116">
        <f t="shared" si="287"/>
        <v>0</v>
      </c>
      <c r="P590" s="116">
        <f t="shared" si="287"/>
        <v>0</v>
      </c>
      <c r="Q590" s="116">
        <f t="shared" si="287"/>
        <v>0</v>
      </c>
      <c r="R590" s="116">
        <f t="shared" si="287"/>
        <v>0</v>
      </c>
      <c r="S590" s="116">
        <f t="shared" si="287"/>
        <v>0</v>
      </c>
      <c r="T590" s="116">
        <f t="shared" si="287"/>
        <v>0</v>
      </c>
      <c r="U590" s="116">
        <f t="shared" si="287"/>
        <v>0</v>
      </c>
      <c r="V590" s="116">
        <f t="shared" si="287"/>
        <v>0</v>
      </c>
      <c r="W590" s="116">
        <f t="shared" si="287"/>
        <v>0</v>
      </c>
      <c r="X590" s="116">
        <f t="shared" si="287"/>
        <v>0</v>
      </c>
      <c r="Y590" s="116">
        <f t="shared" si="287"/>
        <v>0</v>
      </c>
      <c r="Z590" s="116">
        <f t="shared" si="287"/>
        <v>0</v>
      </c>
      <c r="AA590" s="116">
        <f t="shared" si="287"/>
        <v>0</v>
      </c>
      <c r="AB590" s="116">
        <f t="shared" si="287"/>
        <v>0</v>
      </c>
      <c r="AC590" s="116">
        <f t="shared" si="287"/>
        <v>0</v>
      </c>
      <c r="AD590" s="116">
        <f t="shared" si="287"/>
        <v>0</v>
      </c>
      <c r="AE590" s="116">
        <f t="shared" si="287"/>
        <v>0</v>
      </c>
      <c r="AF590" s="116">
        <f t="shared" si="287"/>
        <v>0</v>
      </c>
      <c r="AG590" s="116">
        <f t="shared" si="287"/>
        <v>0</v>
      </c>
      <c r="AH590" s="116">
        <f t="shared" si="287"/>
        <v>0</v>
      </c>
      <c r="AI590" s="116">
        <f t="shared" si="287"/>
        <v>0</v>
      </c>
      <c r="AJ590" s="116">
        <f t="shared" si="287"/>
        <v>0</v>
      </c>
      <c r="AK590" s="116">
        <f t="shared" si="287"/>
        <v>0</v>
      </c>
      <c r="AL590" s="116">
        <f t="shared" si="287"/>
        <v>0</v>
      </c>
      <c r="AM590" s="116">
        <f t="shared" si="287"/>
        <v>0</v>
      </c>
      <c r="AN590" s="116">
        <f t="shared" si="287"/>
        <v>0</v>
      </c>
      <c r="AO590" s="116">
        <f t="shared" si="287"/>
        <v>0</v>
      </c>
      <c r="AP590" s="116">
        <f t="shared" si="287"/>
        <v>0</v>
      </c>
    </row>
    <row r="591" spans="1:42" x14ac:dyDescent="0.2">
      <c r="A591" s="21" t="s">
        <v>13</v>
      </c>
      <c r="C591" s="115">
        <f>C589*C590</f>
        <v>0</v>
      </c>
      <c r="D591" s="115">
        <f>D589*D590</f>
        <v>0</v>
      </c>
      <c r="E591" s="115">
        <f t="shared" ref="E591:AP591" si="288">E589*E590</f>
        <v>0</v>
      </c>
      <c r="F591" s="115">
        <f t="shared" si="288"/>
        <v>0</v>
      </c>
      <c r="G591" s="115">
        <f t="shared" si="288"/>
        <v>0</v>
      </c>
      <c r="H591" s="115">
        <f t="shared" si="288"/>
        <v>0</v>
      </c>
      <c r="I591" s="115">
        <f t="shared" si="288"/>
        <v>0</v>
      </c>
      <c r="J591" s="115">
        <f t="shared" si="288"/>
        <v>0</v>
      </c>
      <c r="K591" s="115">
        <f t="shared" si="288"/>
        <v>0</v>
      </c>
      <c r="L591" s="115">
        <f t="shared" si="288"/>
        <v>0</v>
      </c>
      <c r="M591" s="115">
        <f t="shared" si="288"/>
        <v>0</v>
      </c>
      <c r="N591" s="115">
        <f t="shared" si="288"/>
        <v>0</v>
      </c>
      <c r="O591" s="115">
        <f t="shared" si="288"/>
        <v>0</v>
      </c>
      <c r="P591" s="115">
        <f t="shared" si="288"/>
        <v>0</v>
      </c>
      <c r="Q591" s="115">
        <f t="shared" si="288"/>
        <v>0</v>
      </c>
      <c r="R591" s="115">
        <f t="shared" si="288"/>
        <v>0</v>
      </c>
      <c r="S591" s="115">
        <f t="shared" si="288"/>
        <v>0</v>
      </c>
      <c r="T591" s="115">
        <f t="shared" si="288"/>
        <v>0</v>
      </c>
      <c r="U591" s="115">
        <f t="shared" si="288"/>
        <v>0</v>
      </c>
      <c r="V591" s="115">
        <f t="shared" si="288"/>
        <v>0</v>
      </c>
      <c r="W591" s="115">
        <f t="shared" si="288"/>
        <v>0</v>
      </c>
      <c r="X591" s="115">
        <f t="shared" si="288"/>
        <v>0</v>
      </c>
      <c r="Y591" s="115">
        <f t="shared" si="288"/>
        <v>0</v>
      </c>
      <c r="Z591" s="115">
        <f t="shared" si="288"/>
        <v>0</v>
      </c>
      <c r="AA591" s="115">
        <f t="shared" si="288"/>
        <v>0</v>
      </c>
      <c r="AB591" s="115">
        <f t="shared" si="288"/>
        <v>0</v>
      </c>
      <c r="AC591" s="115">
        <f t="shared" si="288"/>
        <v>0</v>
      </c>
      <c r="AD591" s="115">
        <f t="shared" si="288"/>
        <v>0</v>
      </c>
      <c r="AE591" s="115">
        <f t="shared" si="288"/>
        <v>0</v>
      </c>
      <c r="AF591" s="115">
        <f t="shared" si="288"/>
        <v>0</v>
      </c>
      <c r="AG591" s="115">
        <f t="shared" si="288"/>
        <v>0</v>
      </c>
      <c r="AH591" s="115">
        <f t="shared" si="288"/>
        <v>0</v>
      </c>
      <c r="AI591" s="115">
        <f t="shared" si="288"/>
        <v>0</v>
      </c>
      <c r="AJ591" s="115">
        <f t="shared" si="288"/>
        <v>0</v>
      </c>
      <c r="AK591" s="115">
        <f t="shared" si="288"/>
        <v>0</v>
      </c>
      <c r="AL591" s="115">
        <f t="shared" si="288"/>
        <v>0</v>
      </c>
      <c r="AM591" s="115">
        <f t="shared" si="288"/>
        <v>0</v>
      </c>
      <c r="AN591" s="115">
        <f t="shared" si="288"/>
        <v>0</v>
      </c>
      <c r="AO591" s="115">
        <f t="shared" si="288"/>
        <v>0</v>
      </c>
      <c r="AP591" s="115">
        <f t="shared" si="288"/>
        <v>0</v>
      </c>
    </row>
    <row r="592" spans="1:42" x14ac:dyDescent="0.2">
      <c r="A592" s="17"/>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row>
    <row r="593" spans="1:42" x14ac:dyDescent="0.2">
      <c r="A593" s="17" t="s">
        <v>4</v>
      </c>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row>
    <row r="594" spans="1:42" x14ac:dyDescent="0.2">
      <c r="A594" s="21" t="s">
        <v>261</v>
      </c>
      <c r="C594" s="197">
        <f>IF(ptc_fed_amount="n/a",Inputs!D194,IF(C$2&lt;=ptc_fed_term,ptc_fed_amount*(1+ptc_fed_escal/100)^B$2,0))</f>
        <v>0</v>
      </c>
      <c r="D594" s="197">
        <f>IF(ptc_fed_amount="n/a",Inputs!E194,IF(D$2&lt;=ptc_fed_term,ptc_fed_amount*(1+ptc_fed_escal/100)^C$2,0))</f>
        <v>0</v>
      </c>
      <c r="E594" s="197">
        <f>IF(ptc_fed_amount="n/a",Inputs!F194,IF(E$2&lt;=ptc_fed_term,ptc_fed_amount*(1+ptc_fed_escal/100)^D$2,0))</f>
        <v>0</v>
      </c>
      <c r="F594" s="197">
        <f>IF(ptc_fed_amount="n/a",Inputs!G194,IF(F$2&lt;=ptc_fed_term,ptc_fed_amount*(1+ptc_fed_escal/100)^E$2,0))</f>
        <v>0</v>
      </c>
      <c r="G594" s="197">
        <f>IF(ptc_fed_amount="n/a",Inputs!H194,IF(G$2&lt;=ptc_fed_term,ptc_fed_amount*(1+ptc_fed_escal/100)^F$2,0))</f>
        <v>0</v>
      </c>
      <c r="H594" s="197">
        <f>IF(ptc_fed_amount="n/a",Inputs!I194,IF(H$2&lt;=ptc_fed_term,ptc_fed_amount*(1+ptc_fed_escal/100)^G$2,0))</f>
        <v>0</v>
      </c>
      <c r="I594" s="197">
        <f>IF(ptc_fed_amount="n/a",Inputs!J194,IF(I$2&lt;=ptc_fed_term,ptc_fed_amount*(1+ptc_fed_escal/100)^H$2,0))</f>
        <v>0</v>
      </c>
      <c r="J594" s="197">
        <f>IF(ptc_fed_amount="n/a",Inputs!K194,IF(J$2&lt;=ptc_fed_term,ptc_fed_amount*(1+ptc_fed_escal/100)^I$2,0))</f>
        <v>0</v>
      </c>
      <c r="K594" s="197">
        <f>IF(ptc_fed_amount="n/a",Inputs!L194,IF(K$2&lt;=ptc_fed_term,ptc_fed_amount*(1+ptc_fed_escal/100)^J$2,0))</f>
        <v>0</v>
      </c>
      <c r="L594" s="197">
        <f>IF(ptc_fed_amount="n/a",Inputs!M194,IF(L$2&lt;=ptc_fed_term,ptc_fed_amount*(1+ptc_fed_escal/100)^K$2,0))</f>
        <v>0</v>
      </c>
      <c r="M594" s="197">
        <f>IF(ptc_fed_amount="n/a",Inputs!N194,IF(M$2&lt;=ptc_fed_term,ptc_fed_amount*(1+ptc_fed_escal/100)^L$2,0))</f>
        <v>0</v>
      </c>
      <c r="N594" s="197">
        <f>IF(ptc_fed_amount="n/a",Inputs!O194,IF(N$2&lt;=ptc_fed_term,ptc_fed_amount*(1+ptc_fed_escal/100)^M$2,0))</f>
        <v>0</v>
      </c>
      <c r="O594" s="197">
        <f>IF(ptc_fed_amount="n/a",Inputs!P194,IF(O$2&lt;=ptc_fed_term,ptc_fed_amount*(1+ptc_fed_escal/100)^N$2,0))</f>
        <v>0</v>
      </c>
      <c r="P594" s="197">
        <f>IF(ptc_fed_amount="n/a",Inputs!Q194,IF(P$2&lt;=ptc_fed_term,ptc_fed_amount*(1+ptc_fed_escal/100)^O$2,0))</f>
        <v>0</v>
      </c>
      <c r="Q594" s="197">
        <f>IF(ptc_fed_amount="n/a",Inputs!R194,IF(Q$2&lt;=ptc_fed_term,ptc_fed_amount*(1+ptc_fed_escal/100)^P$2,0))</f>
        <v>0</v>
      </c>
      <c r="R594" s="197">
        <f>IF(ptc_fed_amount="n/a",Inputs!S194,IF(R$2&lt;=ptc_fed_term,ptc_fed_amount*(1+ptc_fed_escal/100)^Q$2,0))</f>
        <v>0</v>
      </c>
      <c r="S594" s="197">
        <f>IF(ptc_fed_amount="n/a",Inputs!T194,IF(S$2&lt;=ptc_fed_term,ptc_fed_amount*(1+ptc_fed_escal/100)^R$2,0))</f>
        <v>0</v>
      </c>
      <c r="T594" s="197">
        <f>IF(ptc_fed_amount="n/a",Inputs!U194,IF(T$2&lt;=ptc_fed_term,ptc_fed_amount*(1+ptc_fed_escal/100)^S$2,0))</f>
        <v>0</v>
      </c>
      <c r="U594" s="197">
        <f>IF(ptc_fed_amount="n/a",Inputs!V194,IF(U$2&lt;=ptc_fed_term,ptc_fed_amount*(1+ptc_fed_escal/100)^T$2,0))</f>
        <v>0</v>
      </c>
      <c r="V594" s="197">
        <f>IF(ptc_fed_amount="n/a",Inputs!W194,IF(V$2&lt;=ptc_fed_term,ptc_fed_amount*(1+ptc_fed_escal/100)^U$2,0))</f>
        <v>0</v>
      </c>
      <c r="W594" s="197">
        <f>IF(ptc_fed_amount="n/a",Inputs!X194,IF(W$2&lt;=ptc_fed_term,ptc_fed_amount*(1+ptc_fed_escal/100)^V$2,0))</f>
        <v>0</v>
      </c>
      <c r="X594" s="197">
        <f>IF(ptc_fed_amount="n/a",Inputs!Y194,IF(X$2&lt;=ptc_fed_term,ptc_fed_amount*(1+ptc_fed_escal/100)^W$2,0))</f>
        <v>0</v>
      </c>
      <c r="Y594" s="197">
        <f>IF(ptc_fed_amount="n/a",Inputs!Z194,IF(Y$2&lt;=ptc_fed_term,ptc_fed_amount*(1+ptc_fed_escal/100)^X$2,0))</f>
        <v>0</v>
      </c>
      <c r="Z594" s="197">
        <f>IF(ptc_fed_amount="n/a",Inputs!AA194,IF(Z$2&lt;=ptc_fed_term,ptc_fed_amount*(1+ptc_fed_escal/100)^Y$2,0))</f>
        <v>0</v>
      </c>
      <c r="AA594" s="197">
        <f>IF(ptc_fed_amount="n/a",Inputs!AB194,IF(AA$2&lt;=ptc_fed_term,ptc_fed_amount*(1+ptc_fed_escal/100)^Z$2,0))</f>
        <v>0</v>
      </c>
      <c r="AB594" s="197">
        <f>IF(ptc_fed_amount="n/a",Inputs!AC194,IF(AB$2&lt;=ptc_fed_term,ptc_fed_amount*(1+ptc_fed_escal/100)^AA$2,0))</f>
        <v>0</v>
      </c>
      <c r="AC594" s="197">
        <f>IF(ptc_fed_amount="n/a",Inputs!AD194,IF(AC$2&lt;=ptc_fed_term,ptc_fed_amount*(1+ptc_fed_escal/100)^AB$2,0))</f>
        <v>0</v>
      </c>
      <c r="AD594" s="197">
        <f>IF(ptc_fed_amount="n/a",Inputs!AE194,IF(AD$2&lt;=ptc_fed_term,ptc_fed_amount*(1+ptc_fed_escal/100)^AC$2,0))</f>
        <v>0</v>
      </c>
      <c r="AE594" s="197">
        <f>IF(ptc_fed_amount="n/a",Inputs!AF194,IF(AE$2&lt;=ptc_fed_term,ptc_fed_amount*(1+ptc_fed_escal/100)^AD$2,0))</f>
        <v>0</v>
      </c>
      <c r="AF594" s="197">
        <f>IF(ptc_fed_amount="n/a",Inputs!AG194,IF(AF$2&lt;=ptc_fed_term,ptc_fed_amount*(1+ptc_fed_escal/100)^AE$2,0))</f>
        <v>0</v>
      </c>
      <c r="AG594" s="197">
        <f>IF(ptc_fed_amount="n/a",Inputs!AH194,IF(AG$2&lt;=ptc_fed_term,ptc_fed_amount*(1+ptc_fed_escal/100)^AF$2,0))</f>
        <v>0</v>
      </c>
      <c r="AH594" s="197">
        <f>IF(ptc_fed_amount="n/a",Inputs!AI194,IF(AH$2&lt;=ptc_fed_term,ptc_fed_amount*(1+ptc_fed_escal/100)^AG$2,0))</f>
        <v>0</v>
      </c>
      <c r="AI594" s="197">
        <f>IF(ptc_fed_amount="n/a",Inputs!AJ194,IF(AI$2&lt;=ptc_fed_term,ptc_fed_amount*(1+ptc_fed_escal/100)^AH$2,0))</f>
        <v>0</v>
      </c>
      <c r="AJ594" s="197">
        <f>IF(ptc_fed_amount="n/a",Inputs!AK194,IF(AJ$2&lt;=ptc_fed_term,ptc_fed_amount*(1+ptc_fed_escal/100)^AI$2,0))</f>
        <v>0</v>
      </c>
      <c r="AK594" s="197">
        <f>IF(ptc_fed_amount="n/a",Inputs!AL194,IF(AK$2&lt;=ptc_fed_term,ptc_fed_amount*(1+ptc_fed_escal/100)^AJ$2,0))</f>
        <v>0</v>
      </c>
      <c r="AL594" s="197">
        <f>IF(ptc_fed_amount="n/a",Inputs!AM194,IF(AL$2&lt;=ptc_fed_term,ptc_fed_amount*(1+ptc_fed_escal/100)^AK$2,0))</f>
        <v>0</v>
      </c>
      <c r="AM594" s="197">
        <f>IF(ptc_fed_amount="n/a",Inputs!AN194,IF(AM$2&lt;=ptc_fed_term,ptc_fed_amount*(1+ptc_fed_escal/100)^AL$2,0))</f>
        <v>0</v>
      </c>
      <c r="AN594" s="197">
        <f>IF(ptc_fed_amount="n/a",Inputs!AO194,IF(AN$2&lt;=ptc_fed_term,ptc_fed_amount*(1+ptc_fed_escal/100)^AM$2,0))</f>
        <v>0</v>
      </c>
      <c r="AO594" s="197">
        <f>IF(ptc_fed_amount="n/a",Inputs!AP194,IF(AO$2&lt;=ptc_fed_term,ptc_fed_amount*(1+ptc_fed_escal/100)^AN$2,0))</f>
        <v>0</v>
      </c>
      <c r="AP594" s="197">
        <f>IF(ptc_fed_amount="n/a",Inputs!AQ194,IF(AP$2&lt;=ptc_fed_term,ptc_fed_amount*(1+ptc_fed_escal/100)^AO$2,0))</f>
        <v>0</v>
      </c>
    </row>
    <row r="595" spans="1:42" x14ac:dyDescent="0.2">
      <c r="A595" s="21" t="s">
        <v>262</v>
      </c>
      <c r="C595" s="197">
        <f>ROUND(C594*1000,0)</f>
        <v>0</v>
      </c>
      <c r="D595" s="197">
        <f>ROUND(D594*1000,0)</f>
        <v>0</v>
      </c>
      <c r="E595" s="197">
        <f t="shared" ref="E595:AP595" si="289">ROUND(E594*1000,0)</f>
        <v>0</v>
      </c>
      <c r="F595" s="197">
        <f t="shared" si="289"/>
        <v>0</v>
      </c>
      <c r="G595" s="197">
        <f t="shared" si="289"/>
        <v>0</v>
      </c>
      <c r="H595" s="197">
        <f t="shared" si="289"/>
        <v>0</v>
      </c>
      <c r="I595" s="197">
        <f t="shared" si="289"/>
        <v>0</v>
      </c>
      <c r="J595" s="197">
        <f t="shared" si="289"/>
        <v>0</v>
      </c>
      <c r="K595" s="197">
        <f t="shared" si="289"/>
        <v>0</v>
      </c>
      <c r="L595" s="197">
        <f t="shared" si="289"/>
        <v>0</v>
      </c>
      <c r="M595" s="197">
        <f t="shared" si="289"/>
        <v>0</v>
      </c>
      <c r="N595" s="197">
        <f t="shared" si="289"/>
        <v>0</v>
      </c>
      <c r="O595" s="197">
        <f t="shared" si="289"/>
        <v>0</v>
      </c>
      <c r="P595" s="197">
        <f t="shared" si="289"/>
        <v>0</v>
      </c>
      <c r="Q595" s="197">
        <f t="shared" si="289"/>
        <v>0</v>
      </c>
      <c r="R595" s="197">
        <f t="shared" si="289"/>
        <v>0</v>
      </c>
      <c r="S595" s="197">
        <f t="shared" si="289"/>
        <v>0</v>
      </c>
      <c r="T595" s="197">
        <f t="shared" si="289"/>
        <v>0</v>
      </c>
      <c r="U595" s="197">
        <f t="shared" si="289"/>
        <v>0</v>
      </c>
      <c r="V595" s="197">
        <f t="shared" si="289"/>
        <v>0</v>
      </c>
      <c r="W595" s="197">
        <f t="shared" si="289"/>
        <v>0</v>
      </c>
      <c r="X595" s="197">
        <f t="shared" si="289"/>
        <v>0</v>
      </c>
      <c r="Y595" s="197">
        <f t="shared" si="289"/>
        <v>0</v>
      </c>
      <c r="Z595" s="197">
        <f t="shared" si="289"/>
        <v>0</v>
      </c>
      <c r="AA595" s="197">
        <f t="shared" si="289"/>
        <v>0</v>
      </c>
      <c r="AB595" s="197">
        <f t="shared" si="289"/>
        <v>0</v>
      </c>
      <c r="AC595" s="197">
        <f t="shared" si="289"/>
        <v>0</v>
      </c>
      <c r="AD595" s="197">
        <f t="shared" si="289"/>
        <v>0</v>
      </c>
      <c r="AE595" s="197">
        <f t="shared" si="289"/>
        <v>0</v>
      </c>
      <c r="AF595" s="197">
        <f t="shared" si="289"/>
        <v>0</v>
      </c>
      <c r="AG595" s="197">
        <f t="shared" si="289"/>
        <v>0</v>
      </c>
      <c r="AH595" s="197">
        <f t="shared" si="289"/>
        <v>0</v>
      </c>
      <c r="AI595" s="197">
        <f t="shared" si="289"/>
        <v>0</v>
      </c>
      <c r="AJ595" s="197">
        <f t="shared" si="289"/>
        <v>0</v>
      </c>
      <c r="AK595" s="197">
        <f t="shared" si="289"/>
        <v>0</v>
      </c>
      <c r="AL595" s="197">
        <f t="shared" si="289"/>
        <v>0</v>
      </c>
      <c r="AM595" s="197">
        <f t="shared" si="289"/>
        <v>0</v>
      </c>
      <c r="AN595" s="197">
        <f t="shared" si="289"/>
        <v>0</v>
      </c>
      <c r="AO595" s="197">
        <f t="shared" si="289"/>
        <v>0</v>
      </c>
      <c r="AP595" s="197">
        <f t="shared" si="289"/>
        <v>0</v>
      </c>
    </row>
    <row r="596" spans="1:42" x14ac:dyDescent="0.2">
      <c r="A596" s="21" t="s">
        <v>419</v>
      </c>
      <c r="C596" s="116">
        <f>C$5/1000</f>
        <v>0</v>
      </c>
      <c r="D596" s="116">
        <f t="shared" ref="D596:AP596" si="290">D$5/1000</f>
        <v>0</v>
      </c>
      <c r="E596" s="116">
        <f t="shared" si="290"/>
        <v>0</v>
      </c>
      <c r="F596" s="116">
        <f t="shared" si="290"/>
        <v>0</v>
      </c>
      <c r="G596" s="116">
        <f t="shared" si="290"/>
        <v>0</v>
      </c>
      <c r="H596" s="116">
        <f t="shared" si="290"/>
        <v>0</v>
      </c>
      <c r="I596" s="116">
        <f t="shared" si="290"/>
        <v>0</v>
      </c>
      <c r="J596" s="116">
        <f t="shared" si="290"/>
        <v>0</v>
      </c>
      <c r="K596" s="116">
        <f t="shared" si="290"/>
        <v>0</v>
      </c>
      <c r="L596" s="116">
        <f t="shared" si="290"/>
        <v>0</v>
      </c>
      <c r="M596" s="116">
        <f t="shared" si="290"/>
        <v>0</v>
      </c>
      <c r="N596" s="116">
        <f t="shared" si="290"/>
        <v>0</v>
      </c>
      <c r="O596" s="116">
        <f t="shared" si="290"/>
        <v>0</v>
      </c>
      <c r="P596" s="116">
        <f t="shared" si="290"/>
        <v>0</v>
      </c>
      <c r="Q596" s="116">
        <f t="shared" si="290"/>
        <v>0</v>
      </c>
      <c r="R596" s="116">
        <f t="shared" si="290"/>
        <v>0</v>
      </c>
      <c r="S596" s="116">
        <f t="shared" si="290"/>
        <v>0</v>
      </c>
      <c r="T596" s="116">
        <f t="shared" si="290"/>
        <v>0</v>
      </c>
      <c r="U596" s="116">
        <f t="shared" si="290"/>
        <v>0</v>
      </c>
      <c r="V596" s="116">
        <f t="shared" si="290"/>
        <v>0</v>
      </c>
      <c r="W596" s="116">
        <f t="shared" si="290"/>
        <v>0</v>
      </c>
      <c r="X596" s="116">
        <f t="shared" si="290"/>
        <v>0</v>
      </c>
      <c r="Y596" s="116">
        <f t="shared" si="290"/>
        <v>0</v>
      </c>
      <c r="Z596" s="116">
        <f t="shared" si="290"/>
        <v>0</v>
      </c>
      <c r="AA596" s="116">
        <f t="shared" si="290"/>
        <v>0</v>
      </c>
      <c r="AB596" s="116">
        <f t="shared" si="290"/>
        <v>0</v>
      </c>
      <c r="AC596" s="116">
        <f t="shared" si="290"/>
        <v>0</v>
      </c>
      <c r="AD596" s="116">
        <f t="shared" si="290"/>
        <v>0</v>
      </c>
      <c r="AE596" s="116">
        <f t="shared" si="290"/>
        <v>0</v>
      </c>
      <c r="AF596" s="116">
        <f t="shared" si="290"/>
        <v>0</v>
      </c>
      <c r="AG596" s="116">
        <f t="shared" si="290"/>
        <v>0</v>
      </c>
      <c r="AH596" s="116">
        <f t="shared" si="290"/>
        <v>0</v>
      </c>
      <c r="AI596" s="116">
        <f t="shared" si="290"/>
        <v>0</v>
      </c>
      <c r="AJ596" s="116">
        <f t="shared" si="290"/>
        <v>0</v>
      </c>
      <c r="AK596" s="116">
        <f t="shared" si="290"/>
        <v>0</v>
      </c>
      <c r="AL596" s="116">
        <f t="shared" si="290"/>
        <v>0</v>
      </c>
      <c r="AM596" s="116">
        <f t="shared" si="290"/>
        <v>0</v>
      </c>
      <c r="AN596" s="116">
        <f t="shared" si="290"/>
        <v>0</v>
      </c>
      <c r="AO596" s="116">
        <f t="shared" si="290"/>
        <v>0</v>
      </c>
      <c r="AP596" s="116">
        <f t="shared" si="290"/>
        <v>0</v>
      </c>
    </row>
    <row r="597" spans="1:42" x14ac:dyDescent="0.2">
      <c r="A597" s="21" t="s">
        <v>13</v>
      </c>
      <c r="C597" s="115">
        <f>C595*C596</f>
        <v>0</v>
      </c>
      <c r="D597" s="115">
        <f>D595*D596</f>
        <v>0</v>
      </c>
      <c r="E597" s="115">
        <f t="shared" ref="E597:AP597" si="291">E595*E596</f>
        <v>0</v>
      </c>
      <c r="F597" s="115">
        <f t="shared" si="291"/>
        <v>0</v>
      </c>
      <c r="G597" s="115">
        <f t="shared" si="291"/>
        <v>0</v>
      </c>
      <c r="H597" s="115">
        <f t="shared" si="291"/>
        <v>0</v>
      </c>
      <c r="I597" s="115">
        <f t="shared" si="291"/>
        <v>0</v>
      </c>
      <c r="J597" s="115">
        <f t="shared" si="291"/>
        <v>0</v>
      </c>
      <c r="K597" s="115">
        <f t="shared" si="291"/>
        <v>0</v>
      </c>
      <c r="L597" s="115">
        <f t="shared" si="291"/>
        <v>0</v>
      </c>
      <c r="M597" s="115">
        <f t="shared" si="291"/>
        <v>0</v>
      </c>
      <c r="N597" s="115">
        <f t="shared" si="291"/>
        <v>0</v>
      </c>
      <c r="O597" s="115">
        <f t="shared" si="291"/>
        <v>0</v>
      </c>
      <c r="P597" s="115">
        <f t="shared" si="291"/>
        <v>0</v>
      </c>
      <c r="Q597" s="115">
        <f t="shared" si="291"/>
        <v>0</v>
      </c>
      <c r="R597" s="115">
        <f t="shared" si="291"/>
        <v>0</v>
      </c>
      <c r="S597" s="115">
        <f t="shared" si="291"/>
        <v>0</v>
      </c>
      <c r="T597" s="115">
        <f t="shared" si="291"/>
        <v>0</v>
      </c>
      <c r="U597" s="115">
        <f t="shared" si="291"/>
        <v>0</v>
      </c>
      <c r="V597" s="115">
        <f t="shared" si="291"/>
        <v>0</v>
      </c>
      <c r="W597" s="115">
        <f t="shared" si="291"/>
        <v>0</v>
      </c>
      <c r="X597" s="115">
        <f t="shared" si="291"/>
        <v>0</v>
      </c>
      <c r="Y597" s="115">
        <f t="shared" si="291"/>
        <v>0</v>
      </c>
      <c r="Z597" s="115">
        <f t="shared" si="291"/>
        <v>0</v>
      </c>
      <c r="AA597" s="115">
        <f t="shared" si="291"/>
        <v>0</v>
      </c>
      <c r="AB597" s="115">
        <f t="shared" si="291"/>
        <v>0</v>
      </c>
      <c r="AC597" s="115">
        <f t="shared" si="291"/>
        <v>0</v>
      </c>
      <c r="AD597" s="115">
        <f t="shared" si="291"/>
        <v>0</v>
      </c>
      <c r="AE597" s="115">
        <f t="shared" si="291"/>
        <v>0</v>
      </c>
      <c r="AF597" s="115">
        <f t="shared" si="291"/>
        <v>0</v>
      </c>
      <c r="AG597" s="115">
        <f t="shared" si="291"/>
        <v>0</v>
      </c>
      <c r="AH597" s="115">
        <f t="shared" si="291"/>
        <v>0</v>
      </c>
      <c r="AI597" s="115">
        <f t="shared" si="291"/>
        <v>0</v>
      </c>
      <c r="AJ597" s="115">
        <f t="shared" si="291"/>
        <v>0</v>
      </c>
      <c r="AK597" s="115">
        <f t="shared" si="291"/>
        <v>0</v>
      </c>
      <c r="AL597" s="115">
        <f t="shared" si="291"/>
        <v>0</v>
      </c>
      <c r="AM597" s="115">
        <f t="shared" si="291"/>
        <v>0</v>
      </c>
      <c r="AN597" s="115">
        <f t="shared" si="291"/>
        <v>0</v>
      </c>
      <c r="AO597" s="115">
        <f t="shared" si="291"/>
        <v>0</v>
      </c>
      <c r="AP597" s="115">
        <f t="shared" si="291"/>
        <v>0</v>
      </c>
    </row>
    <row r="598" spans="1:42" x14ac:dyDescent="0.2">
      <c r="A598" s="21"/>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row>
    <row r="599" spans="1:42" x14ac:dyDescent="0.2">
      <c r="A599" s="19" t="s">
        <v>16</v>
      </c>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row>
    <row r="600" spans="1:42" x14ac:dyDescent="0.2">
      <c r="A600" s="17" t="str">
        <f>Inputs!B127</f>
        <v>As fixed amount</v>
      </c>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row>
    <row r="601" spans="1:42" x14ac:dyDescent="0.2">
      <c r="A601" s="21" t="str">
        <f>Inputs!B128</f>
        <v>Federal ($)</v>
      </c>
      <c r="C601" s="115">
        <f>ibi_fed_amount</f>
        <v>0</v>
      </c>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row>
    <row r="602" spans="1:42" x14ac:dyDescent="0.2">
      <c r="A602" s="21" t="str">
        <f>Inputs!B129</f>
        <v>State ($)</v>
      </c>
      <c r="C602" s="115">
        <f>ibi_sta_amount</f>
        <v>0</v>
      </c>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row>
    <row r="603" spans="1:42" x14ac:dyDescent="0.2">
      <c r="A603" s="21" t="str">
        <f>Inputs!B130</f>
        <v>Utility ($)</v>
      </c>
      <c r="C603" s="115">
        <f>ibi_uti_amount</f>
        <v>0</v>
      </c>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row>
    <row r="604" spans="1:42" x14ac:dyDescent="0.2">
      <c r="A604" s="21" t="str">
        <f>Inputs!B131</f>
        <v>Other ($)</v>
      </c>
      <c r="C604" s="116">
        <f>ibi_oth_amount</f>
        <v>0</v>
      </c>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row>
    <row r="605" spans="1:42" x14ac:dyDescent="0.2">
      <c r="A605" s="21" t="s">
        <v>13</v>
      </c>
      <c r="C605" s="115">
        <f>SUM(C601:C604)</f>
        <v>0</v>
      </c>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row>
    <row r="606" spans="1:42" x14ac:dyDescent="0.2">
      <c r="A606" s="17" t="str">
        <f>Inputs!B132</f>
        <v>As percentage</v>
      </c>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row>
    <row r="607" spans="1:42" x14ac:dyDescent="0.2">
      <c r="A607" s="21" t="str">
        <f>Inputs!B133</f>
        <v>Federal (% of total installed cost)</v>
      </c>
      <c r="C607" s="150">
        <f>MIN(ibi_fed_percent/100*total_installed_cost,Inputs!D133)</f>
        <v>0</v>
      </c>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row>
    <row r="608" spans="1:42" x14ac:dyDescent="0.2">
      <c r="A608" s="21" t="str">
        <f>Inputs!B134</f>
        <v>State (% of total installed cost)</v>
      </c>
      <c r="C608" s="150">
        <f>MIN(ibi_sta_percent/100*total_installed_cost,Inputs!D134)</f>
        <v>0</v>
      </c>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row>
    <row r="609" spans="1:42" x14ac:dyDescent="0.2">
      <c r="A609" s="21" t="str">
        <f>Inputs!B135</f>
        <v>Utility (% of total installed cost)</v>
      </c>
      <c r="C609" s="150">
        <f>MIN(ibi_uti_percent/100*total_installed_cost,Inputs!D135)</f>
        <v>0</v>
      </c>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row>
    <row r="610" spans="1:42" x14ac:dyDescent="0.2">
      <c r="A610" s="21" t="str">
        <f>Inputs!B136</f>
        <v>Other (% of total installed cost)</v>
      </c>
      <c r="C610" s="150">
        <f>MIN(ibi_oth_percent/100*total_installed_cost,Inputs!D136)</f>
        <v>0</v>
      </c>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row>
    <row r="611" spans="1:42" x14ac:dyDescent="0.2">
      <c r="A611" s="21" t="s">
        <v>13</v>
      </c>
      <c r="C611" s="121">
        <f>SUM(C607:C610)</f>
        <v>0</v>
      </c>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row>
    <row r="612" spans="1:42" x14ac:dyDescent="0.2">
      <c r="A612" s="21"/>
      <c r="C612" s="115"/>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row>
    <row r="613" spans="1:42" x14ac:dyDescent="0.2">
      <c r="A613" s="19" t="s">
        <v>38</v>
      </c>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row>
    <row r="614" spans="1:42" x14ac:dyDescent="0.2">
      <c r="A614" s="17" t="str">
        <f>Inputs!B138</f>
        <v>Federal ($/W)</v>
      </c>
      <c r="C614" s="150">
        <f>MIN(cbi_fed_amount*system_capacity*1000,cbi_fed_maxvalue)</f>
        <v>0</v>
      </c>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row>
    <row r="615" spans="1:42" x14ac:dyDescent="0.2">
      <c r="A615" s="17" t="str">
        <f>Inputs!B139</f>
        <v>State ($/W)</v>
      </c>
      <c r="C615" s="150">
        <f>MIN(cbi_sta_amount*system_capacity*1000,cbi_sta_maxvalue)</f>
        <v>0</v>
      </c>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row>
    <row r="616" spans="1:42" x14ac:dyDescent="0.2">
      <c r="A616" s="17" t="str">
        <f>Inputs!B140</f>
        <v>Utility ($/W)</v>
      </c>
      <c r="C616" s="150">
        <f>MIN(cbi_uti_amount*system_capacity*1000,cbi_uti_maxvalue)</f>
        <v>0</v>
      </c>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row>
    <row r="617" spans="1:42" x14ac:dyDescent="0.2">
      <c r="A617" s="17" t="str">
        <f>Inputs!B141</f>
        <v>Other ($/W)</v>
      </c>
      <c r="C617" s="150">
        <f>MIN(cbi_oth_amount*system_capacity*1000,cbi_oth_maxvalue)</f>
        <v>0</v>
      </c>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row>
    <row r="618" spans="1:42" x14ac:dyDescent="0.2">
      <c r="A618" s="17" t="s">
        <v>13</v>
      </c>
      <c r="C618" s="121">
        <f>SUM(C614:C617)</f>
        <v>0</v>
      </c>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row>
    <row r="619" spans="1:42" x14ac:dyDescent="0.2">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row>
    <row r="620" spans="1:42" x14ac:dyDescent="0.2">
      <c r="A620" s="19" t="s">
        <v>36</v>
      </c>
    </row>
    <row r="621" spans="1:42" x14ac:dyDescent="0.2">
      <c r="A621" s="17" t="str">
        <f>Inputs!B143</f>
        <v>Federal ($/kWh)</v>
      </c>
    </row>
    <row r="622" spans="1:42" x14ac:dyDescent="0.2">
      <c r="A622" s="21" t="s">
        <v>37</v>
      </c>
      <c r="C622" s="104">
        <f>IF(pbi_fed_amount="n/a",Inputs!D189,IF(AND(C$2&lt;=pbi_fed_term,C$2&lt;=analysis_period),pbi_fed_amount*(1+pbi_fed_escal/100)^B$2,0))</f>
        <v>0</v>
      </c>
      <c r="D622" s="104">
        <f>IF(pbi_fed_amount="n/a",Inputs!E189,IF(AND(D$2&lt;=pbi_fed_term,D$2&lt;=analysis_period),pbi_fed_amount*(1+pbi_fed_escal/100)^C$2,0))</f>
        <v>0</v>
      </c>
      <c r="E622" s="104">
        <f>IF(pbi_fed_amount="n/a",Inputs!F189,IF(AND(E$2&lt;=pbi_fed_term,E$2&lt;=analysis_period),pbi_fed_amount*(1+pbi_fed_escal/100)^D$2,0))</f>
        <v>0</v>
      </c>
      <c r="F622" s="104">
        <f>IF(pbi_fed_amount="n/a",Inputs!G189,IF(AND(F$2&lt;=pbi_fed_term,F$2&lt;=analysis_period),pbi_fed_amount*(1+pbi_fed_escal/100)^E$2,0))</f>
        <v>0</v>
      </c>
      <c r="G622" s="104">
        <f>IF(pbi_fed_amount="n/a",Inputs!H189,IF(AND(G$2&lt;=pbi_fed_term,G$2&lt;=analysis_period),pbi_fed_amount*(1+pbi_fed_escal/100)^F$2,0))</f>
        <v>0</v>
      </c>
      <c r="H622" s="104">
        <f>IF(pbi_fed_amount="n/a",Inputs!I189,IF(AND(H$2&lt;=pbi_fed_term,H$2&lt;=analysis_period),pbi_fed_amount*(1+pbi_fed_escal/100)^G$2,0))</f>
        <v>0</v>
      </c>
      <c r="I622" s="104">
        <f>IF(pbi_fed_amount="n/a",Inputs!J189,IF(AND(I$2&lt;=pbi_fed_term,I$2&lt;=analysis_period),pbi_fed_amount*(1+pbi_fed_escal/100)^H$2,0))</f>
        <v>0</v>
      </c>
      <c r="J622" s="104">
        <f>IF(pbi_fed_amount="n/a",Inputs!K189,IF(AND(J$2&lt;=pbi_fed_term,J$2&lt;=analysis_period),pbi_fed_amount*(1+pbi_fed_escal/100)^I$2,0))</f>
        <v>0</v>
      </c>
      <c r="K622" s="104">
        <f>IF(pbi_fed_amount="n/a",Inputs!L189,IF(AND(K$2&lt;=pbi_fed_term,K$2&lt;=analysis_period),pbi_fed_amount*(1+pbi_fed_escal/100)^J$2,0))</f>
        <v>0</v>
      </c>
      <c r="L622" s="104">
        <f>IF(pbi_fed_amount="n/a",Inputs!M189,IF(AND(L$2&lt;=pbi_fed_term,L$2&lt;=analysis_period),pbi_fed_amount*(1+pbi_fed_escal/100)^K$2,0))</f>
        <v>0</v>
      </c>
      <c r="M622" s="104">
        <f>IF(pbi_fed_amount="n/a",Inputs!N189,IF(AND(M$2&lt;=pbi_fed_term,M$2&lt;=analysis_period),pbi_fed_amount*(1+pbi_fed_escal/100)^L$2,0))</f>
        <v>0</v>
      </c>
      <c r="N622" s="104">
        <f>IF(pbi_fed_amount="n/a",Inputs!O189,IF(AND(N$2&lt;=pbi_fed_term,N$2&lt;=analysis_period),pbi_fed_amount*(1+pbi_fed_escal/100)^M$2,0))</f>
        <v>0</v>
      </c>
      <c r="O622" s="104">
        <f>IF(pbi_fed_amount="n/a",Inputs!P189,IF(AND(O$2&lt;=pbi_fed_term,O$2&lt;=analysis_period),pbi_fed_amount*(1+pbi_fed_escal/100)^N$2,0))</f>
        <v>0</v>
      </c>
      <c r="P622" s="104">
        <f>IF(pbi_fed_amount="n/a",Inputs!Q189,IF(AND(P$2&lt;=pbi_fed_term,P$2&lt;=analysis_period),pbi_fed_amount*(1+pbi_fed_escal/100)^O$2,0))</f>
        <v>0</v>
      </c>
      <c r="Q622" s="104">
        <f>IF(pbi_fed_amount="n/a",Inputs!R189,IF(AND(Q$2&lt;=pbi_fed_term,Q$2&lt;=analysis_period),pbi_fed_amount*(1+pbi_fed_escal/100)^P$2,0))</f>
        <v>0</v>
      </c>
      <c r="R622" s="104">
        <f>IF(pbi_fed_amount="n/a",Inputs!S189,IF(AND(R$2&lt;=pbi_fed_term,R$2&lt;=analysis_period),pbi_fed_amount*(1+pbi_fed_escal/100)^Q$2,0))</f>
        <v>0</v>
      </c>
      <c r="S622" s="104">
        <f>IF(pbi_fed_amount="n/a",Inputs!T189,IF(AND(S$2&lt;=pbi_fed_term,S$2&lt;=analysis_period),pbi_fed_amount*(1+pbi_fed_escal/100)^R$2,0))</f>
        <v>0</v>
      </c>
      <c r="T622" s="104">
        <f>IF(pbi_fed_amount="n/a",Inputs!U189,IF(AND(T$2&lt;=pbi_fed_term,T$2&lt;=analysis_period),pbi_fed_amount*(1+pbi_fed_escal/100)^S$2,0))</f>
        <v>0</v>
      </c>
      <c r="U622" s="104">
        <f>IF(pbi_fed_amount="n/a",Inputs!V189,IF(AND(U$2&lt;=pbi_fed_term,U$2&lt;=analysis_period),pbi_fed_amount*(1+pbi_fed_escal/100)^T$2,0))</f>
        <v>0</v>
      </c>
      <c r="V622" s="104">
        <f>IF(pbi_fed_amount="n/a",Inputs!W189,IF(AND(V$2&lt;=pbi_fed_term,V$2&lt;=analysis_period),pbi_fed_amount*(1+pbi_fed_escal/100)^U$2,0))</f>
        <v>0</v>
      </c>
      <c r="W622" s="104">
        <f>IF(pbi_fed_amount="n/a",Inputs!X189,IF(AND(W$2&lt;=pbi_fed_term,W$2&lt;=analysis_period),pbi_fed_amount*(1+pbi_fed_escal/100)^V$2,0))</f>
        <v>0</v>
      </c>
      <c r="X622" s="104">
        <f>IF(pbi_fed_amount="n/a",Inputs!Y189,IF(AND(X$2&lt;=pbi_fed_term,X$2&lt;=analysis_period),pbi_fed_amount*(1+pbi_fed_escal/100)^W$2,0))</f>
        <v>0</v>
      </c>
      <c r="Y622" s="104">
        <f>IF(pbi_fed_amount="n/a",Inputs!Z189,IF(AND(Y$2&lt;=pbi_fed_term,Y$2&lt;=analysis_period),pbi_fed_amount*(1+pbi_fed_escal/100)^X$2,0))</f>
        <v>0</v>
      </c>
      <c r="Z622" s="104">
        <f>IF(pbi_fed_amount="n/a",Inputs!AA189,IF(AND(Z$2&lt;=pbi_fed_term,Z$2&lt;=analysis_period),pbi_fed_amount*(1+pbi_fed_escal/100)^Y$2,0))</f>
        <v>0</v>
      </c>
      <c r="AA622" s="104">
        <f>IF(pbi_fed_amount="n/a",Inputs!AB189,IF(AND(AA$2&lt;=pbi_fed_term,AA$2&lt;=analysis_period),pbi_fed_amount*(1+pbi_fed_escal/100)^Z$2,0))</f>
        <v>0</v>
      </c>
      <c r="AB622" s="104">
        <f>IF(pbi_fed_amount="n/a",Inputs!AC189,IF(AND(AB$2&lt;=pbi_fed_term,AB$2&lt;=analysis_period),pbi_fed_amount*(1+pbi_fed_escal/100)^AA$2,0))</f>
        <v>0</v>
      </c>
      <c r="AC622" s="104">
        <f>IF(pbi_fed_amount="n/a",Inputs!AD189,IF(AND(AC$2&lt;=pbi_fed_term,AC$2&lt;=analysis_period),pbi_fed_amount*(1+pbi_fed_escal/100)^AB$2,0))</f>
        <v>0</v>
      </c>
      <c r="AD622" s="104">
        <f>IF(pbi_fed_amount="n/a",Inputs!AE189,IF(AND(AD$2&lt;=pbi_fed_term,AD$2&lt;=analysis_period),pbi_fed_amount*(1+pbi_fed_escal/100)^AC$2,0))</f>
        <v>0</v>
      </c>
      <c r="AE622" s="104">
        <f>IF(pbi_fed_amount="n/a",Inputs!AF189,IF(AND(AE$2&lt;=pbi_fed_term,AE$2&lt;=analysis_period),pbi_fed_amount*(1+pbi_fed_escal/100)^AD$2,0))</f>
        <v>0</v>
      </c>
      <c r="AF622" s="104">
        <f>IF(pbi_fed_amount="n/a",Inputs!AG189,IF(AND(AF$2&lt;=pbi_fed_term,AF$2&lt;=analysis_period),pbi_fed_amount*(1+pbi_fed_escal/100)^AE$2,0))</f>
        <v>0</v>
      </c>
      <c r="AG622" s="104">
        <f>IF(pbi_fed_amount="n/a",Inputs!AH189,IF(AND(AG$2&lt;=pbi_fed_term,AG$2&lt;=analysis_period),pbi_fed_amount*(1+pbi_fed_escal/100)^AF$2,0))</f>
        <v>0</v>
      </c>
      <c r="AH622" s="104">
        <f>IF(pbi_fed_amount="n/a",Inputs!AI189,IF(AND(AH$2&lt;=pbi_fed_term,AH$2&lt;=analysis_period),pbi_fed_amount*(1+pbi_fed_escal/100)^AG$2,0))</f>
        <v>0</v>
      </c>
      <c r="AI622" s="104">
        <f>IF(pbi_fed_amount="n/a",Inputs!AJ189,IF(AND(AI$2&lt;=pbi_fed_term,AI$2&lt;=analysis_period),pbi_fed_amount*(1+pbi_fed_escal/100)^AH$2,0))</f>
        <v>0</v>
      </c>
      <c r="AJ622" s="104">
        <f>IF(pbi_fed_amount="n/a",Inputs!AK189,IF(AND(AJ$2&lt;=pbi_fed_term,AJ$2&lt;=analysis_period),pbi_fed_amount*(1+pbi_fed_escal/100)^AI$2,0))</f>
        <v>0</v>
      </c>
      <c r="AK622" s="104">
        <f>IF(pbi_fed_amount="n/a",Inputs!AL189,IF(AND(AK$2&lt;=pbi_fed_term,AK$2&lt;=analysis_period),pbi_fed_amount*(1+pbi_fed_escal/100)^AJ$2,0))</f>
        <v>0</v>
      </c>
      <c r="AL622" s="104">
        <f>IF(pbi_fed_amount="n/a",Inputs!AM189,IF(AND(AL$2&lt;=pbi_fed_term,AL$2&lt;=analysis_period),pbi_fed_amount*(1+pbi_fed_escal/100)^AK$2,0))</f>
        <v>0</v>
      </c>
      <c r="AM622" s="104">
        <f>IF(pbi_fed_amount="n/a",Inputs!AN189,IF(AND(AM$2&lt;=pbi_fed_term,AM$2&lt;=analysis_period),pbi_fed_amount*(1+pbi_fed_escal/100)^AL$2,0))</f>
        <v>0</v>
      </c>
      <c r="AN622" s="104">
        <f>IF(pbi_fed_amount="n/a",Inputs!AO189,IF(AND(AN$2&lt;=pbi_fed_term,AN$2&lt;=analysis_period),pbi_fed_amount*(1+pbi_fed_escal/100)^AM$2,0))</f>
        <v>0</v>
      </c>
      <c r="AO622" s="104">
        <f>IF(pbi_fed_amount="n/a",Inputs!AP189,IF(AND(AO$2&lt;=pbi_fed_term,AO$2&lt;=analysis_period),pbi_fed_amount*(1+pbi_fed_escal/100)^AN$2,0))</f>
        <v>0</v>
      </c>
      <c r="AP622" s="104">
        <f>IF(pbi_fed_amount="n/a",Inputs!AQ189,IF(AND(AP$2&lt;=pbi_fed_term,AP$2&lt;=analysis_period),pbi_fed_amount*(1+pbi_fed_escal/100)^AO$2,0))</f>
        <v>0</v>
      </c>
    </row>
    <row r="623" spans="1:42" x14ac:dyDescent="0.2">
      <c r="A623" s="21" t="s">
        <v>418</v>
      </c>
      <c r="C623" s="116">
        <f>C$5</f>
        <v>0</v>
      </c>
      <c r="D623" s="116">
        <f t="shared" ref="D623:AP623" si="292">D$5</f>
        <v>0</v>
      </c>
      <c r="E623" s="116">
        <f t="shared" si="292"/>
        <v>0</v>
      </c>
      <c r="F623" s="116">
        <f t="shared" si="292"/>
        <v>0</v>
      </c>
      <c r="G623" s="116">
        <f t="shared" si="292"/>
        <v>0</v>
      </c>
      <c r="H623" s="116">
        <f t="shared" si="292"/>
        <v>0</v>
      </c>
      <c r="I623" s="116">
        <f t="shared" si="292"/>
        <v>0</v>
      </c>
      <c r="J623" s="116">
        <f t="shared" si="292"/>
        <v>0</v>
      </c>
      <c r="K623" s="116">
        <f t="shared" si="292"/>
        <v>0</v>
      </c>
      <c r="L623" s="116">
        <f t="shared" si="292"/>
        <v>0</v>
      </c>
      <c r="M623" s="116">
        <f t="shared" si="292"/>
        <v>0</v>
      </c>
      <c r="N623" s="116">
        <f t="shared" si="292"/>
        <v>0</v>
      </c>
      <c r="O623" s="116">
        <f t="shared" si="292"/>
        <v>0</v>
      </c>
      <c r="P623" s="116">
        <f t="shared" si="292"/>
        <v>0</v>
      </c>
      <c r="Q623" s="116">
        <f t="shared" si="292"/>
        <v>0</v>
      </c>
      <c r="R623" s="116">
        <f t="shared" si="292"/>
        <v>0</v>
      </c>
      <c r="S623" s="116">
        <f t="shared" si="292"/>
        <v>0</v>
      </c>
      <c r="T623" s="116">
        <f t="shared" si="292"/>
        <v>0</v>
      </c>
      <c r="U623" s="116">
        <f t="shared" si="292"/>
        <v>0</v>
      </c>
      <c r="V623" s="116">
        <f t="shared" si="292"/>
        <v>0</v>
      </c>
      <c r="W623" s="116">
        <f t="shared" si="292"/>
        <v>0</v>
      </c>
      <c r="X623" s="116">
        <f t="shared" si="292"/>
        <v>0</v>
      </c>
      <c r="Y623" s="116">
        <f t="shared" si="292"/>
        <v>0</v>
      </c>
      <c r="Z623" s="116">
        <f t="shared" si="292"/>
        <v>0</v>
      </c>
      <c r="AA623" s="116">
        <f t="shared" si="292"/>
        <v>0</v>
      </c>
      <c r="AB623" s="116">
        <f t="shared" si="292"/>
        <v>0</v>
      </c>
      <c r="AC623" s="116">
        <f t="shared" si="292"/>
        <v>0</v>
      </c>
      <c r="AD623" s="116">
        <f t="shared" si="292"/>
        <v>0</v>
      </c>
      <c r="AE623" s="116">
        <f t="shared" si="292"/>
        <v>0</v>
      </c>
      <c r="AF623" s="116">
        <f t="shared" si="292"/>
        <v>0</v>
      </c>
      <c r="AG623" s="116">
        <f t="shared" si="292"/>
        <v>0</v>
      </c>
      <c r="AH623" s="116">
        <f t="shared" si="292"/>
        <v>0</v>
      </c>
      <c r="AI623" s="116">
        <f t="shared" si="292"/>
        <v>0</v>
      </c>
      <c r="AJ623" s="116">
        <f t="shared" si="292"/>
        <v>0</v>
      </c>
      <c r="AK623" s="116">
        <f t="shared" si="292"/>
        <v>0</v>
      </c>
      <c r="AL623" s="116">
        <f t="shared" si="292"/>
        <v>0</v>
      </c>
      <c r="AM623" s="116">
        <f t="shared" si="292"/>
        <v>0</v>
      </c>
      <c r="AN623" s="116">
        <f t="shared" si="292"/>
        <v>0</v>
      </c>
      <c r="AO623" s="116">
        <f t="shared" si="292"/>
        <v>0</v>
      </c>
      <c r="AP623" s="116">
        <f t="shared" si="292"/>
        <v>0</v>
      </c>
    </row>
    <row r="624" spans="1:42" x14ac:dyDescent="0.2">
      <c r="A624" s="21" t="s">
        <v>13</v>
      </c>
      <c r="C624" s="115">
        <f>C622*C623</f>
        <v>0</v>
      </c>
      <c r="D624" s="115">
        <f t="shared" ref="D624:AP624" si="293">D622*D623</f>
        <v>0</v>
      </c>
      <c r="E624" s="115">
        <f t="shared" si="293"/>
        <v>0</v>
      </c>
      <c r="F624" s="115">
        <f t="shared" si="293"/>
        <v>0</v>
      </c>
      <c r="G624" s="115">
        <f t="shared" si="293"/>
        <v>0</v>
      </c>
      <c r="H624" s="115">
        <f t="shared" si="293"/>
        <v>0</v>
      </c>
      <c r="I624" s="115">
        <f t="shared" si="293"/>
        <v>0</v>
      </c>
      <c r="J624" s="115">
        <f t="shared" si="293"/>
        <v>0</v>
      </c>
      <c r="K624" s="115">
        <f t="shared" si="293"/>
        <v>0</v>
      </c>
      <c r="L624" s="115">
        <f t="shared" si="293"/>
        <v>0</v>
      </c>
      <c r="M624" s="115">
        <f t="shared" si="293"/>
        <v>0</v>
      </c>
      <c r="N624" s="115">
        <f t="shared" si="293"/>
        <v>0</v>
      </c>
      <c r="O624" s="115">
        <f t="shared" si="293"/>
        <v>0</v>
      </c>
      <c r="P624" s="115">
        <f t="shared" si="293"/>
        <v>0</v>
      </c>
      <c r="Q624" s="115">
        <f t="shared" si="293"/>
        <v>0</v>
      </c>
      <c r="R624" s="115">
        <f t="shared" si="293"/>
        <v>0</v>
      </c>
      <c r="S624" s="115">
        <f t="shared" si="293"/>
        <v>0</v>
      </c>
      <c r="T624" s="115">
        <f t="shared" si="293"/>
        <v>0</v>
      </c>
      <c r="U624" s="115">
        <f t="shared" si="293"/>
        <v>0</v>
      </c>
      <c r="V624" s="115">
        <f t="shared" si="293"/>
        <v>0</v>
      </c>
      <c r="W624" s="115">
        <f t="shared" si="293"/>
        <v>0</v>
      </c>
      <c r="X624" s="115">
        <f t="shared" si="293"/>
        <v>0</v>
      </c>
      <c r="Y624" s="115">
        <f t="shared" si="293"/>
        <v>0</v>
      </c>
      <c r="Z624" s="115">
        <f t="shared" si="293"/>
        <v>0</v>
      </c>
      <c r="AA624" s="115">
        <f t="shared" si="293"/>
        <v>0</v>
      </c>
      <c r="AB624" s="115">
        <f t="shared" si="293"/>
        <v>0</v>
      </c>
      <c r="AC624" s="115">
        <f t="shared" si="293"/>
        <v>0</v>
      </c>
      <c r="AD624" s="115">
        <f t="shared" si="293"/>
        <v>0</v>
      </c>
      <c r="AE624" s="115">
        <f t="shared" si="293"/>
        <v>0</v>
      </c>
      <c r="AF624" s="115">
        <f t="shared" si="293"/>
        <v>0</v>
      </c>
      <c r="AG624" s="115">
        <f t="shared" si="293"/>
        <v>0</v>
      </c>
      <c r="AH624" s="115">
        <f t="shared" si="293"/>
        <v>0</v>
      </c>
      <c r="AI624" s="115">
        <f t="shared" si="293"/>
        <v>0</v>
      </c>
      <c r="AJ624" s="115">
        <f t="shared" si="293"/>
        <v>0</v>
      </c>
      <c r="AK624" s="115">
        <f t="shared" si="293"/>
        <v>0</v>
      </c>
      <c r="AL624" s="115">
        <f t="shared" si="293"/>
        <v>0</v>
      </c>
      <c r="AM624" s="115">
        <f t="shared" si="293"/>
        <v>0</v>
      </c>
      <c r="AN624" s="115">
        <f t="shared" si="293"/>
        <v>0</v>
      </c>
      <c r="AO624" s="115">
        <f t="shared" si="293"/>
        <v>0</v>
      </c>
      <c r="AP624" s="115">
        <f t="shared" si="293"/>
        <v>0</v>
      </c>
    </row>
    <row r="625" spans="1:42" x14ac:dyDescent="0.2">
      <c r="A625" s="17" t="str">
        <f>Inputs!B144</f>
        <v>State ($/kWh)</v>
      </c>
    </row>
    <row r="626" spans="1:42" x14ac:dyDescent="0.2">
      <c r="A626" s="21" t="s">
        <v>37</v>
      </c>
      <c r="C626" s="95">
        <f>IF(pbi_sta_amount="n/a",Inputs!D190,IF(AND(C$2&lt;=pbi_sta_term,C$2&lt;=analysis_period),pbi_sta_amount*(1+pbi_sta_escal/100)^B$2,0))</f>
        <v>0</v>
      </c>
      <c r="D626" s="95">
        <f>IF(pbi_sta_amount="n/a",Inputs!E190,IF(AND(D$2&lt;=pbi_sta_term,D$2&lt;=analysis_period),pbi_sta_amount*(1+pbi_sta_escal/100)^C$2,0))</f>
        <v>0</v>
      </c>
      <c r="E626" s="95">
        <f>IF(pbi_sta_amount="n/a",Inputs!F190,IF(AND(E$2&lt;=pbi_sta_term,E$2&lt;=analysis_period),pbi_sta_amount*(1+pbi_sta_escal/100)^D$2,0))</f>
        <v>0</v>
      </c>
      <c r="F626" s="95">
        <f>IF(pbi_sta_amount="n/a",Inputs!G190,IF(AND(F$2&lt;=pbi_sta_term,F$2&lt;=analysis_period),pbi_sta_amount*(1+pbi_sta_escal/100)^E$2,0))</f>
        <v>0</v>
      </c>
      <c r="G626" s="95">
        <f>IF(pbi_sta_amount="n/a",Inputs!H190,IF(AND(G$2&lt;=pbi_sta_term,G$2&lt;=analysis_period),pbi_sta_amount*(1+pbi_sta_escal/100)^F$2,0))</f>
        <v>0</v>
      </c>
      <c r="H626" s="95">
        <f>IF(pbi_sta_amount="n/a",Inputs!I190,IF(AND(H$2&lt;=pbi_sta_term,H$2&lt;=analysis_period),pbi_sta_amount*(1+pbi_sta_escal/100)^G$2,0))</f>
        <v>0</v>
      </c>
      <c r="I626" s="95">
        <f>IF(pbi_sta_amount="n/a",Inputs!J190,IF(AND(I$2&lt;=pbi_sta_term,I$2&lt;=analysis_period),pbi_sta_amount*(1+pbi_sta_escal/100)^H$2,0))</f>
        <v>0</v>
      </c>
      <c r="J626" s="95">
        <f>IF(pbi_sta_amount="n/a",Inputs!K190,IF(AND(J$2&lt;=pbi_sta_term,J$2&lt;=analysis_period),pbi_sta_amount*(1+pbi_sta_escal/100)^I$2,0))</f>
        <v>0</v>
      </c>
      <c r="K626" s="95">
        <f>IF(pbi_sta_amount="n/a",Inputs!L190,IF(AND(K$2&lt;=pbi_sta_term,K$2&lt;=analysis_period),pbi_sta_amount*(1+pbi_sta_escal/100)^J$2,0))</f>
        <v>0</v>
      </c>
      <c r="L626" s="95">
        <f>IF(pbi_sta_amount="n/a",Inputs!M190,IF(AND(L$2&lt;=pbi_sta_term,L$2&lt;=analysis_period),pbi_sta_amount*(1+pbi_sta_escal/100)^K$2,0))</f>
        <v>0</v>
      </c>
      <c r="M626" s="95">
        <f>IF(pbi_sta_amount="n/a",Inputs!N190,IF(AND(M$2&lt;=pbi_sta_term,M$2&lt;=analysis_period),pbi_sta_amount*(1+pbi_sta_escal/100)^L$2,0))</f>
        <v>0</v>
      </c>
      <c r="N626" s="95">
        <f>IF(pbi_sta_amount="n/a",Inputs!O190,IF(AND(N$2&lt;=pbi_sta_term,N$2&lt;=analysis_period),pbi_sta_amount*(1+pbi_sta_escal/100)^M$2,0))</f>
        <v>0</v>
      </c>
      <c r="O626" s="95">
        <f>IF(pbi_sta_amount="n/a",Inputs!P190,IF(AND(O$2&lt;=pbi_sta_term,O$2&lt;=analysis_period),pbi_sta_amount*(1+pbi_sta_escal/100)^N$2,0))</f>
        <v>0</v>
      </c>
      <c r="P626" s="95">
        <f>IF(pbi_sta_amount="n/a",Inputs!Q190,IF(AND(P$2&lt;=pbi_sta_term,P$2&lt;=analysis_period),pbi_sta_amount*(1+pbi_sta_escal/100)^O$2,0))</f>
        <v>0</v>
      </c>
      <c r="Q626" s="95">
        <f>IF(pbi_sta_amount="n/a",Inputs!R190,IF(AND(Q$2&lt;=pbi_sta_term,Q$2&lt;=analysis_period),pbi_sta_amount*(1+pbi_sta_escal/100)^P$2,0))</f>
        <v>0</v>
      </c>
      <c r="R626" s="95">
        <f>IF(pbi_sta_amount="n/a",Inputs!S190,IF(AND(R$2&lt;=pbi_sta_term,R$2&lt;=analysis_period),pbi_sta_amount*(1+pbi_sta_escal/100)^Q$2,0))</f>
        <v>0</v>
      </c>
      <c r="S626" s="95">
        <f>IF(pbi_sta_amount="n/a",Inputs!T190,IF(AND(S$2&lt;=pbi_sta_term,S$2&lt;=analysis_period),pbi_sta_amount*(1+pbi_sta_escal/100)^R$2,0))</f>
        <v>0</v>
      </c>
      <c r="T626" s="95">
        <f>IF(pbi_sta_amount="n/a",Inputs!U190,IF(AND(T$2&lt;=pbi_sta_term,T$2&lt;=analysis_period),pbi_sta_amount*(1+pbi_sta_escal/100)^S$2,0))</f>
        <v>0</v>
      </c>
      <c r="U626" s="95">
        <f>IF(pbi_sta_amount="n/a",Inputs!V190,IF(AND(U$2&lt;=pbi_sta_term,U$2&lt;=analysis_period),pbi_sta_amount*(1+pbi_sta_escal/100)^T$2,0))</f>
        <v>0</v>
      </c>
      <c r="V626" s="95">
        <f>IF(pbi_sta_amount="n/a",Inputs!W190,IF(AND(V$2&lt;=pbi_sta_term,V$2&lt;=analysis_period),pbi_sta_amount*(1+pbi_sta_escal/100)^U$2,0))</f>
        <v>0</v>
      </c>
      <c r="W626" s="95">
        <f>IF(pbi_sta_amount="n/a",Inputs!X190,IF(AND(W$2&lt;=pbi_sta_term,W$2&lt;=analysis_period),pbi_sta_amount*(1+pbi_sta_escal/100)^V$2,0))</f>
        <v>0</v>
      </c>
      <c r="X626" s="95">
        <f>IF(pbi_sta_amount="n/a",Inputs!Y190,IF(AND(X$2&lt;=pbi_sta_term,X$2&lt;=analysis_period),pbi_sta_amount*(1+pbi_sta_escal/100)^W$2,0))</f>
        <v>0</v>
      </c>
      <c r="Y626" s="95">
        <f>IF(pbi_sta_amount="n/a",Inputs!Z190,IF(AND(Y$2&lt;=pbi_sta_term,Y$2&lt;=analysis_period),pbi_sta_amount*(1+pbi_sta_escal/100)^X$2,0))</f>
        <v>0</v>
      </c>
      <c r="Z626" s="95">
        <f>IF(pbi_sta_amount="n/a",Inputs!AA190,IF(AND(Z$2&lt;=pbi_sta_term,Z$2&lt;=analysis_period),pbi_sta_amount*(1+pbi_sta_escal/100)^Y$2,0))</f>
        <v>0</v>
      </c>
      <c r="AA626" s="95">
        <f>IF(pbi_sta_amount="n/a",Inputs!AB190,IF(AND(AA$2&lt;=pbi_sta_term,AA$2&lt;=analysis_period),pbi_sta_amount*(1+pbi_sta_escal/100)^Z$2,0))</f>
        <v>0</v>
      </c>
      <c r="AB626" s="95">
        <f>IF(pbi_sta_amount="n/a",Inputs!AC190,IF(AND(AB$2&lt;=pbi_sta_term,AB$2&lt;=analysis_period),pbi_sta_amount*(1+pbi_sta_escal/100)^AA$2,0))</f>
        <v>0</v>
      </c>
      <c r="AC626" s="95">
        <f>IF(pbi_sta_amount="n/a",Inputs!AD190,IF(AND(AC$2&lt;=pbi_sta_term,AC$2&lt;=analysis_period),pbi_sta_amount*(1+pbi_sta_escal/100)^AB$2,0))</f>
        <v>0</v>
      </c>
      <c r="AD626" s="95">
        <f>IF(pbi_sta_amount="n/a",Inputs!AE190,IF(AND(AD$2&lt;=pbi_sta_term,AD$2&lt;=analysis_period),pbi_sta_amount*(1+pbi_sta_escal/100)^AC$2,0))</f>
        <v>0</v>
      </c>
      <c r="AE626" s="95">
        <f>IF(pbi_sta_amount="n/a",Inputs!AF190,IF(AND(AE$2&lt;=pbi_sta_term,AE$2&lt;=analysis_period),pbi_sta_amount*(1+pbi_sta_escal/100)^AD$2,0))</f>
        <v>0</v>
      </c>
      <c r="AF626" s="95">
        <f>IF(pbi_sta_amount="n/a",Inputs!AG190,IF(AND(AF$2&lt;=pbi_sta_term,AF$2&lt;=analysis_period),pbi_sta_amount*(1+pbi_sta_escal/100)^AE$2,0))</f>
        <v>0</v>
      </c>
      <c r="AG626" s="95">
        <f>IF(pbi_sta_amount="n/a",Inputs!AH190,IF(AND(AG$2&lt;=pbi_sta_term,AG$2&lt;=analysis_period),pbi_sta_amount*(1+pbi_sta_escal/100)^AF$2,0))</f>
        <v>0</v>
      </c>
      <c r="AH626" s="95">
        <f>IF(pbi_sta_amount="n/a",Inputs!AI190,IF(AND(AH$2&lt;=pbi_sta_term,AH$2&lt;=analysis_period),pbi_sta_amount*(1+pbi_sta_escal/100)^AG$2,0))</f>
        <v>0</v>
      </c>
      <c r="AI626" s="95">
        <f>IF(pbi_sta_amount="n/a",Inputs!AJ190,IF(AND(AI$2&lt;=pbi_sta_term,AI$2&lt;=analysis_period),pbi_sta_amount*(1+pbi_sta_escal/100)^AH$2,0))</f>
        <v>0</v>
      </c>
      <c r="AJ626" s="95">
        <f>IF(pbi_sta_amount="n/a",Inputs!AK190,IF(AND(AJ$2&lt;=pbi_sta_term,AJ$2&lt;=analysis_period),pbi_sta_amount*(1+pbi_sta_escal/100)^AI$2,0))</f>
        <v>0</v>
      </c>
      <c r="AK626" s="95">
        <f>IF(pbi_sta_amount="n/a",Inputs!AL190,IF(AND(AK$2&lt;=pbi_sta_term,AK$2&lt;=analysis_period),pbi_sta_amount*(1+pbi_sta_escal/100)^AJ$2,0))</f>
        <v>0</v>
      </c>
      <c r="AL626" s="95">
        <f>IF(pbi_sta_amount="n/a",Inputs!AM190,IF(AND(AL$2&lt;=pbi_sta_term,AL$2&lt;=analysis_period),pbi_sta_amount*(1+pbi_sta_escal/100)^AK$2,0))</f>
        <v>0</v>
      </c>
      <c r="AM626" s="95">
        <f>IF(pbi_sta_amount="n/a",Inputs!AN190,IF(AND(AM$2&lt;=pbi_sta_term,AM$2&lt;=analysis_period),pbi_sta_amount*(1+pbi_sta_escal/100)^AL$2,0))</f>
        <v>0</v>
      </c>
      <c r="AN626" s="95">
        <f>IF(pbi_sta_amount="n/a",Inputs!AO190,IF(AND(AN$2&lt;=pbi_sta_term,AN$2&lt;=analysis_period),pbi_sta_amount*(1+pbi_sta_escal/100)^AM$2,0))</f>
        <v>0</v>
      </c>
      <c r="AO626" s="95">
        <f>IF(pbi_sta_amount="n/a",Inputs!AP190,IF(AND(AO$2&lt;=pbi_sta_term,AO$2&lt;=analysis_period),pbi_sta_amount*(1+pbi_sta_escal/100)^AN$2,0))</f>
        <v>0</v>
      </c>
      <c r="AP626" s="95">
        <f>IF(pbi_sta_amount="n/a",Inputs!AQ190,IF(AND(AP$2&lt;=pbi_sta_term,AP$2&lt;=analysis_period),pbi_sta_amount*(1+pbi_sta_escal/100)^AO$2,0))</f>
        <v>0</v>
      </c>
    </row>
    <row r="627" spans="1:42" x14ac:dyDescent="0.2">
      <c r="A627" s="21" t="s">
        <v>418</v>
      </c>
      <c r="C627" s="116">
        <f>C$5</f>
        <v>0</v>
      </c>
      <c r="D627" s="116">
        <f t="shared" ref="D627:AP627" si="294">D$5</f>
        <v>0</v>
      </c>
      <c r="E627" s="116">
        <f t="shared" si="294"/>
        <v>0</v>
      </c>
      <c r="F627" s="116">
        <f t="shared" si="294"/>
        <v>0</v>
      </c>
      <c r="G627" s="116">
        <f t="shared" si="294"/>
        <v>0</v>
      </c>
      <c r="H627" s="116">
        <f t="shared" si="294"/>
        <v>0</v>
      </c>
      <c r="I627" s="116">
        <f t="shared" si="294"/>
        <v>0</v>
      </c>
      <c r="J627" s="116">
        <f t="shared" si="294"/>
        <v>0</v>
      </c>
      <c r="K627" s="116">
        <f t="shared" si="294"/>
        <v>0</v>
      </c>
      <c r="L627" s="116">
        <f t="shared" si="294"/>
        <v>0</v>
      </c>
      <c r="M627" s="116">
        <f t="shared" si="294"/>
        <v>0</v>
      </c>
      <c r="N627" s="116">
        <f t="shared" si="294"/>
        <v>0</v>
      </c>
      <c r="O627" s="116">
        <f t="shared" si="294"/>
        <v>0</v>
      </c>
      <c r="P627" s="116">
        <f t="shared" si="294"/>
        <v>0</v>
      </c>
      <c r="Q627" s="116">
        <f t="shared" si="294"/>
        <v>0</v>
      </c>
      <c r="R627" s="116">
        <f t="shared" si="294"/>
        <v>0</v>
      </c>
      <c r="S627" s="116">
        <f t="shared" si="294"/>
        <v>0</v>
      </c>
      <c r="T627" s="116">
        <f t="shared" si="294"/>
        <v>0</v>
      </c>
      <c r="U627" s="116">
        <f t="shared" si="294"/>
        <v>0</v>
      </c>
      <c r="V627" s="116">
        <f t="shared" si="294"/>
        <v>0</v>
      </c>
      <c r="W627" s="116">
        <f t="shared" si="294"/>
        <v>0</v>
      </c>
      <c r="X627" s="116">
        <f t="shared" si="294"/>
        <v>0</v>
      </c>
      <c r="Y627" s="116">
        <f t="shared" si="294"/>
        <v>0</v>
      </c>
      <c r="Z627" s="116">
        <f t="shared" si="294"/>
        <v>0</v>
      </c>
      <c r="AA627" s="116">
        <f t="shared" si="294"/>
        <v>0</v>
      </c>
      <c r="AB627" s="116">
        <f t="shared" si="294"/>
        <v>0</v>
      </c>
      <c r="AC627" s="116">
        <f t="shared" si="294"/>
        <v>0</v>
      </c>
      <c r="AD627" s="116">
        <f t="shared" si="294"/>
        <v>0</v>
      </c>
      <c r="AE627" s="116">
        <f t="shared" si="294"/>
        <v>0</v>
      </c>
      <c r="AF627" s="116">
        <f t="shared" si="294"/>
        <v>0</v>
      </c>
      <c r="AG627" s="116">
        <f t="shared" si="294"/>
        <v>0</v>
      </c>
      <c r="AH627" s="116">
        <f t="shared" si="294"/>
        <v>0</v>
      </c>
      <c r="AI627" s="116">
        <f t="shared" si="294"/>
        <v>0</v>
      </c>
      <c r="AJ627" s="116">
        <f t="shared" si="294"/>
        <v>0</v>
      </c>
      <c r="AK627" s="116">
        <f t="shared" si="294"/>
        <v>0</v>
      </c>
      <c r="AL627" s="116">
        <f t="shared" si="294"/>
        <v>0</v>
      </c>
      <c r="AM627" s="116">
        <f t="shared" si="294"/>
        <v>0</v>
      </c>
      <c r="AN627" s="116">
        <f t="shared" si="294"/>
        <v>0</v>
      </c>
      <c r="AO627" s="116">
        <f t="shared" si="294"/>
        <v>0</v>
      </c>
      <c r="AP627" s="116">
        <f t="shared" si="294"/>
        <v>0</v>
      </c>
    </row>
    <row r="628" spans="1:42" x14ac:dyDescent="0.2">
      <c r="A628" s="21" t="s">
        <v>13</v>
      </c>
      <c r="C628" s="115">
        <f>C626*C627</f>
        <v>0</v>
      </c>
      <c r="D628" s="115">
        <f t="shared" ref="D628:AP628" si="295">D626*D627</f>
        <v>0</v>
      </c>
      <c r="E628" s="115">
        <f t="shared" si="295"/>
        <v>0</v>
      </c>
      <c r="F628" s="115">
        <f t="shared" si="295"/>
        <v>0</v>
      </c>
      <c r="G628" s="115">
        <f t="shared" si="295"/>
        <v>0</v>
      </c>
      <c r="H628" s="115">
        <f t="shared" si="295"/>
        <v>0</v>
      </c>
      <c r="I628" s="115">
        <f t="shared" si="295"/>
        <v>0</v>
      </c>
      <c r="J628" s="115">
        <f t="shared" si="295"/>
        <v>0</v>
      </c>
      <c r="K628" s="115">
        <f t="shared" si="295"/>
        <v>0</v>
      </c>
      <c r="L628" s="115">
        <f t="shared" si="295"/>
        <v>0</v>
      </c>
      <c r="M628" s="115">
        <f t="shared" si="295"/>
        <v>0</v>
      </c>
      <c r="N628" s="115">
        <f t="shared" si="295"/>
        <v>0</v>
      </c>
      <c r="O628" s="115">
        <f t="shared" si="295"/>
        <v>0</v>
      </c>
      <c r="P628" s="115">
        <f t="shared" si="295"/>
        <v>0</v>
      </c>
      <c r="Q628" s="115">
        <f t="shared" si="295"/>
        <v>0</v>
      </c>
      <c r="R628" s="115">
        <f t="shared" si="295"/>
        <v>0</v>
      </c>
      <c r="S628" s="115">
        <f t="shared" si="295"/>
        <v>0</v>
      </c>
      <c r="T628" s="115">
        <f t="shared" si="295"/>
        <v>0</v>
      </c>
      <c r="U628" s="115">
        <f t="shared" si="295"/>
        <v>0</v>
      </c>
      <c r="V628" s="115">
        <f t="shared" si="295"/>
        <v>0</v>
      </c>
      <c r="W628" s="115">
        <f t="shared" si="295"/>
        <v>0</v>
      </c>
      <c r="X628" s="115">
        <f t="shared" si="295"/>
        <v>0</v>
      </c>
      <c r="Y628" s="115">
        <f t="shared" si="295"/>
        <v>0</v>
      </c>
      <c r="Z628" s="115">
        <f t="shared" si="295"/>
        <v>0</v>
      </c>
      <c r="AA628" s="115">
        <f t="shared" si="295"/>
        <v>0</v>
      </c>
      <c r="AB628" s="115">
        <f t="shared" si="295"/>
        <v>0</v>
      </c>
      <c r="AC628" s="115">
        <f t="shared" si="295"/>
        <v>0</v>
      </c>
      <c r="AD628" s="115">
        <f t="shared" si="295"/>
        <v>0</v>
      </c>
      <c r="AE628" s="115">
        <f t="shared" si="295"/>
        <v>0</v>
      </c>
      <c r="AF628" s="115">
        <f t="shared" si="295"/>
        <v>0</v>
      </c>
      <c r="AG628" s="115">
        <f t="shared" si="295"/>
        <v>0</v>
      </c>
      <c r="AH628" s="115">
        <f t="shared" si="295"/>
        <v>0</v>
      </c>
      <c r="AI628" s="115">
        <f t="shared" si="295"/>
        <v>0</v>
      </c>
      <c r="AJ628" s="115">
        <f t="shared" si="295"/>
        <v>0</v>
      </c>
      <c r="AK628" s="115">
        <f t="shared" si="295"/>
        <v>0</v>
      </c>
      <c r="AL628" s="115">
        <f t="shared" si="295"/>
        <v>0</v>
      </c>
      <c r="AM628" s="115">
        <f t="shared" si="295"/>
        <v>0</v>
      </c>
      <c r="AN628" s="115">
        <f t="shared" si="295"/>
        <v>0</v>
      </c>
      <c r="AO628" s="115">
        <f t="shared" si="295"/>
        <v>0</v>
      </c>
      <c r="AP628" s="115">
        <f t="shared" si="295"/>
        <v>0</v>
      </c>
    </row>
    <row r="629" spans="1:42" x14ac:dyDescent="0.2">
      <c r="A629" s="17" t="str">
        <f>Inputs!B145</f>
        <v>Utility ($/kWh)</v>
      </c>
    </row>
    <row r="630" spans="1:42" x14ac:dyDescent="0.2">
      <c r="A630" s="21" t="s">
        <v>37</v>
      </c>
      <c r="C630" s="95">
        <f>IF(pbi_uti_amount="n/a",Inputs!D191,IF(AND(C$2&lt;=pbi_uti_term,C$2&lt;=analysis_period),pbi_uti_amount*(1+pbi_uti_escal/100)^B$2,0))</f>
        <v>0</v>
      </c>
      <c r="D630" s="95">
        <f>IF(pbi_uti_amount="n/a",Inputs!E191,IF(AND(D$2&lt;=pbi_uti_term,D$2&lt;=analysis_period),pbi_uti_amount*(1+pbi_uti_escal/100)^C$2,0))</f>
        <v>0</v>
      </c>
      <c r="E630" s="95">
        <f>IF(pbi_uti_amount="n/a",Inputs!F191,IF(AND(E$2&lt;=pbi_uti_term,E$2&lt;=analysis_period),pbi_uti_amount*(1+pbi_uti_escal/100)^D$2,0))</f>
        <v>0</v>
      </c>
      <c r="F630" s="95">
        <f>IF(pbi_uti_amount="n/a",Inputs!G191,IF(AND(F$2&lt;=pbi_uti_term,F$2&lt;=analysis_period),pbi_uti_amount*(1+pbi_uti_escal/100)^E$2,0))</f>
        <v>0</v>
      </c>
      <c r="G630" s="95">
        <f>IF(pbi_uti_amount="n/a",Inputs!H191,IF(AND(G$2&lt;=pbi_uti_term,G$2&lt;=analysis_period),pbi_uti_amount*(1+pbi_uti_escal/100)^F$2,0))</f>
        <v>0</v>
      </c>
      <c r="H630" s="95">
        <f>IF(pbi_uti_amount="n/a",Inputs!I191,IF(AND(H$2&lt;=pbi_uti_term,H$2&lt;=analysis_period),pbi_uti_amount*(1+pbi_uti_escal/100)^G$2,0))</f>
        <v>0</v>
      </c>
      <c r="I630" s="95">
        <f>IF(pbi_uti_amount="n/a",Inputs!J191,IF(AND(I$2&lt;=pbi_uti_term,I$2&lt;=analysis_period),pbi_uti_amount*(1+pbi_uti_escal/100)^H$2,0))</f>
        <v>0</v>
      </c>
      <c r="J630" s="95">
        <f>IF(pbi_uti_amount="n/a",Inputs!K191,IF(AND(J$2&lt;=pbi_uti_term,J$2&lt;=analysis_period),pbi_uti_amount*(1+pbi_uti_escal/100)^I$2,0))</f>
        <v>0</v>
      </c>
      <c r="K630" s="95">
        <f>IF(pbi_uti_amount="n/a",Inputs!L191,IF(AND(K$2&lt;=pbi_uti_term,K$2&lt;=analysis_period),pbi_uti_amount*(1+pbi_uti_escal/100)^J$2,0))</f>
        <v>0</v>
      </c>
      <c r="L630" s="95">
        <f>IF(pbi_uti_amount="n/a",Inputs!M191,IF(AND(L$2&lt;=pbi_uti_term,L$2&lt;=analysis_period),pbi_uti_amount*(1+pbi_uti_escal/100)^K$2,0))</f>
        <v>0</v>
      </c>
      <c r="M630" s="95">
        <f>IF(pbi_uti_amount="n/a",Inputs!N191,IF(AND(M$2&lt;=pbi_uti_term,M$2&lt;=analysis_period),pbi_uti_amount*(1+pbi_uti_escal/100)^L$2,0))</f>
        <v>0</v>
      </c>
      <c r="N630" s="95">
        <f>IF(pbi_uti_amount="n/a",Inputs!O191,IF(AND(N$2&lt;=pbi_uti_term,N$2&lt;=analysis_period),pbi_uti_amount*(1+pbi_uti_escal/100)^M$2,0))</f>
        <v>0</v>
      </c>
      <c r="O630" s="95">
        <f>IF(pbi_uti_amount="n/a",Inputs!P191,IF(AND(O$2&lt;=pbi_uti_term,O$2&lt;=analysis_period),pbi_uti_amount*(1+pbi_uti_escal/100)^N$2,0))</f>
        <v>0</v>
      </c>
      <c r="P630" s="95">
        <f>IF(pbi_uti_amount="n/a",Inputs!Q191,IF(AND(P$2&lt;=pbi_uti_term,P$2&lt;=analysis_period),pbi_uti_amount*(1+pbi_uti_escal/100)^O$2,0))</f>
        <v>0</v>
      </c>
      <c r="Q630" s="95">
        <f>IF(pbi_uti_amount="n/a",Inputs!R191,IF(AND(Q$2&lt;=pbi_uti_term,Q$2&lt;=analysis_period),pbi_uti_amount*(1+pbi_uti_escal/100)^P$2,0))</f>
        <v>0</v>
      </c>
      <c r="R630" s="95">
        <f>IF(pbi_uti_amount="n/a",Inputs!S191,IF(AND(R$2&lt;=pbi_uti_term,R$2&lt;=analysis_period),pbi_uti_amount*(1+pbi_uti_escal/100)^Q$2,0))</f>
        <v>0</v>
      </c>
      <c r="S630" s="95">
        <f>IF(pbi_uti_amount="n/a",Inputs!T191,IF(AND(S$2&lt;=pbi_uti_term,S$2&lt;=analysis_period),pbi_uti_amount*(1+pbi_uti_escal/100)^R$2,0))</f>
        <v>0</v>
      </c>
      <c r="T630" s="95">
        <f>IF(pbi_uti_amount="n/a",Inputs!U191,IF(AND(T$2&lt;=pbi_uti_term,T$2&lt;=analysis_period),pbi_uti_amount*(1+pbi_uti_escal/100)^S$2,0))</f>
        <v>0</v>
      </c>
      <c r="U630" s="95">
        <f>IF(pbi_uti_amount="n/a",Inputs!V191,IF(AND(U$2&lt;=pbi_uti_term,U$2&lt;=analysis_period),pbi_uti_amount*(1+pbi_uti_escal/100)^T$2,0))</f>
        <v>0</v>
      </c>
      <c r="V630" s="95">
        <f>IF(pbi_uti_amount="n/a",Inputs!W191,IF(AND(V$2&lt;=pbi_uti_term,V$2&lt;=analysis_period),pbi_uti_amount*(1+pbi_uti_escal/100)^U$2,0))</f>
        <v>0</v>
      </c>
      <c r="W630" s="95">
        <f>IF(pbi_uti_amount="n/a",Inputs!X191,IF(AND(W$2&lt;=pbi_uti_term,W$2&lt;=analysis_period),pbi_uti_amount*(1+pbi_uti_escal/100)^V$2,0))</f>
        <v>0</v>
      </c>
      <c r="X630" s="95">
        <f>IF(pbi_uti_amount="n/a",Inputs!Y191,IF(AND(X$2&lt;=pbi_uti_term,X$2&lt;=analysis_period),pbi_uti_amount*(1+pbi_uti_escal/100)^W$2,0))</f>
        <v>0</v>
      </c>
      <c r="Y630" s="95">
        <f>IF(pbi_uti_amount="n/a",Inputs!Z191,IF(AND(Y$2&lt;=pbi_uti_term,Y$2&lt;=analysis_period),pbi_uti_amount*(1+pbi_uti_escal/100)^X$2,0))</f>
        <v>0</v>
      </c>
      <c r="Z630" s="95">
        <f>IF(pbi_uti_amount="n/a",Inputs!AA191,IF(AND(Z$2&lt;=pbi_uti_term,Z$2&lt;=analysis_period),pbi_uti_amount*(1+pbi_uti_escal/100)^Y$2,0))</f>
        <v>0</v>
      </c>
      <c r="AA630" s="95">
        <f>IF(pbi_uti_amount="n/a",Inputs!AB191,IF(AND(AA$2&lt;=pbi_uti_term,AA$2&lt;=analysis_period),pbi_uti_amount*(1+pbi_uti_escal/100)^Z$2,0))</f>
        <v>0</v>
      </c>
      <c r="AB630" s="95">
        <f>IF(pbi_uti_amount="n/a",Inputs!AC191,IF(AND(AB$2&lt;=pbi_uti_term,AB$2&lt;=analysis_period),pbi_uti_amount*(1+pbi_uti_escal/100)^AA$2,0))</f>
        <v>0</v>
      </c>
      <c r="AC630" s="95">
        <f>IF(pbi_uti_amount="n/a",Inputs!AD191,IF(AND(AC$2&lt;=pbi_uti_term,AC$2&lt;=analysis_period),pbi_uti_amount*(1+pbi_uti_escal/100)^AB$2,0))</f>
        <v>0</v>
      </c>
      <c r="AD630" s="95">
        <f>IF(pbi_uti_amount="n/a",Inputs!AE191,IF(AND(AD$2&lt;=pbi_uti_term,AD$2&lt;=analysis_period),pbi_uti_amount*(1+pbi_uti_escal/100)^AC$2,0))</f>
        <v>0</v>
      </c>
      <c r="AE630" s="95">
        <f>IF(pbi_uti_amount="n/a",Inputs!AF191,IF(AND(AE$2&lt;=pbi_uti_term,AE$2&lt;=analysis_period),pbi_uti_amount*(1+pbi_uti_escal/100)^AD$2,0))</f>
        <v>0</v>
      </c>
      <c r="AF630" s="95">
        <f>IF(pbi_uti_amount="n/a",Inputs!AG191,IF(AND(AF$2&lt;=pbi_uti_term,AF$2&lt;=analysis_period),pbi_uti_amount*(1+pbi_uti_escal/100)^AE$2,0))</f>
        <v>0</v>
      </c>
      <c r="AG630" s="95">
        <f>IF(pbi_uti_amount="n/a",Inputs!AH191,IF(AND(AG$2&lt;=pbi_uti_term,AG$2&lt;=analysis_period),pbi_uti_amount*(1+pbi_uti_escal/100)^AF$2,0))</f>
        <v>0</v>
      </c>
      <c r="AH630" s="95">
        <f>IF(pbi_uti_amount="n/a",Inputs!AI191,IF(AND(AH$2&lt;=pbi_uti_term,AH$2&lt;=analysis_period),pbi_uti_amount*(1+pbi_uti_escal/100)^AG$2,0))</f>
        <v>0</v>
      </c>
      <c r="AI630" s="95">
        <f>IF(pbi_uti_amount="n/a",Inputs!AJ191,IF(AND(AI$2&lt;=pbi_uti_term,AI$2&lt;=analysis_period),pbi_uti_amount*(1+pbi_uti_escal/100)^AH$2,0))</f>
        <v>0</v>
      </c>
      <c r="AJ630" s="95">
        <f>IF(pbi_uti_amount="n/a",Inputs!AK191,IF(AND(AJ$2&lt;=pbi_uti_term,AJ$2&lt;=analysis_period),pbi_uti_amount*(1+pbi_uti_escal/100)^AI$2,0))</f>
        <v>0</v>
      </c>
      <c r="AK630" s="95">
        <f>IF(pbi_uti_amount="n/a",Inputs!AL191,IF(AND(AK$2&lt;=pbi_uti_term,AK$2&lt;=analysis_period),pbi_uti_amount*(1+pbi_uti_escal/100)^AJ$2,0))</f>
        <v>0</v>
      </c>
      <c r="AL630" s="95">
        <f>IF(pbi_uti_amount="n/a",Inputs!AM191,IF(AND(AL$2&lt;=pbi_uti_term,AL$2&lt;=analysis_period),pbi_uti_amount*(1+pbi_uti_escal/100)^AK$2,0))</f>
        <v>0</v>
      </c>
      <c r="AM630" s="95">
        <f>IF(pbi_uti_amount="n/a",Inputs!AN191,IF(AND(AM$2&lt;=pbi_uti_term,AM$2&lt;=analysis_period),pbi_uti_amount*(1+pbi_uti_escal/100)^AL$2,0))</f>
        <v>0</v>
      </c>
      <c r="AN630" s="95">
        <f>IF(pbi_uti_amount="n/a",Inputs!AO191,IF(AND(AN$2&lt;=pbi_uti_term,AN$2&lt;=analysis_period),pbi_uti_amount*(1+pbi_uti_escal/100)^AM$2,0))</f>
        <v>0</v>
      </c>
      <c r="AO630" s="95">
        <f>IF(pbi_uti_amount="n/a",Inputs!AP191,IF(AND(AO$2&lt;=pbi_uti_term,AO$2&lt;=analysis_period),pbi_uti_amount*(1+pbi_uti_escal/100)^AN$2,0))</f>
        <v>0</v>
      </c>
      <c r="AP630" s="95">
        <f>IF(pbi_uti_amount="n/a",Inputs!AQ191,IF(AND(AP$2&lt;=pbi_uti_term,AP$2&lt;=analysis_period),pbi_uti_amount*(1+pbi_uti_escal/100)^AO$2,0))</f>
        <v>0</v>
      </c>
    </row>
    <row r="631" spans="1:42" x14ac:dyDescent="0.2">
      <c r="A631" s="21" t="s">
        <v>418</v>
      </c>
      <c r="C631" s="116">
        <f>C$5</f>
        <v>0</v>
      </c>
      <c r="D631" s="116">
        <f t="shared" ref="D631:AP631" si="296">D$5</f>
        <v>0</v>
      </c>
      <c r="E631" s="116">
        <f t="shared" si="296"/>
        <v>0</v>
      </c>
      <c r="F631" s="116">
        <f t="shared" si="296"/>
        <v>0</v>
      </c>
      <c r="G631" s="116">
        <f t="shared" si="296"/>
        <v>0</v>
      </c>
      <c r="H631" s="116">
        <f t="shared" si="296"/>
        <v>0</v>
      </c>
      <c r="I631" s="116">
        <f t="shared" si="296"/>
        <v>0</v>
      </c>
      <c r="J631" s="116">
        <f t="shared" si="296"/>
        <v>0</v>
      </c>
      <c r="K631" s="116">
        <f t="shared" si="296"/>
        <v>0</v>
      </c>
      <c r="L631" s="116">
        <f t="shared" si="296"/>
        <v>0</v>
      </c>
      <c r="M631" s="116">
        <f t="shared" si="296"/>
        <v>0</v>
      </c>
      <c r="N631" s="116">
        <f t="shared" si="296"/>
        <v>0</v>
      </c>
      <c r="O631" s="116">
        <f t="shared" si="296"/>
        <v>0</v>
      </c>
      <c r="P631" s="116">
        <f t="shared" si="296"/>
        <v>0</v>
      </c>
      <c r="Q631" s="116">
        <f t="shared" si="296"/>
        <v>0</v>
      </c>
      <c r="R631" s="116">
        <f t="shared" si="296"/>
        <v>0</v>
      </c>
      <c r="S631" s="116">
        <f t="shared" si="296"/>
        <v>0</v>
      </c>
      <c r="T631" s="116">
        <f t="shared" si="296"/>
        <v>0</v>
      </c>
      <c r="U631" s="116">
        <f t="shared" si="296"/>
        <v>0</v>
      </c>
      <c r="V631" s="116">
        <f t="shared" si="296"/>
        <v>0</v>
      </c>
      <c r="W631" s="116">
        <f t="shared" si="296"/>
        <v>0</v>
      </c>
      <c r="X631" s="116">
        <f t="shared" si="296"/>
        <v>0</v>
      </c>
      <c r="Y631" s="116">
        <f t="shared" si="296"/>
        <v>0</v>
      </c>
      <c r="Z631" s="116">
        <f t="shared" si="296"/>
        <v>0</v>
      </c>
      <c r="AA631" s="116">
        <f t="shared" si="296"/>
        <v>0</v>
      </c>
      <c r="AB631" s="116">
        <f t="shared" si="296"/>
        <v>0</v>
      </c>
      <c r="AC631" s="116">
        <f t="shared" si="296"/>
        <v>0</v>
      </c>
      <c r="AD631" s="116">
        <f t="shared" si="296"/>
        <v>0</v>
      </c>
      <c r="AE631" s="116">
        <f t="shared" si="296"/>
        <v>0</v>
      </c>
      <c r="AF631" s="116">
        <f t="shared" si="296"/>
        <v>0</v>
      </c>
      <c r="AG631" s="116">
        <f t="shared" si="296"/>
        <v>0</v>
      </c>
      <c r="AH631" s="116">
        <f t="shared" si="296"/>
        <v>0</v>
      </c>
      <c r="AI631" s="116">
        <f t="shared" si="296"/>
        <v>0</v>
      </c>
      <c r="AJ631" s="116">
        <f t="shared" si="296"/>
        <v>0</v>
      </c>
      <c r="AK631" s="116">
        <f t="shared" si="296"/>
        <v>0</v>
      </c>
      <c r="AL631" s="116">
        <f t="shared" si="296"/>
        <v>0</v>
      </c>
      <c r="AM631" s="116">
        <f t="shared" si="296"/>
        <v>0</v>
      </c>
      <c r="AN631" s="116">
        <f t="shared" si="296"/>
        <v>0</v>
      </c>
      <c r="AO631" s="116">
        <f t="shared" si="296"/>
        <v>0</v>
      </c>
      <c r="AP631" s="116">
        <f t="shared" si="296"/>
        <v>0</v>
      </c>
    </row>
    <row r="632" spans="1:42" x14ac:dyDescent="0.2">
      <c r="A632" s="21" t="s">
        <v>13</v>
      </c>
      <c r="C632" s="115">
        <f>C630*C631</f>
        <v>0</v>
      </c>
      <c r="D632" s="115">
        <f t="shared" ref="D632:AP632" si="297">D630*D631</f>
        <v>0</v>
      </c>
      <c r="E632" s="115">
        <f t="shared" si="297"/>
        <v>0</v>
      </c>
      <c r="F632" s="115">
        <f t="shared" si="297"/>
        <v>0</v>
      </c>
      <c r="G632" s="115">
        <f t="shared" si="297"/>
        <v>0</v>
      </c>
      <c r="H632" s="115">
        <f t="shared" si="297"/>
        <v>0</v>
      </c>
      <c r="I632" s="115">
        <f t="shared" si="297"/>
        <v>0</v>
      </c>
      <c r="J632" s="115">
        <f t="shared" si="297"/>
        <v>0</v>
      </c>
      <c r="K632" s="115">
        <f t="shared" si="297"/>
        <v>0</v>
      </c>
      <c r="L632" s="115">
        <f t="shared" si="297"/>
        <v>0</v>
      </c>
      <c r="M632" s="115">
        <f t="shared" si="297"/>
        <v>0</v>
      </c>
      <c r="N632" s="115">
        <f t="shared" si="297"/>
        <v>0</v>
      </c>
      <c r="O632" s="115">
        <f t="shared" si="297"/>
        <v>0</v>
      </c>
      <c r="P632" s="115">
        <f t="shared" si="297"/>
        <v>0</v>
      </c>
      <c r="Q632" s="115">
        <f t="shared" si="297"/>
        <v>0</v>
      </c>
      <c r="R632" s="115">
        <f t="shared" si="297"/>
        <v>0</v>
      </c>
      <c r="S632" s="115">
        <f t="shared" si="297"/>
        <v>0</v>
      </c>
      <c r="T632" s="115">
        <f t="shared" si="297"/>
        <v>0</v>
      </c>
      <c r="U632" s="115">
        <f t="shared" si="297"/>
        <v>0</v>
      </c>
      <c r="V632" s="115">
        <f t="shared" si="297"/>
        <v>0</v>
      </c>
      <c r="W632" s="115">
        <f t="shared" si="297"/>
        <v>0</v>
      </c>
      <c r="X632" s="115">
        <f t="shared" si="297"/>
        <v>0</v>
      </c>
      <c r="Y632" s="115">
        <f t="shared" si="297"/>
        <v>0</v>
      </c>
      <c r="Z632" s="115">
        <f t="shared" si="297"/>
        <v>0</v>
      </c>
      <c r="AA632" s="115">
        <f t="shared" si="297"/>
        <v>0</v>
      </c>
      <c r="AB632" s="115">
        <f t="shared" si="297"/>
        <v>0</v>
      </c>
      <c r="AC632" s="115">
        <f t="shared" si="297"/>
        <v>0</v>
      </c>
      <c r="AD632" s="115">
        <f t="shared" si="297"/>
        <v>0</v>
      </c>
      <c r="AE632" s="115">
        <f t="shared" si="297"/>
        <v>0</v>
      </c>
      <c r="AF632" s="115">
        <f t="shared" si="297"/>
        <v>0</v>
      </c>
      <c r="AG632" s="115">
        <f t="shared" si="297"/>
        <v>0</v>
      </c>
      <c r="AH632" s="115">
        <f t="shared" si="297"/>
        <v>0</v>
      </c>
      <c r="AI632" s="115">
        <f t="shared" si="297"/>
        <v>0</v>
      </c>
      <c r="AJ632" s="115">
        <f t="shared" si="297"/>
        <v>0</v>
      </c>
      <c r="AK632" s="115">
        <f t="shared" si="297"/>
        <v>0</v>
      </c>
      <c r="AL632" s="115">
        <f t="shared" si="297"/>
        <v>0</v>
      </c>
      <c r="AM632" s="115">
        <f t="shared" si="297"/>
        <v>0</v>
      </c>
      <c r="AN632" s="115">
        <f t="shared" si="297"/>
        <v>0</v>
      </c>
      <c r="AO632" s="115">
        <f t="shared" si="297"/>
        <v>0</v>
      </c>
      <c r="AP632" s="115">
        <f t="shared" si="297"/>
        <v>0</v>
      </c>
    </row>
    <row r="633" spans="1:42" x14ac:dyDescent="0.2">
      <c r="A633" s="17" t="str">
        <f>Inputs!B146</f>
        <v>Other ($/kWh)</v>
      </c>
    </row>
    <row r="634" spans="1:42" x14ac:dyDescent="0.2">
      <c r="A634" s="21" t="s">
        <v>37</v>
      </c>
      <c r="C634" s="95">
        <f>IF(pbi_oth_amount="n/a",Inputs!D192,IF(AND(C$2&lt;=pbi_oth_term,C$2&lt;=analysis_period),pbi_oth_amount*(1+pbi_oth_escal/100)^B$2,0))</f>
        <v>0</v>
      </c>
      <c r="D634" s="95">
        <f>IF(pbi_oth_amount="n/a",Inputs!E192,IF(AND(D$2&lt;=pbi_oth_term,D$2&lt;=analysis_period),pbi_oth_amount*(1+pbi_oth_escal/100)^C$2,0))</f>
        <v>0</v>
      </c>
      <c r="E634" s="95">
        <f>IF(pbi_oth_amount="n/a",Inputs!F192,IF(AND(E$2&lt;=pbi_oth_term,E$2&lt;=analysis_period),pbi_oth_amount*(1+pbi_oth_escal/100)^D$2,0))</f>
        <v>0</v>
      </c>
      <c r="F634" s="95">
        <f>IF(pbi_oth_amount="n/a",Inputs!G192,IF(AND(F$2&lt;=pbi_oth_term,F$2&lt;=analysis_period),pbi_oth_amount*(1+pbi_oth_escal/100)^E$2,0))</f>
        <v>0</v>
      </c>
      <c r="G634" s="95">
        <f>IF(pbi_oth_amount="n/a",Inputs!H192,IF(AND(G$2&lt;=pbi_oth_term,G$2&lt;=analysis_period),pbi_oth_amount*(1+pbi_oth_escal/100)^F$2,0))</f>
        <v>0</v>
      </c>
      <c r="H634" s="95">
        <f>IF(pbi_oth_amount="n/a",Inputs!I192,IF(AND(H$2&lt;=pbi_oth_term,H$2&lt;=analysis_period),pbi_oth_amount*(1+pbi_oth_escal/100)^G$2,0))</f>
        <v>0</v>
      </c>
      <c r="I634" s="95">
        <f>IF(pbi_oth_amount="n/a",Inputs!J192,IF(AND(I$2&lt;=pbi_oth_term,I$2&lt;=analysis_period),pbi_oth_amount*(1+pbi_oth_escal/100)^H$2,0))</f>
        <v>0</v>
      </c>
      <c r="J634" s="95">
        <f>IF(pbi_oth_amount="n/a",Inputs!K192,IF(AND(J$2&lt;=pbi_oth_term,J$2&lt;=analysis_period),pbi_oth_amount*(1+pbi_oth_escal/100)^I$2,0))</f>
        <v>0</v>
      </c>
      <c r="K634" s="95">
        <f>IF(pbi_oth_amount="n/a",Inputs!L192,IF(AND(K$2&lt;=pbi_oth_term,K$2&lt;=analysis_period),pbi_oth_amount*(1+pbi_oth_escal/100)^J$2,0))</f>
        <v>0</v>
      </c>
      <c r="L634" s="95">
        <f>IF(pbi_oth_amount="n/a",Inputs!M192,IF(AND(L$2&lt;=pbi_oth_term,L$2&lt;=analysis_period),pbi_oth_amount*(1+pbi_oth_escal/100)^K$2,0))</f>
        <v>0</v>
      </c>
      <c r="M634" s="95">
        <f>IF(pbi_oth_amount="n/a",Inputs!N192,IF(AND(M$2&lt;=pbi_oth_term,M$2&lt;=analysis_period),pbi_oth_amount*(1+pbi_oth_escal/100)^L$2,0))</f>
        <v>0</v>
      </c>
      <c r="N634" s="95">
        <f>IF(pbi_oth_amount="n/a",Inputs!O192,IF(AND(N$2&lt;=pbi_oth_term,N$2&lt;=analysis_period),pbi_oth_amount*(1+pbi_oth_escal/100)^M$2,0))</f>
        <v>0</v>
      </c>
      <c r="O634" s="95">
        <f>IF(pbi_oth_amount="n/a",Inputs!P192,IF(AND(O$2&lt;=pbi_oth_term,O$2&lt;=analysis_period),pbi_oth_amount*(1+pbi_oth_escal/100)^N$2,0))</f>
        <v>0</v>
      </c>
      <c r="P634" s="95">
        <f>IF(pbi_oth_amount="n/a",Inputs!Q192,IF(AND(P$2&lt;=pbi_oth_term,P$2&lt;=analysis_period),pbi_oth_amount*(1+pbi_oth_escal/100)^O$2,0))</f>
        <v>0</v>
      </c>
      <c r="Q634" s="95">
        <f>IF(pbi_oth_amount="n/a",Inputs!R192,IF(AND(Q$2&lt;=pbi_oth_term,Q$2&lt;=analysis_period),pbi_oth_amount*(1+pbi_oth_escal/100)^P$2,0))</f>
        <v>0</v>
      </c>
      <c r="R634" s="95">
        <f>IF(pbi_oth_amount="n/a",Inputs!S192,IF(AND(R$2&lt;=pbi_oth_term,R$2&lt;=analysis_period),pbi_oth_amount*(1+pbi_oth_escal/100)^Q$2,0))</f>
        <v>0</v>
      </c>
      <c r="S634" s="95">
        <f>IF(pbi_oth_amount="n/a",Inputs!T192,IF(AND(S$2&lt;=pbi_oth_term,S$2&lt;=analysis_period),pbi_oth_amount*(1+pbi_oth_escal/100)^R$2,0))</f>
        <v>0</v>
      </c>
      <c r="T634" s="95">
        <f>IF(pbi_oth_amount="n/a",Inputs!U192,IF(AND(T$2&lt;=pbi_oth_term,T$2&lt;=analysis_period),pbi_oth_amount*(1+pbi_oth_escal/100)^S$2,0))</f>
        <v>0</v>
      </c>
      <c r="U634" s="95">
        <f>IF(pbi_oth_amount="n/a",Inputs!V192,IF(AND(U$2&lt;=pbi_oth_term,U$2&lt;=analysis_period),pbi_oth_amount*(1+pbi_oth_escal/100)^T$2,0))</f>
        <v>0</v>
      </c>
      <c r="V634" s="95">
        <f>IF(pbi_oth_amount="n/a",Inputs!W192,IF(AND(V$2&lt;=pbi_oth_term,V$2&lt;=analysis_period),pbi_oth_amount*(1+pbi_oth_escal/100)^U$2,0))</f>
        <v>0</v>
      </c>
      <c r="W634" s="95">
        <f>IF(pbi_oth_amount="n/a",Inputs!X192,IF(AND(W$2&lt;=pbi_oth_term,W$2&lt;=analysis_period),pbi_oth_amount*(1+pbi_oth_escal/100)^V$2,0))</f>
        <v>0</v>
      </c>
      <c r="X634" s="95">
        <f>IF(pbi_oth_amount="n/a",Inputs!Y192,IF(AND(X$2&lt;=pbi_oth_term,X$2&lt;=analysis_period),pbi_oth_amount*(1+pbi_oth_escal/100)^W$2,0))</f>
        <v>0</v>
      </c>
      <c r="Y634" s="95">
        <f>IF(pbi_oth_amount="n/a",Inputs!Z192,IF(AND(Y$2&lt;=pbi_oth_term,Y$2&lt;=analysis_period),pbi_oth_amount*(1+pbi_oth_escal/100)^X$2,0))</f>
        <v>0</v>
      </c>
      <c r="Z634" s="95">
        <f>IF(pbi_oth_amount="n/a",Inputs!AA192,IF(AND(Z$2&lt;=pbi_oth_term,Z$2&lt;=analysis_period),pbi_oth_amount*(1+pbi_oth_escal/100)^Y$2,0))</f>
        <v>0</v>
      </c>
      <c r="AA634" s="95">
        <f>IF(pbi_oth_amount="n/a",Inputs!AB192,IF(AND(AA$2&lt;=pbi_oth_term,AA$2&lt;=analysis_period),pbi_oth_amount*(1+pbi_oth_escal/100)^Z$2,0))</f>
        <v>0</v>
      </c>
      <c r="AB634" s="95">
        <f>IF(pbi_oth_amount="n/a",Inputs!AC192,IF(AND(AB$2&lt;=pbi_oth_term,AB$2&lt;=analysis_period),pbi_oth_amount*(1+pbi_oth_escal/100)^AA$2,0))</f>
        <v>0</v>
      </c>
      <c r="AC634" s="95">
        <f>IF(pbi_oth_amount="n/a",Inputs!AD192,IF(AND(AC$2&lt;=pbi_oth_term,AC$2&lt;=analysis_period),pbi_oth_amount*(1+pbi_oth_escal/100)^AB$2,0))</f>
        <v>0</v>
      </c>
      <c r="AD634" s="95">
        <f>IF(pbi_oth_amount="n/a",Inputs!AE192,IF(AND(AD$2&lt;=pbi_oth_term,AD$2&lt;=analysis_period),pbi_oth_amount*(1+pbi_oth_escal/100)^AC$2,0))</f>
        <v>0</v>
      </c>
      <c r="AE634" s="95">
        <f>IF(pbi_oth_amount="n/a",Inputs!AF192,IF(AND(AE$2&lt;=pbi_oth_term,AE$2&lt;=analysis_period),pbi_oth_amount*(1+pbi_oth_escal/100)^AD$2,0))</f>
        <v>0</v>
      </c>
      <c r="AF634" s="95">
        <f>IF(pbi_oth_amount="n/a",Inputs!AG192,IF(AND(AF$2&lt;=pbi_oth_term,AF$2&lt;=analysis_period),pbi_oth_amount*(1+pbi_oth_escal/100)^AE$2,0))</f>
        <v>0</v>
      </c>
      <c r="AG634" s="95">
        <f>IF(pbi_oth_amount="n/a",Inputs!AH192,IF(AND(AG$2&lt;=pbi_oth_term,AG$2&lt;=analysis_period),pbi_oth_amount*(1+pbi_oth_escal/100)^AF$2,0))</f>
        <v>0</v>
      </c>
      <c r="AH634" s="95">
        <f>IF(pbi_oth_amount="n/a",Inputs!AI192,IF(AND(AH$2&lt;=pbi_oth_term,AH$2&lt;=analysis_period),pbi_oth_amount*(1+pbi_oth_escal/100)^AG$2,0))</f>
        <v>0</v>
      </c>
      <c r="AI634" s="95">
        <f>IF(pbi_oth_amount="n/a",Inputs!AJ192,IF(AND(AI$2&lt;=pbi_oth_term,AI$2&lt;=analysis_period),pbi_oth_amount*(1+pbi_oth_escal/100)^AH$2,0))</f>
        <v>0</v>
      </c>
      <c r="AJ634" s="95">
        <f>IF(pbi_oth_amount="n/a",Inputs!AK192,IF(AND(AJ$2&lt;=pbi_oth_term,AJ$2&lt;=analysis_period),pbi_oth_amount*(1+pbi_oth_escal/100)^AI$2,0))</f>
        <v>0</v>
      </c>
      <c r="AK634" s="95">
        <f>IF(pbi_oth_amount="n/a",Inputs!AL192,IF(AND(AK$2&lt;=pbi_oth_term,AK$2&lt;=analysis_period),pbi_oth_amount*(1+pbi_oth_escal/100)^AJ$2,0))</f>
        <v>0</v>
      </c>
      <c r="AL634" s="95">
        <f>IF(pbi_oth_amount="n/a",Inputs!AM192,IF(AND(AL$2&lt;=pbi_oth_term,AL$2&lt;=analysis_period),pbi_oth_amount*(1+pbi_oth_escal/100)^AK$2,0))</f>
        <v>0</v>
      </c>
      <c r="AM634" s="95">
        <f>IF(pbi_oth_amount="n/a",Inputs!AN192,IF(AND(AM$2&lt;=pbi_oth_term,AM$2&lt;=analysis_period),pbi_oth_amount*(1+pbi_oth_escal/100)^AL$2,0))</f>
        <v>0</v>
      </c>
      <c r="AN634" s="95">
        <f>IF(pbi_oth_amount="n/a",Inputs!AO192,IF(AND(AN$2&lt;=pbi_oth_term,AN$2&lt;=analysis_period),pbi_oth_amount*(1+pbi_oth_escal/100)^AM$2,0))</f>
        <v>0</v>
      </c>
      <c r="AO634" s="95">
        <f>IF(pbi_oth_amount="n/a",Inputs!AP192,IF(AND(AO$2&lt;=pbi_oth_term,AO$2&lt;=analysis_period),pbi_oth_amount*(1+pbi_oth_escal/100)^AN$2,0))</f>
        <v>0</v>
      </c>
      <c r="AP634" s="95">
        <f>IF(pbi_oth_amount="n/a",Inputs!AQ192,IF(AND(AP$2&lt;=pbi_oth_term,AP$2&lt;=analysis_period),pbi_oth_amount*(1+pbi_oth_escal/100)^AO$2,0))</f>
        <v>0</v>
      </c>
    </row>
    <row r="635" spans="1:42" x14ac:dyDescent="0.2">
      <c r="A635" s="21" t="s">
        <v>418</v>
      </c>
      <c r="C635" s="116">
        <f>C$5</f>
        <v>0</v>
      </c>
      <c r="D635" s="116">
        <f t="shared" ref="D635:AP635" si="298">D$5</f>
        <v>0</v>
      </c>
      <c r="E635" s="116">
        <f t="shared" si="298"/>
        <v>0</v>
      </c>
      <c r="F635" s="116">
        <f t="shared" si="298"/>
        <v>0</v>
      </c>
      <c r="G635" s="116">
        <f t="shared" si="298"/>
        <v>0</v>
      </c>
      <c r="H635" s="116">
        <f t="shared" si="298"/>
        <v>0</v>
      </c>
      <c r="I635" s="116">
        <f t="shared" si="298"/>
        <v>0</v>
      </c>
      <c r="J635" s="116">
        <f t="shared" si="298"/>
        <v>0</v>
      </c>
      <c r="K635" s="116">
        <f t="shared" si="298"/>
        <v>0</v>
      </c>
      <c r="L635" s="116">
        <f t="shared" si="298"/>
        <v>0</v>
      </c>
      <c r="M635" s="116">
        <f t="shared" si="298"/>
        <v>0</v>
      </c>
      <c r="N635" s="116">
        <f t="shared" si="298"/>
        <v>0</v>
      </c>
      <c r="O635" s="116">
        <f t="shared" si="298"/>
        <v>0</v>
      </c>
      <c r="P635" s="116">
        <f t="shared" si="298"/>
        <v>0</v>
      </c>
      <c r="Q635" s="116">
        <f t="shared" si="298"/>
        <v>0</v>
      </c>
      <c r="R635" s="116">
        <f t="shared" si="298"/>
        <v>0</v>
      </c>
      <c r="S635" s="116">
        <f t="shared" si="298"/>
        <v>0</v>
      </c>
      <c r="T635" s="116">
        <f t="shared" si="298"/>
        <v>0</v>
      </c>
      <c r="U635" s="116">
        <f t="shared" si="298"/>
        <v>0</v>
      </c>
      <c r="V635" s="116">
        <f t="shared" si="298"/>
        <v>0</v>
      </c>
      <c r="W635" s="116">
        <f t="shared" si="298"/>
        <v>0</v>
      </c>
      <c r="X635" s="116">
        <f t="shared" si="298"/>
        <v>0</v>
      </c>
      <c r="Y635" s="116">
        <f t="shared" si="298"/>
        <v>0</v>
      </c>
      <c r="Z635" s="116">
        <f t="shared" si="298"/>
        <v>0</v>
      </c>
      <c r="AA635" s="116">
        <f t="shared" si="298"/>
        <v>0</v>
      </c>
      <c r="AB635" s="116">
        <f t="shared" si="298"/>
        <v>0</v>
      </c>
      <c r="AC635" s="116">
        <f t="shared" si="298"/>
        <v>0</v>
      </c>
      <c r="AD635" s="116">
        <f t="shared" si="298"/>
        <v>0</v>
      </c>
      <c r="AE635" s="116">
        <f t="shared" si="298"/>
        <v>0</v>
      </c>
      <c r="AF635" s="116">
        <f t="shared" si="298"/>
        <v>0</v>
      </c>
      <c r="AG635" s="116">
        <f t="shared" si="298"/>
        <v>0</v>
      </c>
      <c r="AH635" s="116">
        <f t="shared" si="298"/>
        <v>0</v>
      </c>
      <c r="AI635" s="116">
        <f t="shared" si="298"/>
        <v>0</v>
      </c>
      <c r="AJ635" s="116">
        <f t="shared" si="298"/>
        <v>0</v>
      </c>
      <c r="AK635" s="116">
        <f t="shared" si="298"/>
        <v>0</v>
      </c>
      <c r="AL635" s="116">
        <f t="shared" si="298"/>
        <v>0</v>
      </c>
      <c r="AM635" s="116">
        <f t="shared" si="298"/>
        <v>0</v>
      </c>
      <c r="AN635" s="116">
        <f t="shared" si="298"/>
        <v>0</v>
      </c>
      <c r="AO635" s="116">
        <f t="shared" si="298"/>
        <v>0</v>
      </c>
      <c r="AP635" s="116">
        <f t="shared" si="298"/>
        <v>0</v>
      </c>
    </row>
    <row r="636" spans="1:42" x14ac:dyDescent="0.2">
      <c r="A636" s="21" t="s">
        <v>13</v>
      </c>
      <c r="C636" s="115">
        <f>C634*C635</f>
        <v>0</v>
      </c>
      <c r="D636" s="115">
        <f t="shared" ref="D636:AP636" si="299">D634*D635</f>
        <v>0</v>
      </c>
      <c r="E636" s="115">
        <f t="shared" si="299"/>
        <v>0</v>
      </c>
      <c r="F636" s="115">
        <f t="shared" si="299"/>
        <v>0</v>
      </c>
      <c r="G636" s="115">
        <f t="shared" si="299"/>
        <v>0</v>
      </c>
      <c r="H636" s="115">
        <f t="shared" si="299"/>
        <v>0</v>
      </c>
      <c r="I636" s="115">
        <f t="shared" si="299"/>
        <v>0</v>
      </c>
      <c r="J636" s="115">
        <f t="shared" si="299"/>
        <v>0</v>
      </c>
      <c r="K636" s="115">
        <f t="shared" si="299"/>
        <v>0</v>
      </c>
      <c r="L636" s="115">
        <f t="shared" si="299"/>
        <v>0</v>
      </c>
      <c r="M636" s="115">
        <f t="shared" si="299"/>
        <v>0</v>
      </c>
      <c r="N636" s="115">
        <f t="shared" si="299"/>
        <v>0</v>
      </c>
      <c r="O636" s="115">
        <f t="shared" si="299"/>
        <v>0</v>
      </c>
      <c r="P636" s="115">
        <f t="shared" si="299"/>
        <v>0</v>
      </c>
      <c r="Q636" s="115">
        <f t="shared" si="299"/>
        <v>0</v>
      </c>
      <c r="R636" s="115">
        <f t="shared" si="299"/>
        <v>0</v>
      </c>
      <c r="S636" s="115">
        <f t="shared" si="299"/>
        <v>0</v>
      </c>
      <c r="T636" s="115">
        <f t="shared" si="299"/>
        <v>0</v>
      </c>
      <c r="U636" s="115">
        <f t="shared" si="299"/>
        <v>0</v>
      </c>
      <c r="V636" s="115">
        <f t="shared" si="299"/>
        <v>0</v>
      </c>
      <c r="W636" s="115">
        <f t="shared" si="299"/>
        <v>0</v>
      </c>
      <c r="X636" s="115">
        <f t="shared" si="299"/>
        <v>0</v>
      </c>
      <c r="Y636" s="115">
        <f t="shared" si="299"/>
        <v>0</v>
      </c>
      <c r="Z636" s="115">
        <f t="shared" si="299"/>
        <v>0</v>
      </c>
      <c r="AA636" s="115">
        <f t="shared" si="299"/>
        <v>0</v>
      </c>
      <c r="AB636" s="115">
        <f t="shared" si="299"/>
        <v>0</v>
      </c>
      <c r="AC636" s="115">
        <f t="shared" si="299"/>
        <v>0</v>
      </c>
      <c r="AD636" s="115">
        <f t="shared" si="299"/>
        <v>0</v>
      </c>
      <c r="AE636" s="115">
        <f t="shared" si="299"/>
        <v>0</v>
      </c>
      <c r="AF636" s="115">
        <f t="shared" si="299"/>
        <v>0</v>
      </c>
      <c r="AG636" s="115">
        <f t="shared" si="299"/>
        <v>0</v>
      </c>
      <c r="AH636" s="115">
        <f t="shared" si="299"/>
        <v>0</v>
      </c>
      <c r="AI636" s="115">
        <f t="shared" si="299"/>
        <v>0</v>
      </c>
      <c r="AJ636" s="115">
        <f t="shared" si="299"/>
        <v>0</v>
      </c>
      <c r="AK636" s="115">
        <f t="shared" si="299"/>
        <v>0</v>
      </c>
      <c r="AL636" s="115">
        <f t="shared" si="299"/>
        <v>0</v>
      </c>
      <c r="AM636" s="115">
        <f t="shared" si="299"/>
        <v>0</v>
      </c>
      <c r="AN636" s="115">
        <f t="shared" si="299"/>
        <v>0</v>
      </c>
      <c r="AO636" s="115">
        <f t="shared" si="299"/>
        <v>0</v>
      </c>
      <c r="AP636" s="115">
        <f t="shared" si="299"/>
        <v>0</v>
      </c>
    </row>
    <row r="637" spans="1:42" x14ac:dyDescent="0.2">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row>
    <row r="638" spans="1:42" x14ac:dyDescent="0.2">
      <c r="A638" s="4" t="s">
        <v>13</v>
      </c>
      <c r="C638" s="142">
        <f>C624+C628+C632+C636</f>
        <v>0</v>
      </c>
      <c r="D638" s="142">
        <f t="shared" ref="D638:AP638" si="300">D624+D628+D632+D636</f>
        <v>0</v>
      </c>
      <c r="E638" s="142">
        <f t="shared" si="300"/>
        <v>0</v>
      </c>
      <c r="F638" s="142">
        <f t="shared" si="300"/>
        <v>0</v>
      </c>
      <c r="G638" s="142">
        <f t="shared" si="300"/>
        <v>0</v>
      </c>
      <c r="H638" s="142">
        <f t="shared" si="300"/>
        <v>0</v>
      </c>
      <c r="I638" s="142">
        <f t="shared" si="300"/>
        <v>0</v>
      </c>
      <c r="J638" s="142">
        <f t="shared" si="300"/>
        <v>0</v>
      </c>
      <c r="K638" s="142">
        <f t="shared" si="300"/>
        <v>0</v>
      </c>
      <c r="L638" s="142">
        <f t="shared" si="300"/>
        <v>0</v>
      </c>
      <c r="M638" s="142">
        <f t="shared" si="300"/>
        <v>0</v>
      </c>
      <c r="N638" s="142">
        <f t="shared" si="300"/>
        <v>0</v>
      </c>
      <c r="O638" s="142">
        <f t="shared" si="300"/>
        <v>0</v>
      </c>
      <c r="P638" s="142">
        <f t="shared" si="300"/>
        <v>0</v>
      </c>
      <c r="Q638" s="142">
        <f t="shared" si="300"/>
        <v>0</v>
      </c>
      <c r="R638" s="142">
        <f t="shared" si="300"/>
        <v>0</v>
      </c>
      <c r="S638" s="142">
        <f t="shared" si="300"/>
        <v>0</v>
      </c>
      <c r="T638" s="142">
        <f t="shared" si="300"/>
        <v>0</v>
      </c>
      <c r="U638" s="142">
        <f t="shared" si="300"/>
        <v>0</v>
      </c>
      <c r="V638" s="142">
        <f t="shared" si="300"/>
        <v>0</v>
      </c>
      <c r="W638" s="142">
        <f t="shared" si="300"/>
        <v>0</v>
      </c>
      <c r="X638" s="142">
        <f t="shared" si="300"/>
        <v>0</v>
      </c>
      <c r="Y638" s="142">
        <f t="shared" si="300"/>
        <v>0</v>
      </c>
      <c r="Z638" s="142">
        <f t="shared" si="300"/>
        <v>0</v>
      </c>
      <c r="AA638" s="142">
        <f t="shared" si="300"/>
        <v>0</v>
      </c>
      <c r="AB638" s="142">
        <f t="shared" si="300"/>
        <v>0</v>
      </c>
      <c r="AC638" s="142">
        <f t="shared" si="300"/>
        <v>0</v>
      </c>
      <c r="AD638" s="142">
        <f t="shared" si="300"/>
        <v>0</v>
      </c>
      <c r="AE638" s="142">
        <f t="shared" si="300"/>
        <v>0</v>
      </c>
      <c r="AF638" s="142">
        <f t="shared" si="300"/>
        <v>0</v>
      </c>
      <c r="AG638" s="142">
        <f t="shared" si="300"/>
        <v>0</v>
      </c>
      <c r="AH638" s="142">
        <f t="shared" si="300"/>
        <v>0</v>
      </c>
      <c r="AI638" s="142">
        <f t="shared" si="300"/>
        <v>0</v>
      </c>
      <c r="AJ638" s="142">
        <f t="shared" si="300"/>
        <v>0</v>
      </c>
      <c r="AK638" s="142">
        <f t="shared" si="300"/>
        <v>0</v>
      </c>
      <c r="AL638" s="142">
        <f t="shared" si="300"/>
        <v>0</v>
      </c>
      <c r="AM638" s="142">
        <f t="shared" si="300"/>
        <v>0</v>
      </c>
      <c r="AN638" s="142">
        <f t="shared" si="300"/>
        <v>0</v>
      </c>
      <c r="AO638" s="142">
        <f t="shared" si="300"/>
        <v>0</v>
      </c>
      <c r="AP638" s="142">
        <f t="shared" si="300"/>
        <v>0</v>
      </c>
    </row>
    <row r="640" spans="1:42" x14ac:dyDescent="0.2">
      <c r="A640" s="80" t="s">
        <v>24</v>
      </c>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row>
    <row r="641" spans="1:42" x14ac:dyDescent="0.2">
      <c r="A641" s="17" t="s">
        <v>26</v>
      </c>
    </row>
    <row r="642" spans="1:42" x14ac:dyDescent="0.2">
      <c r="A642" s="21" t="s">
        <v>29</v>
      </c>
      <c r="B642" s="119"/>
      <c r="C642" s="115">
        <f>IF(C$660="N/A",IF(C$661="N/A",C$662+C$643,C$661),C$660)</f>
        <v>0</v>
      </c>
      <c r="D642" s="115">
        <f t="shared" ref="D642:AP642" si="301">IF(D$660="N/A",IF(D$661="N/A",D$662+D$643,D$661),D$660)</f>
        <v>0</v>
      </c>
      <c r="E642" s="115">
        <f t="shared" si="301"/>
        <v>0</v>
      </c>
      <c r="F642" s="115">
        <f t="shared" si="301"/>
        <v>0</v>
      </c>
      <c r="G642" s="115">
        <f t="shared" si="301"/>
        <v>0</v>
      </c>
      <c r="H642" s="115">
        <f t="shared" si="301"/>
        <v>0</v>
      </c>
      <c r="I642" s="115">
        <f t="shared" si="301"/>
        <v>0</v>
      </c>
      <c r="J642" s="115">
        <f t="shared" si="301"/>
        <v>0</v>
      </c>
      <c r="K642" s="115">
        <f t="shared" si="301"/>
        <v>0</v>
      </c>
      <c r="L642" s="115">
        <f t="shared" si="301"/>
        <v>0</v>
      </c>
      <c r="M642" s="115">
        <f t="shared" si="301"/>
        <v>0</v>
      </c>
      <c r="N642" s="115">
        <f t="shared" si="301"/>
        <v>0</v>
      </c>
      <c r="O642" s="115">
        <f t="shared" si="301"/>
        <v>0</v>
      </c>
      <c r="P642" s="115">
        <f t="shared" si="301"/>
        <v>0</v>
      </c>
      <c r="Q642" s="115">
        <f t="shared" si="301"/>
        <v>0</v>
      </c>
      <c r="R642" s="115">
        <f t="shared" si="301"/>
        <v>0</v>
      </c>
      <c r="S642" s="115">
        <f t="shared" si="301"/>
        <v>0</v>
      </c>
      <c r="T642" s="115">
        <f t="shared" si="301"/>
        <v>0</v>
      </c>
      <c r="U642" s="115">
        <f t="shared" si="301"/>
        <v>0</v>
      </c>
      <c r="V642" s="115">
        <f t="shared" si="301"/>
        <v>0</v>
      </c>
      <c r="W642" s="115">
        <f t="shared" si="301"/>
        <v>0</v>
      </c>
      <c r="X642" s="115">
        <f t="shared" si="301"/>
        <v>0</v>
      </c>
      <c r="Y642" s="115">
        <f t="shared" si="301"/>
        <v>0</v>
      </c>
      <c r="Z642" s="115">
        <f t="shared" si="301"/>
        <v>0</v>
      </c>
      <c r="AA642" s="115">
        <f t="shared" si="301"/>
        <v>0</v>
      </c>
      <c r="AB642" s="115">
        <f t="shared" si="301"/>
        <v>0</v>
      </c>
      <c r="AC642" s="115">
        <f t="shared" si="301"/>
        <v>0</v>
      </c>
      <c r="AD642" s="115">
        <f t="shared" si="301"/>
        <v>0</v>
      </c>
      <c r="AE642" s="115">
        <f t="shared" si="301"/>
        <v>0</v>
      </c>
      <c r="AF642" s="115">
        <f t="shared" si="301"/>
        <v>0</v>
      </c>
      <c r="AG642" s="115">
        <f t="shared" si="301"/>
        <v>0</v>
      </c>
      <c r="AH642" s="115">
        <f t="shared" si="301"/>
        <v>0</v>
      </c>
      <c r="AI642" s="115">
        <f t="shared" si="301"/>
        <v>0</v>
      </c>
      <c r="AJ642" s="115">
        <f t="shared" si="301"/>
        <v>0</v>
      </c>
      <c r="AK642" s="115">
        <f t="shared" si="301"/>
        <v>0</v>
      </c>
      <c r="AL642" s="115">
        <f t="shared" si="301"/>
        <v>0</v>
      </c>
      <c r="AM642" s="115">
        <f t="shared" si="301"/>
        <v>0</v>
      </c>
      <c r="AN642" s="115">
        <f t="shared" si="301"/>
        <v>0</v>
      </c>
      <c r="AO642" s="115">
        <f t="shared" si="301"/>
        <v>0</v>
      </c>
      <c r="AP642" s="115">
        <f t="shared" si="301"/>
        <v>0</v>
      </c>
    </row>
    <row r="643" spans="1:42" x14ac:dyDescent="0.2">
      <c r="A643" s="21" t="s">
        <v>173</v>
      </c>
      <c r="B643" s="115"/>
      <c r="C643" s="115">
        <f t="shared" ref="C643:AP643" si="302">IF(term_tenor="N/A",0,IF(AND(C$2&lt;=term_tenor,C$2&lt;=analysis_period),B$645*term_int_rate/100,0))</f>
        <v>0</v>
      </c>
      <c r="D643" s="115">
        <f t="shared" si="302"/>
        <v>0</v>
      </c>
      <c r="E643" s="115">
        <f t="shared" si="302"/>
        <v>0</v>
      </c>
      <c r="F643" s="115">
        <f t="shared" si="302"/>
        <v>0</v>
      </c>
      <c r="G643" s="115">
        <f t="shared" si="302"/>
        <v>0</v>
      </c>
      <c r="H643" s="115">
        <f t="shared" si="302"/>
        <v>0</v>
      </c>
      <c r="I643" s="115">
        <f t="shared" si="302"/>
        <v>0</v>
      </c>
      <c r="J643" s="115">
        <f t="shared" si="302"/>
        <v>0</v>
      </c>
      <c r="K643" s="115">
        <f t="shared" si="302"/>
        <v>0</v>
      </c>
      <c r="L643" s="115">
        <f t="shared" si="302"/>
        <v>0</v>
      </c>
      <c r="M643" s="115">
        <f t="shared" si="302"/>
        <v>0</v>
      </c>
      <c r="N643" s="115">
        <f t="shared" si="302"/>
        <v>0</v>
      </c>
      <c r="O643" s="115">
        <f t="shared" si="302"/>
        <v>0</v>
      </c>
      <c r="P643" s="115">
        <f t="shared" si="302"/>
        <v>0</v>
      </c>
      <c r="Q643" s="115">
        <f t="shared" si="302"/>
        <v>0</v>
      </c>
      <c r="R643" s="115">
        <f t="shared" si="302"/>
        <v>0</v>
      </c>
      <c r="S643" s="115">
        <f t="shared" si="302"/>
        <v>0</v>
      </c>
      <c r="T643" s="115">
        <f t="shared" si="302"/>
        <v>0</v>
      </c>
      <c r="U643" s="115">
        <f t="shared" si="302"/>
        <v>0</v>
      </c>
      <c r="V643" s="115">
        <f t="shared" si="302"/>
        <v>0</v>
      </c>
      <c r="W643" s="115">
        <f t="shared" si="302"/>
        <v>0</v>
      </c>
      <c r="X643" s="115">
        <f t="shared" si="302"/>
        <v>0</v>
      </c>
      <c r="Y643" s="115">
        <f t="shared" si="302"/>
        <v>0</v>
      </c>
      <c r="Z643" s="115">
        <f t="shared" si="302"/>
        <v>0</v>
      </c>
      <c r="AA643" s="115">
        <f t="shared" si="302"/>
        <v>0</v>
      </c>
      <c r="AB643" s="115">
        <f t="shared" si="302"/>
        <v>0</v>
      </c>
      <c r="AC643" s="115">
        <f t="shared" si="302"/>
        <v>0</v>
      </c>
      <c r="AD643" s="115">
        <f t="shared" si="302"/>
        <v>0</v>
      </c>
      <c r="AE643" s="115">
        <f t="shared" si="302"/>
        <v>0</v>
      </c>
      <c r="AF643" s="115">
        <f t="shared" si="302"/>
        <v>0</v>
      </c>
      <c r="AG643" s="115">
        <f t="shared" si="302"/>
        <v>0</v>
      </c>
      <c r="AH643" s="115">
        <f t="shared" si="302"/>
        <v>0</v>
      </c>
      <c r="AI643" s="115">
        <f t="shared" si="302"/>
        <v>0</v>
      </c>
      <c r="AJ643" s="115">
        <f t="shared" si="302"/>
        <v>0</v>
      </c>
      <c r="AK643" s="115">
        <f t="shared" si="302"/>
        <v>0</v>
      </c>
      <c r="AL643" s="115">
        <f t="shared" si="302"/>
        <v>0</v>
      </c>
      <c r="AM643" s="115">
        <f t="shared" si="302"/>
        <v>0</v>
      </c>
      <c r="AN643" s="115">
        <f t="shared" si="302"/>
        <v>0</v>
      </c>
      <c r="AO643" s="115">
        <f t="shared" si="302"/>
        <v>0</v>
      </c>
      <c r="AP643" s="115">
        <f t="shared" si="302"/>
        <v>0</v>
      </c>
    </row>
    <row r="644" spans="1:42" x14ac:dyDescent="0.2">
      <c r="A644" s="21" t="s">
        <v>172</v>
      </c>
      <c r="B644" s="119"/>
      <c r="C644" s="115">
        <f t="shared" ref="C644:AP644" si="303">IF(C$662="N/A",IF(C$2&gt;loan_moratorium,C$642-C$643,0),C$662)</f>
        <v>0</v>
      </c>
      <c r="D644" s="115">
        <f t="shared" si="303"/>
        <v>0</v>
      </c>
      <c r="E644" s="115">
        <f t="shared" si="303"/>
        <v>0</v>
      </c>
      <c r="F644" s="115">
        <f t="shared" si="303"/>
        <v>0</v>
      </c>
      <c r="G644" s="115">
        <f t="shared" si="303"/>
        <v>0</v>
      </c>
      <c r="H644" s="115">
        <f t="shared" si="303"/>
        <v>0</v>
      </c>
      <c r="I644" s="115">
        <f t="shared" si="303"/>
        <v>0</v>
      </c>
      <c r="J644" s="115">
        <f t="shared" si="303"/>
        <v>0</v>
      </c>
      <c r="K644" s="115">
        <f t="shared" si="303"/>
        <v>0</v>
      </c>
      <c r="L644" s="115">
        <f t="shared" si="303"/>
        <v>0</v>
      </c>
      <c r="M644" s="115">
        <f t="shared" si="303"/>
        <v>0</v>
      </c>
      <c r="N644" s="115">
        <f t="shared" si="303"/>
        <v>0</v>
      </c>
      <c r="O644" s="115">
        <f t="shared" si="303"/>
        <v>0</v>
      </c>
      <c r="P644" s="115">
        <f t="shared" si="303"/>
        <v>0</v>
      </c>
      <c r="Q644" s="115">
        <f t="shared" si="303"/>
        <v>0</v>
      </c>
      <c r="R644" s="115">
        <f t="shared" si="303"/>
        <v>0</v>
      </c>
      <c r="S644" s="115">
        <f t="shared" si="303"/>
        <v>0</v>
      </c>
      <c r="T644" s="115">
        <f t="shared" si="303"/>
        <v>0</v>
      </c>
      <c r="U644" s="115">
        <f t="shared" si="303"/>
        <v>0</v>
      </c>
      <c r="V644" s="115">
        <f t="shared" si="303"/>
        <v>0</v>
      </c>
      <c r="W644" s="115">
        <f t="shared" si="303"/>
        <v>0</v>
      </c>
      <c r="X644" s="115">
        <f t="shared" si="303"/>
        <v>0</v>
      </c>
      <c r="Y644" s="115">
        <f t="shared" si="303"/>
        <v>0</v>
      </c>
      <c r="Z644" s="115">
        <f t="shared" si="303"/>
        <v>0</v>
      </c>
      <c r="AA644" s="115">
        <f t="shared" si="303"/>
        <v>0</v>
      </c>
      <c r="AB644" s="115">
        <f t="shared" si="303"/>
        <v>0</v>
      </c>
      <c r="AC644" s="115">
        <f t="shared" si="303"/>
        <v>0</v>
      </c>
      <c r="AD644" s="115">
        <f t="shared" si="303"/>
        <v>0</v>
      </c>
      <c r="AE644" s="115">
        <f t="shared" si="303"/>
        <v>0</v>
      </c>
      <c r="AF644" s="115">
        <f t="shared" si="303"/>
        <v>0</v>
      </c>
      <c r="AG644" s="115">
        <f t="shared" si="303"/>
        <v>0</v>
      </c>
      <c r="AH644" s="115">
        <f t="shared" si="303"/>
        <v>0</v>
      </c>
      <c r="AI644" s="115">
        <f t="shared" si="303"/>
        <v>0</v>
      </c>
      <c r="AJ644" s="115">
        <f t="shared" si="303"/>
        <v>0</v>
      </c>
      <c r="AK644" s="115">
        <f t="shared" si="303"/>
        <v>0</v>
      </c>
      <c r="AL644" s="115">
        <f t="shared" si="303"/>
        <v>0</v>
      </c>
      <c r="AM644" s="115">
        <f t="shared" si="303"/>
        <v>0</v>
      </c>
      <c r="AN644" s="115">
        <f t="shared" si="303"/>
        <v>0</v>
      </c>
      <c r="AO644" s="115">
        <f t="shared" si="303"/>
        <v>0</v>
      </c>
      <c r="AP644" s="115">
        <f t="shared" si="303"/>
        <v>0</v>
      </c>
    </row>
    <row r="645" spans="1:42" x14ac:dyDescent="0.2">
      <c r="A645" s="21" t="s">
        <v>236</v>
      </c>
      <c r="B645" s="115">
        <f>$B$657</f>
        <v>0</v>
      </c>
      <c r="C645" s="115">
        <f>B$645-C$644</f>
        <v>0</v>
      </c>
      <c r="D645" s="115">
        <f t="shared" ref="D645:AP645" si="304">C$645-D$644</f>
        <v>0</v>
      </c>
      <c r="E645" s="115">
        <f t="shared" si="304"/>
        <v>0</v>
      </c>
      <c r="F645" s="115">
        <f t="shared" si="304"/>
        <v>0</v>
      </c>
      <c r="G645" s="115">
        <f t="shared" si="304"/>
        <v>0</v>
      </c>
      <c r="H645" s="115">
        <f t="shared" si="304"/>
        <v>0</v>
      </c>
      <c r="I645" s="115">
        <f t="shared" si="304"/>
        <v>0</v>
      </c>
      <c r="J645" s="115">
        <f t="shared" si="304"/>
        <v>0</v>
      </c>
      <c r="K645" s="115">
        <f t="shared" si="304"/>
        <v>0</v>
      </c>
      <c r="L645" s="115">
        <f t="shared" si="304"/>
        <v>0</v>
      </c>
      <c r="M645" s="115">
        <f t="shared" si="304"/>
        <v>0</v>
      </c>
      <c r="N645" s="115">
        <f t="shared" si="304"/>
        <v>0</v>
      </c>
      <c r="O645" s="115">
        <f t="shared" si="304"/>
        <v>0</v>
      </c>
      <c r="P645" s="115">
        <f t="shared" si="304"/>
        <v>0</v>
      </c>
      <c r="Q645" s="115">
        <f t="shared" si="304"/>
        <v>0</v>
      </c>
      <c r="R645" s="115">
        <f t="shared" si="304"/>
        <v>0</v>
      </c>
      <c r="S645" s="115">
        <f t="shared" si="304"/>
        <v>0</v>
      </c>
      <c r="T645" s="115">
        <f t="shared" si="304"/>
        <v>0</v>
      </c>
      <c r="U645" s="115">
        <f t="shared" si="304"/>
        <v>0</v>
      </c>
      <c r="V645" s="115">
        <f t="shared" si="304"/>
        <v>0</v>
      </c>
      <c r="W645" s="115">
        <f t="shared" si="304"/>
        <v>0</v>
      </c>
      <c r="X645" s="115">
        <f t="shared" si="304"/>
        <v>0</v>
      </c>
      <c r="Y645" s="115">
        <f t="shared" si="304"/>
        <v>0</v>
      </c>
      <c r="Z645" s="115">
        <f t="shared" si="304"/>
        <v>0</v>
      </c>
      <c r="AA645" s="115">
        <f t="shared" si="304"/>
        <v>0</v>
      </c>
      <c r="AB645" s="115">
        <f t="shared" si="304"/>
        <v>0</v>
      </c>
      <c r="AC645" s="115">
        <f t="shared" si="304"/>
        <v>0</v>
      </c>
      <c r="AD645" s="115">
        <f t="shared" si="304"/>
        <v>0</v>
      </c>
      <c r="AE645" s="115">
        <f t="shared" si="304"/>
        <v>0</v>
      </c>
      <c r="AF645" s="115">
        <f t="shared" si="304"/>
        <v>0</v>
      </c>
      <c r="AG645" s="115">
        <f t="shared" si="304"/>
        <v>0</v>
      </c>
      <c r="AH645" s="115">
        <f t="shared" si="304"/>
        <v>0</v>
      </c>
      <c r="AI645" s="115">
        <f t="shared" si="304"/>
        <v>0</v>
      </c>
      <c r="AJ645" s="115">
        <f t="shared" si="304"/>
        <v>0</v>
      </c>
      <c r="AK645" s="115">
        <f t="shared" si="304"/>
        <v>0</v>
      </c>
      <c r="AL645" s="115">
        <f t="shared" si="304"/>
        <v>0</v>
      </c>
      <c r="AM645" s="115">
        <f t="shared" si="304"/>
        <v>0</v>
      </c>
      <c r="AN645" s="115">
        <f t="shared" si="304"/>
        <v>0</v>
      </c>
      <c r="AO645" s="115">
        <f t="shared" si="304"/>
        <v>0</v>
      </c>
      <c r="AP645" s="115">
        <f t="shared" si="304"/>
        <v>0</v>
      </c>
    </row>
    <row r="646" spans="1:42" x14ac:dyDescent="0.2">
      <c r="B646" s="115"/>
      <c r="C646" s="115"/>
    </row>
    <row r="647" spans="1:42" x14ac:dyDescent="0.2">
      <c r="A647" s="17" t="s">
        <v>242</v>
      </c>
    </row>
    <row r="648" spans="1:42" x14ac:dyDescent="0.2">
      <c r="A648" s="21" t="s">
        <v>31</v>
      </c>
      <c r="B648" s="119"/>
      <c r="C648" s="115">
        <f t="shared" ref="C648:AP648" si="305">IF(term_tenor="N/A",0,IF(AND(C$2&lt;=term_tenor,C$2&lt;=analysis_period),C65,0))</f>
        <v>0</v>
      </c>
      <c r="D648" s="115">
        <f t="shared" si="305"/>
        <v>0</v>
      </c>
      <c r="E648" s="115">
        <f t="shared" si="305"/>
        <v>0</v>
      </c>
      <c r="F648" s="115">
        <f t="shared" si="305"/>
        <v>0</v>
      </c>
      <c r="G648" s="115">
        <f t="shared" si="305"/>
        <v>0</v>
      </c>
      <c r="H648" s="115">
        <f t="shared" si="305"/>
        <v>0</v>
      </c>
      <c r="I648" s="115">
        <f t="shared" si="305"/>
        <v>0</v>
      </c>
      <c r="J648" s="115">
        <f t="shared" si="305"/>
        <v>0</v>
      </c>
      <c r="K648" s="115">
        <f t="shared" si="305"/>
        <v>0</v>
      </c>
      <c r="L648" s="115">
        <f t="shared" si="305"/>
        <v>0</v>
      </c>
      <c r="M648" s="115">
        <f t="shared" si="305"/>
        <v>0</v>
      </c>
      <c r="N648" s="115">
        <f t="shared" si="305"/>
        <v>0</v>
      </c>
      <c r="O648" s="115">
        <f t="shared" si="305"/>
        <v>0</v>
      </c>
      <c r="P648" s="115">
        <f t="shared" si="305"/>
        <v>0</v>
      </c>
      <c r="Q648" s="115">
        <f t="shared" si="305"/>
        <v>0</v>
      </c>
      <c r="R648" s="115">
        <f t="shared" si="305"/>
        <v>0</v>
      </c>
      <c r="S648" s="115">
        <f t="shared" si="305"/>
        <v>0</v>
      </c>
      <c r="T648" s="115">
        <f t="shared" si="305"/>
        <v>0</v>
      </c>
      <c r="U648" s="115">
        <f t="shared" si="305"/>
        <v>0</v>
      </c>
      <c r="V648" s="115">
        <f t="shared" si="305"/>
        <v>0</v>
      </c>
      <c r="W648" s="115">
        <f t="shared" si="305"/>
        <v>0</v>
      </c>
      <c r="X648" s="115">
        <f t="shared" si="305"/>
        <v>0</v>
      </c>
      <c r="Y648" s="115">
        <f t="shared" si="305"/>
        <v>0</v>
      </c>
      <c r="Z648" s="115">
        <f t="shared" si="305"/>
        <v>0</v>
      </c>
      <c r="AA648" s="115">
        <f t="shared" si="305"/>
        <v>0</v>
      </c>
      <c r="AB648" s="115">
        <f t="shared" si="305"/>
        <v>0</v>
      </c>
      <c r="AC648" s="115">
        <f t="shared" si="305"/>
        <v>0</v>
      </c>
      <c r="AD648" s="115">
        <f t="shared" si="305"/>
        <v>0</v>
      </c>
      <c r="AE648" s="115">
        <f t="shared" si="305"/>
        <v>0</v>
      </c>
      <c r="AF648" s="115">
        <f t="shared" si="305"/>
        <v>0</v>
      </c>
      <c r="AG648" s="115">
        <f t="shared" si="305"/>
        <v>0</v>
      </c>
      <c r="AH648" s="115">
        <f t="shared" si="305"/>
        <v>0</v>
      </c>
      <c r="AI648" s="115">
        <f t="shared" si="305"/>
        <v>0</v>
      </c>
      <c r="AJ648" s="115">
        <f t="shared" si="305"/>
        <v>0</v>
      </c>
      <c r="AK648" s="115">
        <f t="shared" si="305"/>
        <v>0</v>
      </c>
      <c r="AL648" s="115">
        <f t="shared" si="305"/>
        <v>0</v>
      </c>
      <c r="AM648" s="115">
        <f t="shared" si="305"/>
        <v>0</v>
      </c>
      <c r="AN648" s="115">
        <f t="shared" si="305"/>
        <v>0</v>
      </c>
      <c r="AO648" s="115">
        <f t="shared" si="305"/>
        <v>0</v>
      </c>
      <c r="AP648" s="115">
        <f t="shared" si="305"/>
        <v>0</v>
      </c>
    </row>
    <row r="649" spans="1:42" x14ac:dyDescent="0.2">
      <c r="A649" s="21" t="s">
        <v>432</v>
      </c>
      <c r="B649" s="115">
        <f t="shared" ref="B649:AP649" si="306">IF(term_tenor="N/A",0,IF(AND(B$2&lt;=term_tenor,B$2&lt;=analysis_period),-B688-B720-B752,0))</f>
        <v>0</v>
      </c>
      <c r="C649" s="115">
        <f t="shared" si="306"/>
        <v>0</v>
      </c>
      <c r="D649" s="115">
        <f t="shared" si="306"/>
        <v>0</v>
      </c>
      <c r="E649" s="115">
        <f t="shared" si="306"/>
        <v>0</v>
      </c>
      <c r="F649" s="115">
        <f t="shared" si="306"/>
        <v>0</v>
      </c>
      <c r="G649" s="115">
        <f t="shared" si="306"/>
        <v>0</v>
      </c>
      <c r="H649" s="115">
        <f t="shared" si="306"/>
        <v>0</v>
      </c>
      <c r="I649" s="115">
        <f t="shared" si="306"/>
        <v>0</v>
      </c>
      <c r="J649" s="115">
        <f t="shared" si="306"/>
        <v>0</v>
      </c>
      <c r="K649" s="115">
        <f t="shared" si="306"/>
        <v>0</v>
      </c>
      <c r="L649" s="115">
        <f t="shared" si="306"/>
        <v>0</v>
      </c>
      <c r="M649" s="115">
        <f t="shared" si="306"/>
        <v>0</v>
      </c>
      <c r="N649" s="115">
        <f t="shared" si="306"/>
        <v>0</v>
      </c>
      <c r="O649" s="115">
        <f t="shared" si="306"/>
        <v>0</v>
      </c>
      <c r="P649" s="115">
        <f t="shared" si="306"/>
        <v>0</v>
      </c>
      <c r="Q649" s="115">
        <f t="shared" si="306"/>
        <v>0</v>
      </c>
      <c r="R649" s="115">
        <f t="shared" si="306"/>
        <v>0</v>
      </c>
      <c r="S649" s="115">
        <f t="shared" si="306"/>
        <v>0</v>
      </c>
      <c r="T649" s="115">
        <f t="shared" si="306"/>
        <v>0</v>
      </c>
      <c r="U649" s="115">
        <f t="shared" si="306"/>
        <v>0</v>
      </c>
      <c r="V649" s="115">
        <f t="shared" si="306"/>
        <v>0</v>
      </c>
      <c r="W649" s="115">
        <f t="shared" si="306"/>
        <v>0</v>
      </c>
      <c r="X649" s="115">
        <f t="shared" si="306"/>
        <v>0</v>
      </c>
      <c r="Y649" s="115">
        <f t="shared" si="306"/>
        <v>0</v>
      </c>
      <c r="Z649" s="115">
        <f t="shared" si="306"/>
        <v>0</v>
      </c>
      <c r="AA649" s="115">
        <f t="shared" si="306"/>
        <v>0</v>
      </c>
      <c r="AB649" s="115">
        <f t="shared" si="306"/>
        <v>0</v>
      </c>
      <c r="AC649" s="115">
        <f t="shared" si="306"/>
        <v>0</v>
      </c>
      <c r="AD649" s="115">
        <f t="shared" si="306"/>
        <v>0</v>
      </c>
      <c r="AE649" s="115">
        <f t="shared" si="306"/>
        <v>0</v>
      </c>
      <c r="AF649" s="115">
        <f t="shared" si="306"/>
        <v>0</v>
      </c>
      <c r="AG649" s="115">
        <f t="shared" si="306"/>
        <v>0</v>
      </c>
      <c r="AH649" s="115">
        <f t="shared" si="306"/>
        <v>0</v>
      </c>
      <c r="AI649" s="115">
        <f t="shared" si="306"/>
        <v>0</v>
      </c>
      <c r="AJ649" s="115">
        <f t="shared" si="306"/>
        <v>0</v>
      </c>
      <c r="AK649" s="115">
        <f t="shared" si="306"/>
        <v>0</v>
      </c>
      <c r="AL649" s="115">
        <f t="shared" si="306"/>
        <v>0</v>
      </c>
      <c r="AM649" s="115">
        <f t="shared" si="306"/>
        <v>0</v>
      </c>
      <c r="AN649" s="115">
        <f t="shared" si="306"/>
        <v>0</v>
      </c>
      <c r="AO649" s="115">
        <f t="shared" si="306"/>
        <v>0</v>
      </c>
      <c r="AP649" s="115">
        <f t="shared" si="306"/>
        <v>0</v>
      </c>
    </row>
    <row r="650" spans="1:42" x14ac:dyDescent="0.2">
      <c r="A650" s="21" t="s">
        <v>244</v>
      </c>
      <c r="B650" s="115">
        <f t="shared" ref="B650:AP650" si="307">SUM(B648:B649)</f>
        <v>0</v>
      </c>
      <c r="C650" s="115">
        <f t="shared" si="307"/>
        <v>0</v>
      </c>
      <c r="D650" s="115">
        <f t="shared" si="307"/>
        <v>0</v>
      </c>
      <c r="E650" s="115">
        <f t="shared" si="307"/>
        <v>0</v>
      </c>
      <c r="F650" s="115">
        <f t="shared" si="307"/>
        <v>0</v>
      </c>
      <c r="G650" s="115">
        <f t="shared" si="307"/>
        <v>0</v>
      </c>
      <c r="H650" s="115">
        <f t="shared" si="307"/>
        <v>0</v>
      </c>
      <c r="I650" s="115">
        <f t="shared" si="307"/>
        <v>0</v>
      </c>
      <c r="J650" s="115">
        <f t="shared" si="307"/>
        <v>0</v>
      </c>
      <c r="K650" s="115">
        <f t="shared" si="307"/>
        <v>0</v>
      </c>
      <c r="L650" s="115">
        <f t="shared" si="307"/>
        <v>0</v>
      </c>
      <c r="M650" s="115">
        <f t="shared" si="307"/>
        <v>0</v>
      </c>
      <c r="N650" s="115">
        <f t="shared" si="307"/>
        <v>0</v>
      </c>
      <c r="O650" s="115">
        <f t="shared" si="307"/>
        <v>0</v>
      </c>
      <c r="P650" s="115">
        <f t="shared" si="307"/>
        <v>0</v>
      </c>
      <c r="Q650" s="115">
        <f t="shared" si="307"/>
        <v>0</v>
      </c>
      <c r="R650" s="115">
        <f t="shared" si="307"/>
        <v>0</v>
      </c>
      <c r="S650" s="115">
        <f t="shared" si="307"/>
        <v>0</v>
      </c>
      <c r="T650" s="115">
        <f t="shared" si="307"/>
        <v>0</v>
      </c>
      <c r="U650" s="115">
        <f t="shared" si="307"/>
        <v>0</v>
      </c>
      <c r="V650" s="115">
        <f t="shared" si="307"/>
        <v>0</v>
      </c>
      <c r="W650" s="115">
        <f t="shared" si="307"/>
        <v>0</v>
      </c>
      <c r="X650" s="115">
        <f t="shared" si="307"/>
        <v>0</v>
      </c>
      <c r="Y650" s="115">
        <f t="shared" si="307"/>
        <v>0</v>
      </c>
      <c r="Z650" s="115">
        <f t="shared" si="307"/>
        <v>0</v>
      </c>
      <c r="AA650" s="115">
        <f t="shared" si="307"/>
        <v>0</v>
      </c>
      <c r="AB650" s="115">
        <f t="shared" si="307"/>
        <v>0</v>
      </c>
      <c r="AC650" s="115">
        <f t="shared" si="307"/>
        <v>0</v>
      </c>
      <c r="AD650" s="115">
        <f t="shared" si="307"/>
        <v>0</v>
      </c>
      <c r="AE650" s="115">
        <f t="shared" si="307"/>
        <v>0</v>
      </c>
      <c r="AF650" s="115">
        <f t="shared" si="307"/>
        <v>0</v>
      </c>
      <c r="AG650" s="115">
        <f t="shared" si="307"/>
        <v>0</v>
      </c>
      <c r="AH650" s="115">
        <f t="shared" si="307"/>
        <v>0</v>
      </c>
      <c r="AI650" s="115">
        <f t="shared" si="307"/>
        <v>0</v>
      </c>
      <c r="AJ650" s="115">
        <f t="shared" si="307"/>
        <v>0</v>
      </c>
      <c r="AK650" s="115">
        <f t="shared" si="307"/>
        <v>0</v>
      </c>
      <c r="AL650" s="115">
        <f t="shared" si="307"/>
        <v>0</v>
      </c>
      <c r="AM650" s="115">
        <f t="shared" si="307"/>
        <v>0</v>
      </c>
      <c r="AN650" s="115">
        <f t="shared" si="307"/>
        <v>0</v>
      </c>
      <c r="AO650" s="115">
        <f t="shared" si="307"/>
        <v>0</v>
      </c>
      <c r="AP650" s="115">
        <f t="shared" si="307"/>
        <v>0</v>
      </c>
    </row>
    <row r="651" spans="1:42" x14ac:dyDescent="0.2">
      <c r="A651" s="21" t="s">
        <v>245</v>
      </c>
      <c r="B651" s="197">
        <f t="shared" ref="B651:C651" si="308">IF(term_tenor="N/A",0,IF(AND(B$2&lt;=term_tenor,B$2&lt;=analysis_period),1/(1+term_int_rate/100),0))</f>
        <v>1</v>
      </c>
      <c r="C651" s="197">
        <f t="shared" si="308"/>
        <v>0</v>
      </c>
      <c r="D651" s="197">
        <f t="shared" ref="D651:AP651" si="309">IF(term_tenor="N/A",0,IF(AND(D$2&lt;=term_tenor,D$2&lt;=analysis_period),C651/(1+term_int_rate/100),0))</f>
        <v>0</v>
      </c>
      <c r="E651" s="197">
        <f t="shared" si="309"/>
        <v>0</v>
      </c>
      <c r="F651" s="197">
        <f t="shared" si="309"/>
        <v>0</v>
      </c>
      <c r="G651" s="197">
        <f t="shared" si="309"/>
        <v>0</v>
      </c>
      <c r="H651" s="197">
        <f t="shared" si="309"/>
        <v>0</v>
      </c>
      <c r="I651" s="197">
        <f t="shared" si="309"/>
        <v>0</v>
      </c>
      <c r="J651" s="197">
        <f t="shared" si="309"/>
        <v>0</v>
      </c>
      <c r="K651" s="197">
        <f t="shared" si="309"/>
        <v>0</v>
      </c>
      <c r="L651" s="197">
        <f t="shared" si="309"/>
        <v>0</v>
      </c>
      <c r="M651" s="197">
        <f t="shared" si="309"/>
        <v>0</v>
      </c>
      <c r="N651" s="197">
        <f t="shared" si="309"/>
        <v>0</v>
      </c>
      <c r="O651" s="197">
        <f t="shared" si="309"/>
        <v>0</v>
      </c>
      <c r="P651" s="197">
        <f t="shared" si="309"/>
        <v>0</v>
      </c>
      <c r="Q651" s="197">
        <f t="shared" si="309"/>
        <v>0</v>
      </c>
      <c r="R651" s="197">
        <f t="shared" si="309"/>
        <v>0</v>
      </c>
      <c r="S651" s="197">
        <f t="shared" si="309"/>
        <v>0</v>
      </c>
      <c r="T651" s="197">
        <f t="shared" si="309"/>
        <v>0</v>
      </c>
      <c r="U651" s="197">
        <f t="shared" si="309"/>
        <v>0</v>
      </c>
      <c r="V651" s="197">
        <f t="shared" si="309"/>
        <v>0</v>
      </c>
      <c r="W651" s="197">
        <f t="shared" si="309"/>
        <v>0</v>
      </c>
      <c r="X651" s="197">
        <f t="shared" si="309"/>
        <v>0</v>
      </c>
      <c r="Y651" s="197">
        <f t="shared" si="309"/>
        <v>0</v>
      </c>
      <c r="Z651" s="197">
        <f t="shared" si="309"/>
        <v>0</v>
      </c>
      <c r="AA651" s="197">
        <f t="shared" si="309"/>
        <v>0</v>
      </c>
      <c r="AB651" s="197">
        <f t="shared" si="309"/>
        <v>0</v>
      </c>
      <c r="AC651" s="197">
        <f t="shared" si="309"/>
        <v>0</v>
      </c>
      <c r="AD651" s="197">
        <f t="shared" si="309"/>
        <v>0</v>
      </c>
      <c r="AE651" s="197">
        <f t="shared" si="309"/>
        <v>0</v>
      </c>
      <c r="AF651" s="197">
        <f t="shared" si="309"/>
        <v>0</v>
      </c>
      <c r="AG651" s="197">
        <f t="shared" si="309"/>
        <v>0</v>
      </c>
      <c r="AH651" s="197">
        <f t="shared" si="309"/>
        <v>0</v>
      </c>
      <c r="AI651" s="197">
        <f t="shared" si="309"/>
        <v>0</v>
      </c>
      <c r="AJ651" s="197">
        <f t="shared" si="309"/>
        <v>0</v>
      </c>
      <c r="AK651" s="197">
        <f t="shared" si="309"/>
        <v>0</v>
      </c>
      <c r="AL651" s="197">
        <f t="shared" si="309"/>
        <v>0</v>
      </c>
      <c r="AM651" s="197">
        <f t="shared" si="309"/>
        <v>0</v>
      </c>
      <c r="AN651" s="197">
        <f t="shared" si="309"/>
        <v>0</v>
      </c>
      <c r="AO651" s="197">
        <f t="shared" si="309"/>
        <v>0</v>
      </c>
      <c r="AP651" s="197">
        <f t="shared" si="309"/>
        <v>0</v>
      </c>
    </row>
    <row r="652" spans="1:42" x14ac:dyDescent="0.2">
      <c r="A652" s="21" t="s">
        <v>243</v>
      </c>
      <c r="B652" s="115">
        <f>B650*B651</f>
        <v>0</v>
      </c>
      <c r="C652" s="115">
        <f>C650*C651</f>
        <v>0</v>
      </c>
      <c r="D652" s="115">
        <f t="shared" ref="D652:AP652" si="310">D650*D651</f>
        <v>0</v>
      </c>
      <c r="E652" s="115">
        <f t="shared" si="310"/>
        <v>0</v>
      </c>
      <c r="F652" s="115">
        <f t="shared" si="310"/>
        <v>0</v>
      </c>
      <c r="G652" s="115">
        <f t="shared" si="310"/>
        <v>0</v>
      </c>
      <c r="H652" s="115">
        <f t="shared" si="310"/>
        <v>0</v>
      </c>
      <c r="I652" s="115">
        <f t="shared" si="310"/>
        <v>0</v>
      </c>
      <c r="J652" s="115">
        <f t="shared" si="310"/>
        <v>0</v>
      </c>
      <c r="K652" s="115">
        <f t="shared" si="310"/>
        <v>0</v>
      </c>
      <c r="L652" s="115">
        <f t="shared" si="310"/>
        <v>0</v>
      </c>
      <c r="M652" s="115">
        <f t="shared" si="310"/>
        <v>0</v>
      </c>
      <c r="N652" s="115">
        <f t="shared" si="310"/>
        <v>0</v>
      </c>
      <c r="O652" s="115">
        <f t="shared" si="310"/>
        <v>0</v>
      </c>
      <c r="P652" s="115">
        <f t="shared" si="310"/>
        <v>0</v>
      </c>
      <c r="Q652" s="115">
        <f t="shared" si="310"/>
        <v>0</v>
      </c>
      <c r="R652" s="115">
        <f t="shared" si="310"/>
        <v>0</v>
      </c>
      <c r="S652" s="115">
        <f t="shared" si="310"/>
        <v>0</v>
      </c>
      <c r="T652" s="115">
        <f t="shared" si="310"/>
        <v>0</v>
      </c>
      <c r="U652" s="115">
        <f t="shared" si="310"/>
        <v>0</v>
      </c>
      <c r="V652" s="115">
        <f t="shared" si="310"/>
        <v>0</v>
      </c>
      <c r="W652" s="115">
        <f t="shared" si="310"/>
        <v>0</v>
      </c>
      <c r="X652" s="115">
        <f t="shared" si="310"/>
        <v>0</v>
      </c>
      <c r="Y652" s="115">
        <f t="shared" si="310"/>
        <v>0</v>
      </c>
      <c r="Z652" s="115">
        <f t="shared" si="310"/>
        <v>0</v>
      </c>
      <c r="AA652" s="115">
        <f t="shared" si="310"/>
        <v>0</v>
      </c>
      <c r="AB652" s="115">
        <f t="shared" si="310"/>
        <v>0</v>
      </c>
      <c r="AC652" s="115">
        <f t="shared" si="310"/>
        <v>0</v>
      </c>
      <c r="AD652" s="115">
        <f t="shared" si="310"/>
        <v>0</v>
      </c>
      <c r="AE652" s="115">
        <f t="shared" si="310"/>
        <v>0</v>
      </c>
      <c r="AF652" s="115">
        <f t="shared" si="310"/>
        <v>0</v>
      </c>
      <c r="AG652" s="115">
        <f t="shared" si="310"/>
        <v>0</v>
      </c>
      <c r="AH652" s="115">
        <f t="shared" si="310"/>
        <v>0</v>
      </c>
      <c r="AI652" s="115">
        <f t="shared" si="310"/>
        <v>0</v>
      </c>
      <c r="AJ652" s="115">
        <f t="shared" si="310"/>
        <v>0</v>
      </c>
      <c r="AK652" s="115">
        <f t="shared" si="310"/>
        <v>0</v>
      </c>
      <c r="AL652" s="115">
        <f t="shared" si="310"/>
        <v>0</v>
      </c>
      <c r="AM652" s="115">
        <f t="shared" si="310"/>
        <v>0</v>
      </c>
      <c r="AN652" s="115">
        <f t="shared" si="310"/>
        <v>0</v>
      </c>
      <c r="AO652" s="115">
        <f t="shared" si="310"/>
        <v>0</v>
      </c>
      <c r="AP652" s="115">
        <f t="shared" si="310"/>
        <v>0</v>
      </c>
    </row>
    <row r="653" spans="1:42" x14ac:dyDescent="0.2">
      <c r="A653" s="21"/>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c r="AA653" s="115"/>
      <c r="AB653" s="115"/>
      <c r="AC653" s="115"/>
      <c r="AD653" s="115"/>
      <c r="AE653" s="115"/>
      <c r="AF653" s="115"/>
      <c r="AG653" s="115"/>
      <c r="AH653" s="115"/>
      <c r="AI653" s="115"/>
      <c r="AJ653" s="115"/>
      <c r="AK653" s="115"/>
      <c r="AL653" s="115"/>
      <c r="AM653" s="115"/>
      <c r="AN653" s="115"/>
      <c r="AO653" s="115"/>
      <c r="AP653" s="115"/>
    </row>
    <row r="654" spans="1:42" x14ac:dyDescent="0.2">
      <c r="A654" s="17" t="s">
        <v>237</v>
      </c>
      <c r="B654" s="115"/>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row>
    <row r="655" spans="1:42" x14ac:dyDescent="0.2">
      <c r="A655" s="21" t="s">
        <v>269</v>
      </c>
      <c r="B655" s="115">
        <f t="shared" ref="B655:AP655" si="311">IF(OR(DebtServiceCoverageRatio="Calculated",MortgageSizeOfDebt=0),"N/A",IF(AND(B$2&lt;=term_tenor,B$2&lt;=analysis_period),IF(B$664=0,0,B$652/B$664),0))</f>
        <v>0</v>
      </c>
      <c r="C655" s="115">
        <f t="shared" si="311"/>
        <v>0</v>
      </c>
      <c r="D655" s="115">
        <f t="shared" si="311"/>
        <v>0</v>
      </c>
      <c r="E655" s="115">
        <f t="shared" si="311"/>
        <v>0</v>
      </c>
      <c r="F655" s="115">
        <f t="shared" si="311"/>
        <v>0</v>
      </c>
      <c r="G655" s="115">
        <f t="shared" si="311"/>
        <v>0</v>
      </c>
      <c r="H655" s="115">
        <f t="shared" si="311"/>
        <v>0</v>
      </c>
      <c r="I655" s="115">
        <f t="shared" si="311"/>
        <v>0</v>
      </c>
      <c r="J655" s="115">
        <f t="shared" si="311"/>
        <v>0</v>
      </c>
      <c r="K655" s="115">
        <f t="shared" si="311"/>
        <v>0</v>
      </c>
      <c r="L655" s="115">
        <f t="shared" si="311"/>
        <v>0</v>
      </c>
      <c r="M655" s="115">
        <f t="shared" si="311"/>
        <v>0</v>
      </c>
      <c r="N655" s="115">
        <f t="shared" si="311"/>
        <v>0</v>
      </c>
      <c r="O655" s="115">
        <f t="shared" si="311"/>
        <v>0</v>
      </c>
      <c r="P655" s="115">
        <f t="shared" si="311"/>
        <v>0</v>
      </c>
      <c r="Q655" s="115">
        <f t="shared" si="311"/>
        <v>0</v>
      </c>
      <c r="R655" s="115">
        <f t="shared" si="311"/>
        <v>0</v>
      </c>
      <c r="S655" s="115">
        <f t="shared" si="311"/>
        <v>0</v>
      </c>
      <c r="T655" s="115">
        <f t="shared" si="311"/>
        <v>0</v>
      </c>
      <c r="U655" s="115">
        <f t="shared" si="311"/>
        <v>0</v>
      </c>
      <c r="V655" s="115">
        <f t="shared" si="311"/>
        <v>0</v>
      </c>
      <c r="W655" s="115">
        <f t="shared" si="311"/>
        <v>0</v>
      </c>
      <c r="X655" s="115">
        <f t="shared" si="311"/>
        <v>0</v>
      </c>
      <c r="Y655" s="115">
        <f t="shared" si="311"/>
        <v>0</v>
      </c>
      <c r="Z655" s="115">
        <f t="shared" si="311"/>
        <v>0</v>
      </c>
      <c r="AA655" s="115">
        <f t="shared" si="311"/>
        <v>0</v>
      </c>
      <c r="AB655" s="115">
        <f t="shared" si="311"/>
        <v>0</v>
      </c>
      <c r="AC655" s="115">
        <f t="shared" si="311"/>
        <v>0</v>
      </c>
      <c r="AD655" s="115">
        <f t="shared" si="311"/>
        <v>0</v>
      </c>
      <c r="AE655" s="115">
        <f t="shared" si="311"/>
        <v>0</v>
      </c>
      <c r="AF655" s="115">
        <f t="shared" si="311"/>
        <v>0</v>
      </c>
      <c r="AG655" s="115">
        <f t="shared" si="311"/>
        <v>0</v>
      </c>
      <c r="AH655" s="115">
        <f t="shared" si="311"/>
        <v>0</v>
      </c>
      <c r="AI655" s="115">
        <f t="shared" si="311"/>
        <v>0</v>
      </c>
      <c r="AJ655" s="115">
        <f t="shared" si="311"/>
        <v>0</v>
      </c>
      <c r="AK655" s="115">
        <f t="shared" si="311"/>
        <v>0</v>
      </c>
      <c r="AL655" s="115">
        <f t="shared" si="311"/>
        <v>0</v>
      </c>
      <c r="AM655" s="115">
        <f t="shared" si="311"/>
        <v>0</v>
      </c>
      <c r="AN655" s="115">
        <f t="shared" si="311"/>
        <v>0</v>
      </c>
      <c r="AO655" s="115">
        <f t="shared" si="311"/>
        <v>0</v>
      </c>
      <c r="AP655" s="115">
        <f t="shared" si="311"/>
        <v>0</v>
      </c>
    </row>
    <row r="656" spans="1:42" x14ac:dyDescent="0.2">
      <c r="A656" s="85" t="s">
        <v>362</v>
      </c>
      <c r="B656" s="115">
        <f t="shared" ref="B656:AP656" si="312">IF(dscr_limit_debt_fraction="Yes",B$652/$B$666,B$655)</f>
        <v>0</v>
      </c>
      <c r="C656" s="115">
        <f t="shared" si="312"/>
        <v>0</v>
      </c>
      <c r="D656" s="115">
        <f t="shared" si="312"/>
        <v>0</v>
      </c>
      <c r="E656" s="115">
        <f t="shared" si="312"/>
        <v>0</v>
      </c>
      <c r="F656" s="115">
        <f t="shared" si="312"/>
        <v>0</v>
      </c>
      <c r="G656" s="115">
        <f t="shared" si="312"/>
        <v>0</v>
      </c>
      <c r="H656" s="115">
        <f t="shared" si="312"/>
        <v>0</v>
      </c>
      <c r="I656" s="115">
        <f t="shared" si="312"/>
        <v>0</v>
      </c>
      <c r="J656" s="115">
        <f t="shared" si="312"/>
        <v>0</v>
      </c>
      <c r="K656" s="115">
        <f t="shared" si="312"/>
        <v>0</v>
      </c>
      <c r="L656" s="115">
        <f t="shared" si="312"/>
        <v>0</v>
      </c>
      <c r="M656" s="115">
        <f t="shared" si="312"/>
        <v>0</v>
      </c>
      <c r="N656" s="115">
        <f t="shared" si="312"/>
        <v>0</v>
      </c>
      <c r="O656" s="115">
        <f t="shared" si="312"/>
        <v>0</v>
      </c>
      <c r="P656" s="115">
        <f t="shared" si="312"/>
        <v>0</v>
      </c>
      <c r="Q656" s="115">
        <f t="shared" si="312"/>
        <v>0</v>
      </c>
      <c r="R656" s="115">
        <f t="shared" si="312"/>
        <v>0</v>
      </c>
      <c r="S656" s="115">
        <f t="shared" si="312"/>
        <v>0</v>
      </c>
      <c r="T656" s="115">
        <f t="shared" si="312"/>
        <v>0</v>
      </c>
      <c r="U656" s="115">
        <f t="shared" si="312"/>
        <v>0</v>
      </c>
      <c r="V656" s="115">
        <f t="shared" si="312"/>
        <v>0</v>
      </c>
      <c r="W656" s="115">
        <f t="shared" si="312"/>
        <v>0</v>
      </c>
      <c r="X656" s="115">
        <f t="shared" si="312"/>
        <v>0</v>
      </c>
      <c r="Y656" s="115">
        <f t="shared" si="312"/>
        <v>0</v>
      </c>
      <c r="Z656" s="115">
        <f t="shared" si="312"/>
        <v>0</v>
      </c>
      <c r="AA656" s="115">
        <f t="shared" si="312"/>
        <v>0</v>
      </c>
      <c r="AB656" s="115">
        <f t="shared" si="312"/>
        <v>0</v>
      </c>
      <c r="AC656" s="115">
        <f t="shared" si="312"/>
        <v>0</v>
      </c>
      <c r="AD656" s="115">
        <f t="shared" si="312"/>
        <v>0</v>
      </c>
      <c r="AE656" s="115">
        <f t="shared" si="312"/>
        <v>0</v>
      </c>
      <c r="AF656" s="115">
        <f t="shared" si="312"/>
        <v>0</v>
      </c>
      <c r="AG656" s="115">
        <f t="shared" si="312"/>
        <v>0</v>
      </c>
      <c r="AH656" s="115">
        <f t="shared" si="312"/>
        <v>0</v>
      </c>
      <c r="AI656" s="115">
        <f t="shared" si="312"/>
        <v>0</v>
      </c>
      <c r="AJ656" s="115">
        <f t="shared" si="312"/>
        <v>0</v>
      </c>
      <c r="AK656" s="115">
        <f t="shared" si="312"/>
        <v>0</v>
      </c>
      <c r="AL656" s="115">
        <f t="shared" si="312"/>
        <v>0</v>
      </c>
      <c r="AM656" s="115">
        <f t="shared" si="312"/>
        <v>0</v>
      </c>
      <c r="AN656" s="115">
        <f t="shared" si="312"/>
        <v>0</v>
      </c>
      <c r="AO656" s="115">
        <f t="shared" si="312"/>
        <v>0</v>
      </c>
      <c r="AP656" s="115">
        <f t="shared" si="312"/>
        <v>0</v>
      </c>
    </row>
    <row r="657" spans="1:42" x14ac:dyDescent="0.2">
      <c r="A657" s="84" t="s">
        <v>202</v>
      </c>
      <c r="B657" s="174">
        <f>IF(MortgageSizeOfDebt="N/A",IF(dscr_limit_debt_fraction="Yes",SUM(B656:AP656),SUM(B655:AP655)),MortgageSizeOfDebt)</f>
        <v>0</v>
      </c>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c r="AA657" s="115"/>
      <c r="AB657" s="115"/>
      <c r="AC657" s="115"/>
      <c r="AD657" s="115"/>
      <c r="AE657" s="115"/>
      <c r="AF657" s="115"/>
      <c r="AG657" s="115"/>
      <c r="AH657" s="115"/>
      <c r="AI657" s="115"/>
      <c r="AJ657" s="115"/>
      <c r="AK657" s="115"/>
      <c r="AL657" s="115"/>
      <c r="AM657" s="115"/>
      <c r="AN657" s="115"/>
      <c r="AO657" s="115"/>
      <c r="AP657" s="115"/>
    </row>
    <row r="658" spans="1:42" x14ac:dyDescent="0.2">
      <c r="A658" s="17"/>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c r="AA658" s="115"/>
      <c r="AB658" s="115"/>
      <c r="AC658" s="115"/>
      <c r="AD658" s="115"/>
      <c r="AE658" s="115"/>
      <c r="AF658" s="115"/>
      <c r="AG658" s="115"/>
      <c r="AH658" s="115"/>
      <c r="AI658" s="115"/>
      <c r="AJ658" s="115"/>
      <c r="AK658" s="115"/>
      <c r="AL658" s="115"/>
      <c r="AM658" s="115"/>
      <c r="AN658" s="115"/>
      <c r="AO658" s="115"/>
      <c r="AP658" s="115"/>
    </row>
    <row r="659" spans="1:42" x14ac:dyDescent="0.2">
      <c r="A659" s="17" t="s">
        <v>270</v>
      </c>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c r="AA659" s="115"/>
      <c r="AB659" s="115"/>
      <c r="AC659" s="115"/>
      <c r="AD659" s="115"/>
      <c r="AE659" s="115"/>
      <c r="AF659" s="115"/>
      <c r="AG659" s="115"/>
      <c r="AH659" s="115"/>
      <c r="AI659" s="115"/>
      <c r="AJ659" s="115"/>
      <c r="AK659" s="115"/>
      <c r="AL659" s="115"/>
      <c r="AM659" s="115"/>
      <c r="AN659" s="115"/>
      <c r="AO659" s="115"/>
      <c r="AP659" s="115"/>
    </row>
    <row r="660" spans="1:42" x14ac:dyDescent="0.2">
      <c r="A660" s="21" t="s">
        <v>271</v>
      </c>
      <c r="B660" s="115"/>
      <c r="C660" s="115">
        <f t="shared" ref="C660:AP660" si="313">IF(term_tenor="N/A",0,IF(C$2&gt;term_tenor,0,IF(DebtPercent&lt;&gt;"Calculated","N/A",IF(C$664=0,0,C$650/C$664))))</f>
        <v>0</v>
      </c>
      <c r="D660" s="115">
        <f t="shared" si="313"/>
        <v>0</v>
      </c>
      <c r="E660" s="115">
        <f t="shared" si="313"/>
        <v>0</v>
      </c>
      <c r="F660" s="115">
        <f t="shared" si="313"/>
        <v>0</v>
      </c>
      <c r="G660" s="115">
        <f t="shared" si="313"/>
        <v>0</v>
      </c>
      <c r="H660" s="115">
        <f t="shared" si="313"/>
        <v>0</v>
      </c>
      <c r="I660" s="115">
        <f t="shared" si="313"/>
        <v>0</v>
      </c>
      <c r="J660" s="115">
        <f t="shared" si="313"/>
        <v>0</v>
      </c>
      <c r="K660" s="115">
        <f t="shared" si="313"/>
        <v>0</v>
      </c>
      <c r="L660" s="115">
        <f t="shared" si="313"/>
        <v>0</v>
      </c>
      <c r="M660" s="115">
        <f t="shared" si="313"/>
        <v>0</v>
      </c>
      <c r="N660" s="115">
        <f t="shared" si="313"/>
        <v>0</v>
      </c>
      <c r="O660" s="115">
        <f t="shared" si="313"/>
        <v>0</v>
      </c>
      <c r="P660" s="115">
        <f t="shared" si="313"/>
        <v>0</v>
      </c>
      <c r="Q660" s="115">
        <f t="shared" si="313"/>
        <v>0</v>
      </c>
      <c r="R660" s="115">
        <f t="shared" si="313"/>
        <v>0</v>
      </c>
      <c r="S660" s="115">
        <f t="shared" si="313"/>
        <v>0</v>
      </c>
      <c r="T660" s="115">
        <f t="shared" si="313"/>
        <v>0</v>
      </c>
      <c r="U660" s="115">
        <f t="shared" si="313"/>
        <v>0</v>
      </c>
      <c r="V660" s="115">
        <f t="shared" si="313"/>
        <v>0</v>
      </c>
      <c r="W660" s="115">
        <f t="shared" si="313"/>
        <v>0</v>
      </c>
      <c r="X660" s="115">
        <f t="shared" si="313"/>
        <v>0</v>
      </c>
      <c r="Y660" s="115">
        <f t="shared" si="313"/>
        <v>0</v>
      </c>
      <c r="Z660" s="115">
        <f t="shared" si="313"/>
        <v>0</v>
      </c>
      <c r="AA660" s="115">
        <f t="shared" si="313"/>
        <v>0</v>
      </c>
      <c r="AB660" s="115">
        <f t="shared" si="313"/>
        <v>0</v>
      </c>
      <c r="AC660" s="115">
        <f t="shared" si="313"/>
        <v>0</v>
      </c>
      <c r="AD660" s="115">
        <f t="shared" si="313"/>
        <v>0</v>
      </c>
      <c r="AE660" s="115">
        <f t="shared" si="313"/>
        <v>0</v>
      </c>
      <c r="AF660" s="115">
        <f t="shared" si="313"/>
        <v>0</v>
      </c>
      <c r="AG660" s="115">
        <f t="shared" si="313"/>
        <v>0</v>
      </c>
      <c r="AH660" s="115">
        <f t="shared" si="313"/>
        <v>0</v>
      </c>
      <c r="AI660" s="115">
        <f t="shared" si="313"/>
        <v>0</v>
      </c>
      <c r="AJ660" s="115">
        <f t="shared" si="313"/>
        <v>0</v>
      </c>
      <c r="AK660" s="115">
        <f t="shared" si="313"/>
        <v>0</v>
      </c>
      <c r="AL660" s="115">
        <f t="shared" si="313"/>
        <v>0</v>
      </c>
      <c r="AM660" s="115">
        <f t="shared" si="313"/>
        <v>0</v>
      </c>
      <c r="AN660" s="115">
        <f t="shared" si="313"/>
        <v>0</v>
      </c>
      <c r="AO660" s="115">
        <f t="shared" si="313"/>
        <v>0</v>
      </c>
      <c r="AP660" s="115">
        <f t="shared" si="313"/>
        <v>0</v>
      </c>
    </row>
    <row r="661" spans="1:42" x14ac:dyDescent="0.2">
      <c r="A661" s="21" t="s">
        <v>272</v>
      </c>
      <c r="B661" s="115"/>
      <c r="C661" s="115">
        <f t="shared" ref="C661:AP661" si="314">IF(term_tenor="N/A",0,IF(C$2&gt;term_tenor,0,IF(DebtPayment="Fixed principal","N/A",IF(DebtPercent="Calculated","N/A",IF(C$2&lt;loan_moratorium,C$643,IF(AND(C$2&lt;=term_tenor,C$2&lt;=analysis_period),-PMT(term_int_rate/100,term_tenor-loan_moratorium,$B$657),0))))))</f>
        <v>0</v>
      </c>
      <c r="D661" s="115">
        <f t="shared" si="314"/>
        <v>0</v>
      </c>
      <c r="E661" s="115">
        <f t="shared" si="314"/>
        <v>0</v>
      </c>
      <c r="F661" s="115">
        <f t="shared" si="314"/>
        <v>0</v>
      </c>
      <c r="G661" s="115">
        <f t="shared" si="314"/>
        <v>0</v>
      </c>
      <c r="H661" s="115">
        <f t="shared" si="314"/>
        <v>0</v>
      </c>
      <c r="I661" s="115">
        <f t="shared" si="314"/>
        <v>0</v>
      </c>
      <c r="J661" s="115">
        <f t="shared" si="314"/>
        <v>0</v>
      </c>
      <c r="K661" s="115">
        <f t="shared" si="314"/>
        <v>0</v>
      </c>
      <c r="L661" s="115">
        <f t="shared" si="314"/>
        <v>0</v>
      </c>
      <c r="M661" s="115">
        <f t="shared" si="314"/>
        <v>0</v>
      </c>
      <c r="N661" s="115">
        <f t="shared" si="314"/>
        <v>0</v>
      </c>
      <c r="O661" s="115">
        <f t="shared" si="314"/>
        <v>0</v>
      </c>
      <c r="P661" s="115">
        <f t="shared" si="314"/>
        <v>0</v>
      </c>
      <c r="Q661" s="115">
        <f t="shared" si="314"/>
        <v>0</v>
      </c>
      <c r="R661" s="115">
        <f t="shared" si="314"/>
        <v>0</v>
      </c>
      <c r="S661" s="115">
        <f t="shared" si="314"/>
        <v>0</v>
      </c>
      <c r="T661" s="115">
        <f t="shared" si="314"/>
        <v>0</v>
      </c>
      <c r="U661" s="115">
        <f t="shared" si="314"/>
        <v>0</v>
      </c>
      <c r="V661" s="115">
        <f t="shared" si="314"/>
        <v>0</v>
      </c>
      <c r="W661" s="115">
        <f t="shared" si="314"/>
        <v>0</v>
      </c>
      <c r="X661" s="115">
        <f t="shared" si="314"/>
        <v>0</v>
      </c>
      <c r="Y661" s="115">
        <f t="shared" si="314"/>
        <v>0</v>
      </c>
      <c r="Z661" s="115">
        <f t="shared" si="314"/>
        <v>0</v>
      </c>
      <c r="AA661" s="115">
        <f t="shared" si="314"/>
        <v>0</v>
      </c>
      <c r="AB661" s="115">
        <f t="shared" si="314"/>
        <v>0</v>
      </c>
      <c r="AC661" s="115">
        <f t="shared" si="314"/>
        <v>0</v>
      </c>
      <c r="AD661" s="115">
        <f t="shared" si="314"/>
        <v>0</v>
      </c>
      <c r="AE661" s="115">
        <f t="shared" si="314"/>
        <v>0</v>
      </c>
      <c r="AF661" s="115">
        <f t="shared" si="314"/>
        <v>0</v>
      </c>
      <c r="AG661" s="115">
        <f t="shared" si="314"/>
        <v>0</v>
      </c>
      <c r="AH661" s="115">
        <f t="shared" si="314"/>
        <v>0</v>
      </c>
      <c r="AI661" s="115">
        <f t="shared" si="314"/>
        <v>0</v>
      </c>
      <c r="AJ661" s="115">
        <f t="shared" si="314"/>
        <v>0</v>
      </c>
      <c r="AK661" s="115">
        <f t="shared" si="314"/>
        <v>0</v>
      </c>
      <c r="AL661" s="115">
        <f t="shared" si="314"/>
        <v>0</v>
      </c>
      <c r="AM661" s="115">
        <f t="shared" si="314"/>
        <v>0</v>
      </c>
      <c r="AN661" s="115">
        <f t="shared" si="314"/>
        <v>0</v>
      </c>
      <c r="AO661" s="115">
        <f t="shared" si="314"/>
        <v>0</v>
      </c>
      <c r="AP661" s="115">
        <f t="shared" si="314"/>
        <v>0</v>
      </c>
    </row>
    <row r="662" spans="1:42" x14ac:dyDescent="0.2">
      <c r="A662" s="21" t="s">
        <v>273</v>
      </c>
      <c r="B662" s="115"/>
      <c r="C662" s="115">
        <f t="shared" ref="C662:AP662" si="315">IF(term_tenor="N/A",0,IF(C$2&gt;term_tenor,0,IF(DebtPayment="Equal Payments","N/A",IF($B$657="N/A","N/A",IF(C$2&lt;=loan_moratorium,0,$B$657/(term_tenor-loan_moratorium))))))</f>
        <v>0</v>
      </c>
      <c r="D662" s="115">
        <f t="shared" si="315"/>
        <v>0</v>
      </c>
      <c r="E662" s="115">
        <f t="shared" si="315"/>
        <v>0</v>
      </c>
      <c r="F662" s="115">
        <f t="shared" si="315"/>
        <v>0</v>
      </c>
      <c r="G662" s="115">
        <f t="shared" si="315"/>
        <v>0</v>
      </c>
      <c r="H662" s="115">
        <f t="shared" si="315"/>
        <v>0</v>
      </c>
      <c r="I662" s="115">
        <f t="shared" si="315"/>
        <v>0</v>
      </c>
      <c r="J662" s="115">
        <f t="shared" si="315"/>
        <v>0</v>
      </c>
      <c r="K662" s="115">
        <f t="shared" si="315"/>
        <v>0</v>
      </c>
      <c r="L662" s="115">
        <f t="shared" si="315"/>
        <v>0</v>
      </c>
      <c r="M662" s="115">
        <f t="shared" si="315"/>
        <v>0</v>
      </c>
      <c r="N662" s="115">
        <f t="shared" si="315"/>
        <v>0</v>
      </c>
      <c r="O662" s="115">
        <f t="shared" si="315"/>
        <v>0</v>
      </c>
      <c r="P662" s="115">
        <f t="shared" si="315"/>
        <v>0</v>
      </c>
      <c r="Q662" s="115">
        <f t="shared" si="315"/>
        <v>0</v>
      </c>
      <c r="R662" s="115">
        <f t="shared" si="315"/>
        <v>0</v>
      </c>
      <c r="S662" s="115">
        <f t="shared" si="315"/>
        <v>0</v>
      </c>
      <c r="T662" s="115">
        <f t="shared" si="315"/>
        <v>0</v>
      </c>
      <c r="U662" s="115">
        <f t="shared" si="315"/>
        <v>0</v>
      </c>
      <c r="V662" s="115">
        <f t="shared" si="315"/>
        <v>0</v>
      </c>
      <c r="W662" s="115">
        <f t="shared" si="315"/>
        <v>0</v>
      </c>
      <c r="X662" s="115">
        <f t="shared" si="315"/>
        <v>0</v>
      </c>
      <c r="Y662" s="115">
        <f t="shared" si="315"/>
        <v>0</v>
      </c>
      <c r="Z662" s="115">
        <f t="shared" si="315"/>
        <v>0</v>
      </c>
      <c r="AA662" s="115">
        <f t="shared" si="315"/>
        <v>0</v>
      </c>
      <c r="AB662" s="115">
        <f t="shared" si="315"/>
        <v>0</v>
      </c>
      <c r="AC662" s="115">
        <f t="shared" si="315"/>
        <v>0</v>
      </c>
      <c r="AD662" s="115">
        <f t="shared" si="315"/>
        <v>0</v>
      </c>
      <c r="AE662" s="115">
        <f t="shared" si="315"/>
        <v>0</v>
      </c>
      <c r="AF662" s="115">
        <f t="shared" si="315"/>
        <v>0</v>
      </c>
      <c r="AG662" s="115">
        <f t="shared" si="315"/>
        <v>0</v>
      </c>
      <c r="AH662" s="115">
        <f t="shared" si="315"/>
        <v>0</v>
      </c>
      <c r="AI662" s="115">
        <f t="shared" si="315"/>
        <v>0</v>
      </c>
      <c r="AJ662" s="115">
        <f t="shared" si="315"/>
        <v>0</v>
      </c>
      <c r="AK662" s="115">
        <f t="shared" si="315"/>
        <v>0</v>
      </c>
      <c r="AL662" s="115">
        <f t="shared" si="315"/>
        <v>0</v>
      </c>
      <c r="AM662" s="115">
        <f t="shared" si="315"/>
        <v>0</v>
      </c>
      <c r="AN662" s="115">
        <f t="shared" si="315"/>
        <v>0</v>
      </c>
      <c r="AO662" s="115">
        <f t="shared" si="315"/>
        <v>0</v>
      </c>
      <c r="AP662" s="115">
        <f t="shared" si="315"/>
        <v>0</v>
      </c>
    </row>
    <row r="663" spans="1:42" x14ac:dyDescent="0.2">
      <c r="A663" s="21"/>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c r="AA663" s="115"/>
      <c r="AB663" s="115"/>
      <c r="AC663" s="115"/>
      <c r="AD663" s="115"/>
      <c r="AE663" s="115"/>
      <c r="AF663" s="115"/>
      <c r="AG663" s="115"/>
      <c r="AH663" s="115"/>
      <c r="AI663" s="115"/>
      <c r="AJ663" s="115"/>
      <c r="AK663" s="115"/>
      <c r="AL663" s="115"/>
      <c r="AM663" s="115"/>
      <c r="AN663" s="115"/>
      <c r="AO663" s="115"/>
      <c r="AP663" s="115"/>
    </row>
    <row r="664" spans="1:42" x14ac:dyDescent="0.2">
      <c r="A664" s="17" t="s">
        <v>235</v>
      </c>
      <c r="B664" s="102">
        <f>MIN(C664:AP664)</f>
        <v>0</v>
      </c>
      <c r="C664" s="104" t="str">
        <f t="shared" ref="C664:AP664" si="316">IF(DebtServiceCoverageRatio="Calculated",IF(AND(C$2&lt;=term_tenor,C$2&lt;=analysis_period),C$650/C$642,"N/A"),IF(AND(C$2&lt;=term_tenor,C$2&lt;=analysis_period),DebtServiceCoverageRatio,"N/A"))</f>
        <v>N/A</v>
      </c>
      <c r="D664" s="104" t="str">
        <f t="shared" si="316"/>
        <v>N/A</v>
      </c>
      <c r="E664" s="104" t="str">
        <f t="shared" si="316"/>
        <v>N/A</v>
      </c>
      <c r="F664" s="104" t="str">
        <f t="shared" si="316"/>
        <v>N/A</v>
      </c>
      <c r="G664" s="104" t="str">
        <f t="shared" si="316"/>
        <v>N/A</v>
      </c>
      <c r="H664" s="104" t="str">
        <f t="shared" si="316"/>
        <v>N/A</v>
      </c>
      <c r="I664" s="104" t="str">
        <f t="shared" si="316"/>
        <v>N/A</v>
      </c>
      <c r="J664" s="104" t="str">
        <f t="shared" si="316"/>
        <v>N/A</v>
      </c>
      <c r="K664" s="104" t="str">
        <f t="shared" si="316"/>
        <v>N/A</v>
      </c>
      <c r="L664" s="104" t="str">
        <f t="shared" si="316"/>
        <v>N/A</v>
      </c>
      <c r="M664" s="104" t="str">
        <f t="shared" si="316"/>
        <v>N/A</v>
      </c>
      <c r="N664" s="104" t="str">
        <f t="shared" si="316"/>
        <v>N/A</v>
      </c>
      <c r="O664" s="104" t="str">
        <f t="shared" si="316"/>
        <v>N/A</v>
      </c>
      <c r="P664" s="104" t="str">
        <f t="shared" si="316"/>
        <v>N/A</v>
      </c>
      <c r="Q664" s="104" t="str">
        <f t="shared" si="316"/>
        <v>N/A</v>
      </c>
      <c r="R664" s="104" t="str">
        <f t="shared" si="316"/>
        <v>N/A</v>
      </c>
      <c r="S664" s="104" t="str">
        <f t="shared" si="316"/>
        <v>N/A</v>
      </c>
      <c r="T664" s="104" t="str">
        <f t="shared" si="316"/>
        <v>N/A</v>
      </c>
      <c r="U664" s="104" t="str">
        <f t="shared" si="316"/>
        <v>N/A</v>
      </c>
      <c r="V664" s="104" t="str">
        <f t="shared" si="316"/>
        <v>N/A</v>
      </c>
      <c r="W664" s="104" t="str">
        <f t="shared" si="316"/>
        <v>N/A</v>
      </c>
      <c r="X664" s="104" t="str">
        <f t="shared" si="316"/>
        <v>N/A</v>
      </c>
      <c r="Y664" s="104" t="str">
        <f t="shared" si="316"/>
        <v>N/A</v>
      </c>
      <c r="Z664" s="104" t="str">
        <f t="shared" si="316"/>
        <v>N/A</v>
      </c>
      <c r="AA664" s="104" t="str">
        <f t="shared" si="316"/>
        <v>N/A</v>
      </c>
      <c r="AB664" s="104" t="str">
        <f t="shared" si="316"/>
        <v>N/A</v>
      </c>
      <c r="AC664" s="104" t="str">
        <f t="shared" si="316"/>
        <v>N/A</v>
      </c>
      <c r="AD664" s="104" t="str">
        <f t="shared" si="316"/>
        <v>N/A</v>
      </c>
      <c r="AE664" s="104" t="str">
        <f t="shared" si="316"/>
        <v>N/A</v>
      </c>
      <c r="AF664" s="104" t="str">
        <f t="shared" si="316"/>
        <v>N/A</v>
      </c>
      <c r="AG664" s="104" t="str">
        <f t="shared" si="316"/>
        <v>N/A</v>
      </c>
      <c r="AH664" s="104" t="str">
        <f t="shared" si="316"/>
        <v>N/A</v>
      </c>
      <c r="AI664" s="104" t="str">
        <f t="shared" si="316"/>
        <v>N/A</v>
      </c>
      <c r="AJ664" s="104" t="str">
        <f t="shared" si="316"/>
        <v>N/A</v>
      </c>
      <c r="AK664" s="104" t="str">
        <f t="shared" si="316"/>
        <v>N/A</v>
      </c>
      <c r="AL664" s="104" t="str">
        <f t="shared" si="316"/>
        <v>N/A</v>
      </c>
      <c r="AM664" s="104" t="str">
        <f t="shared" si="316"/>
        <v>N/A</v>
      </c>
      <c r="AN664" s="104" t="str">
        <f t="shared" si="316"/>
        <v>N/A</v>
      </c>
      <c r="AO664" s="104" t="str">
        <f t="shared" si="316"/>
        <v>N/A</v>
      </c>
      <c r="AP664" s="104" t="str">
        <f t="shared" si="316"/>
        <v>N/A</v>
      </c>
    </row>
    <row r="665" spans="1:42" x14ac:dyDescent="0.2">
      <c r="A665" s="84" t="s">
        <v>362</v>
      </c>
      <c r="B665" s="102">
        <f>IF(dscr_limit_debt_fraction="Yes",SUM(B655:AP655)/(-$B$105*dscr_maximum_debt_fraction/100)*DebtServiceCoverageRatio,B$664)</f>
        <v>0</v>
      </c>
      <c r="C665" s="104" t="str">
        <f t="shared" ref="C665:AP665" si="317">IF(dscr_limit_debt_fraction="Yes",$B$665,C$664)</f>
        <v>N/A</v>
      </c>
      <c r="D665" s="104" t="str">
        <f t="shared" si="317"/>
        <v>N/A</v>
      </c>
      <c r="E665" s="104" t="str">
        <f t="shared" si="317"/>
        <v>N/A</v>
      </c>
      <c r="F665" s="104" t="str">
        <f t="shared" si="317"/>
        <v>N/A</v>
      </c>
      <c r="G665" s="104" t="str">
        <f t="shared" si="317"/>
        <v>N/A</v>
      </c>
      <c r="H665" s="104" t="str">
        <f t="shared" si="317"/>
        <v>N/A</v>
      </c>
      <c r="I665" s="104" t="str">
        <f t="shared" si="317"/>
        <v>N/A</v>
      </c>
      <c r="J665" s="104" t="str">
        <f t="shared" si="317"/>
        <v>N/A</v>
      </c>
      <c r="K665" s="104" t="str">
        <f t="shared" si="317"/>
        <v>N/A</v>
      </c>
      <c r="L665" s="104" t="str">
        <f t="shared" si="317"/>
        <v>N/A</v>
      </c>
      <c r="M665" s="104" t="str">
        <f t="shared" si="317"/>
        <v>N/A</v>
      </c>
      <c r="N665" s="104" t="str">
        <f t="shared" si="317"/>
        <v>N/A</v>
      </c>
      <c r="O665" s="104" t="str">
        <f t="shared" si="317"/>
        <v>N/A</v>
      </c>
      <c r="P665" s="104" t="str">
        <f t="shared" si="317"/>
        <v>N/A</v>
      </c>
      <c r="Q665" s="104" t="str">
        <f t="shared" si="317"/>
        <v>N/A</v>
      </c>
      <c r="R665" s="104" t="str">
        <f t="shared" si="317"/>
        <v>N/A</v>
      </c>
      <c r="S665" s="104" t="str">
        <f t="shared" si="317"/>
        <v>N/A</v>
      </c>
      <c r="T665" s="104" t="str">
        <f t="shared" si="317"/>
        <v>N/A</v>
      </c>
      <c r="U665" s="104" t="str">
        <f t="shared" si="317"/>
        <v>N/A</v>
      </c>
      <c r="V665" s="104" t="str">
        <f t="shared" si="317"/>
        <v>N/A</v>
      </c>
      <c r="W665" s="104" t="str">
        <f t="shared" si="317"/>
        <v>N/A</v>
      </c>
      <c r="X665" s="104" t="str">
        <f t="shared" si="317"/>
        <v>N/A</v>
      </c>
      <c r="Y665" s="104" t="str">
        <f t="shared" si="317"/>
        <v>N/A</v>
      </c>
      <c r="Z665" s="104" t="str">
        <f t="shared" si="317"/>
        <v>N/A</v>
      </c>
      <c r="AA665" s="104" t="str">
        <f t="shared" si="317"/>
        <v>N/A</v>
      </c>
      <c r="AB665" s="104" t="str">
        <f t="shared" si="317"/>
        <v>N/A</v>
      </c>
      <c r="AC665" s="104" t="str">
        <f t="shared" si="317"/>
        <v>N/A</v>
      </c>
      <c r="AD665" s="104" t="str">
        <f t="shared" si="317"/>
        <v>N/A</v>
      </c>
      <c r="AE665" s="104" t="str">
        <f t="shared" si="317"/>
        <v>N/A</v>
      </c>
      <c r="AF665" s="104" t="str">
        <f t="shared" si="317"/>
        <v>N/A</v>
      </c>
      <c r="AG665" s="104" t="str">
        <f t="shared" si="317"/>
        <v>N/A</v>
      </c>
      <c r="AH665" s="104" t="str">
        <f t="shared" si="317"/>
        <v>N/A</v>
      </c>
      <c r="AI665" s="104" t="str">
        <f t="shared" si="317"/>
        <v>N/A</v>
      </c>
      <c r="AJ665" s="104" t="str">
        <f t="shared" si="317"/>
        <v>N/A</v>
      </c>
      <c r="AK665" s="104" t="str">
        <f t="shared" si="317"/>
        <v>N/A</v>
      </c>
      <c r="AL665" s="104" t="str">
        <f t="shared" si="317"/>
        <v>N/A</v>
      </c>
      <c r="AM665" s="104" t="str">
        <f t="shared" si="317"/>
        <v>N/A</v>
      </c>
      <c r="AN665" s="104" t="str">
        <f t="shared" si="317"/>
        <v>N/A</v>
      </c>
      <c r="AO665" s="104" t="str">
        <f t="shared" si="317"/>
        <v>N/A</v>
      </c>
      <c r="AP665" s="104" t="str">
        <f t="shared" si="317"/>
        <v>N/A</v>
      </c>
    </row>
    <row r="666" spans="1:42" x14ac:dyDescent="0.2">
      <c r="A666" s="22"/>
      <c r="B666" s="177"/>
    </row>
    <row r="667" spans="1:42" x14ac:dyDescent="0.2">
      <c r="A667" s="80" t="s">
        <v>60</v>
      </c>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c r="AE667" s="210"/>
      <c r="AF667" s="210"/>
      <c r="AG667" s="210"/>
      <c r="AH667" s="210"/>
      <c r="AI667" s="210"/>
      <c r="AJ667" s="210"/>
      <c r="AK667" s="210"/>
      <c r="AL667" s="210"/>
      <c r="AM667" s="210"/>
      <c r="AN667" s="210"/>
      <c r="AO667" s="210"/>
      <c r="AP667" s="210"/>
    </row>
    <row r="668" spans="1:42" x14ac:dyDescent="0.2">
      <c r="A668" s="19" t="s">
        <v>275</v>
      </c>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row>
    <row r="669" spans="1:42" x14ac:dyDescent="0.2">
      <c r="A669" s="4" t="s">
        <v>276</v>
      </c>
      <c r="B669" s="152">
        <v>0</v>
      </c>
      <c r="C669" s="152">
        <f>B672</f>
        <v>0</v>
      </c>
      <c r="D669" s="152">
        <f t="shared" ref="D669:AP669" si="318">C672</f>
        <v>0</v>
      </c>
      <c r="E669" s="152">
        <f t="shared" si="318"/>
        <v>0</v>
      </c>
      <c r="F669" s="152">
        <f t="shared" si="318"/>
        <v>0</v>
      </c>
      <c r="G669" s="152">
        <f t="shared" si="318"/>
        <v>0</v>
      </c>
      <c r="H669" s="152">
        <f t="shared" si="318"/>
        <v>0</v>
      </c>
      <c r="I669" s="152">
        <f t="shared" si="318"/>
        <v>0</v>
      </c>
      <c r="J669" s="152">
        <f t="shared" si="318"/>
        <v>0</v>
      </c>
      <c r="K669" s="152">
        <f t="shared" si="318"/>
        <v>0</v>
      </c>
      <c r="L669" s="152">
        <f t="shared" si="318"/>
        <v>0</v>
      </c>
      <c r="M669" s="152">
        <f t="shared" si="318"/>
        <v>0</v>
      </c>
      <c r="N669" s="152">
        <f t="shared" si="318"/>
        <v>0</v>
      </c>
      <c r="O669" s="152">
        <f t="shared" si="318"/>
        <v>0</v>
      </c>
      <c r="P669" s="152">
        <f t="shared" si="318"/>
        <v>0</v>
      </c>
      <c r="Q669" s="152">
        <f t="shared" si="318"/>
        <v>0</v>
      </c>
      <c r="R669" s="152">
        <f t="shared" si="318"/>
        <v>0</v>
      </c>
      <c r="S669" s="152">
        <f t="shared" si="318"/>
        <v>0</v>
      </c>
      <c r="T669" s="152">
        <f t="shared" si="318"/>
        <v>0</v>
      </c>
      <c r="U669" s="152">
        <f t="shared" si="318"/>
        <v>0</v>
      </c>
      <c r="V669" s="152">
        <f t="shared" si="318"/>
        <v>0</v>
      </c>
      <c r="W669" s="152">
        <f t="shared" si="318"/>
        <v>0</v>
      </c>
      <c r="X669" s="152">
        <f t="shared" si="318"/>
        <v>0</v>
      </c>
      <c r="Y669" s="152">
        <f t="shared" si="318"/>
        <v>0</v>
      </c>
      <c r="Z669" s="152">
        <f t="shared" si="318"/>
        <v>0</v>
      </c>
      <c r="AA669" s="152">
        <f t="shared" si="318"/>
        <v>0</v>
      </c>
      <c r="AB669" s="152">
        <f t="shared" si="318"/>
        <v>0</v>
      </c>
      <c r="AC669" s="152">
        <f t="shared" si="318"/>
        <v>0</v>
      </c>
      <c r="AD669" s="152">
        <f t="shared" si="318"/>
        <v>0</v>
      </c>
      <c r="AE669" s="152">
        <f t="shared" si="318"/>
        <v>0</v>
      </c>
      <c r="AF669" s="152">
        <f t="shared" si="318"/>
        <v>0</v>
      </c>
      <c r="AG669" s="152">
        <f t="shared" si="318"/>
        <v>0</v>
      </c>
      <c r="AH669" s="152">
        <f t="shared" si="318"/>
        <v>0</v>
      </c>
      <c r="AI669" s="152">
        <f t="shared" si="318"/>
        <v>0</v>
      </c>
      <c r="AJ669" s="152">
        <f t="shared" si="318"/>
        <v>0</v>
      </c>
      <c r="AK669" s="152">
        <f t="shared" si="318"/>
        <v>0</v>
      </c>
      <c r="AL669" s="152">
        <f t="shared" si="318"/>
        <v>0</v>
      </c>
      <c r="AM669" s="152">
        <f t="shared" si="318"/>
        <v>0</v>
      </c>
      <c r="AN669" s="152">
        <f t="shared" si="318"/>
        <v>0</v>
      </c>
      <c r="AO669" s="152">
        <f t="shared" si="318"/>
        <v>0</v>
      </c>
      <c r="AP669" s="152">
        <f t="shared" si="318"/>
        <v>0</v>
      </c>
    </row>
    <row r="670" spans="1:42" x14ac:dyDescent="0.2">
      <c r="A670" s="4" t="s">
        <v>25</v>
      </c>
      <c r="B670" s="152">
        <f t="array" ref="B670:AP670">Inputs!C216:AQ216</f>
        <v>0</v>
      </c>
      <c r="C670" s="152">
        <v>0</v>
      </c>
      <c r="D670" s="152">
        <v>0</v>
      </c>
      <c r="E670" s="152">
        <v>0</v>
      </c>
      <c r="F670" s="152">
        <v>0</v>
      </c>
      <c r="G670" s="152">
        <v>0</v>
      </c>
      <c r="H670" s="152">
        <v>0</v>
      </c>
      <c r="I670" s="152">
        <v>0</v>
      </c>
      <c r="J670" s="152">
        <v>0</v>
      </c>
      <c r="K670" s="152">
        <v>0</v>
      </c>
      <c r="L670" s="152">
        <v>0</v>
      </c>
      <c r="M670" s="152">
        <v>0</v>
      </c>
      <c r="N670" s="152">
        <v>0</v>
      </c>
      <c r="O670" s="152">
        <v>0</v>
      </c>
      <c r="P670" s="152">
        <v>0</v>
      </c>
      <c r="Q670" s="152">
        <v>0</v>
      </c>
      <c r="R670" s="152">
        <v>0</v>
      </c>
      <c r="S670" s="152">
        <v>0</v>
      </c>
      <c r="T670" s="152">
        <v>0</v>
      </c>
      <c r="U670" s="152">
        <v>0</v>
      </c>
      <c r="V670" s="152">
        <v>0</v>
      </c>
      <c r="W670" s="152">
        <v>0</v>
      </c>
      <c r="X670" s="152">
        <v>0</v>
      </c>
      <c r="Y670" s="152">
        <v>0</v>
      </c>
      <c r="Z670" s="152">
        <v>0</v>
      </c>
      <c r="AA670" s="152">
        <v>0</v>
      </c>
      <c r="AB670" s="152">
        <v>0</v>
      </c>
      <c r="AC670" s="152">
        <v>0</v>
      </c>
      <c r="AD670" s="152">
        <v>0</v>
      </c>
      <c r="AE670" s="152">
        <v>0</v>
      </c>
      <c r="AF670" s="152">
        <v>0</v>
      </c>
      <c r="AG670" s="152">
        <v>0</v>
      </c>
      <c r="AH670" s="152">
        <v>0</v>
      </c>
      <c r="AI670" s="152">
        <v>0</v>
      </c>
      <c r="AJ670" s="152">
        <v>0</v>
      </c>
      <c r="AK670" s="152">
        <v>0</v>
      </c>
      <c r="AL670" s="152">
        <v>0</v>
      </c>
      <c r="AM670" s="152">
        <v>0</v>
      </c>
      <c r="AN670" s="152">
        <v>0</v>
      </c>
      <c r="AO670" s="152">
        <v>0</v>
      </c>
      <c r="AP670" s="152">
        <v>0</v>
      </c>
    </row>
    <row r="671" spans="1:42" x14ac:dyDescent="0.2">
      <c r="A671" s="4" t="s">
        <v>277</v>
      </c>
      <c r="B671" s="153">
        <f t="array" ref="B671:AP671">Inputs!C217:AQ217</f>
        <v>0</v>
      </c>
      <c r="C671" s="153">
        <v>0</v>
      </c>
      <c r="D671" s="153">
        <v>0</v>
      </c>
      <c r="E671" s="153">
        <v>0</v>
      </c>
      <c r="F671" s="153">
        <v>0</v>
      </c>
      <c r="G671" s="153">
        <v>0</v>
      </c>
      <c r="H671" s="153">
        <v>0</v>
      </c>
      <c r="I671" s="153">
        <v>0</v>
      </c>
      <c r="J671" s="153">
        <v>0</v>
      </c>
      <c r="K671" s="153">
        <v>0</v>
      </c>
      <c r="L671" s="153">
        <v>0</v>
      </c>
      <c r="M671" s="153">
        <v>0</v>
      </c>
      <c r="N671" s="153">
        <v>0</v>
      </c>
      <c r="O671" s="153">
        <v>0</v>
      </c>
      <c r="P671" s="153">
        <v>0</v>
      </c>
      <c r="Q671" s="153">
        <v>0</v>
      </c>
      <c r="R671" s="153">
        <v>0</v>
      </c>
      <c r="S671" s="153">
        <v>0</v>
      </c>
      <c r="T671" s="153">
        <v>0</v>
      </c>
      <c r="U671" s="153">
        <v>0</v>
      </c>
      <c r="V671" s="153">
        <v>0</v>
      </c>
      <c r="W671" s="153">
        <v>0</v>
      </c>
      <c r="X671" s="153">
        <v>0</v>
      </c>
      <c r="Y671" s="153">
        <v>0</v>
      </c>
      <c r="Z671" s="153">
        <v>0</v>
      </c>
      <c r="AA671" s="153">
        <v>0</v>
      </c>
      <c r="AB671" s="153">
        <v>0</v>
      </c>
      <c r="AC671" s="153">
        <v>0</v>
      </c>
      <c r="AD671" s="153">
        <v>0</v>
      </c>
      <c r="AE671" s="153">
        <v>0</v>
      </c>
      <c r="AF671" s="153">
        <v>0</v>
      </c>
      <c r="AG671" s="153">
        <v>0</v>
      </c>
      <c r="AH671" s="153">
        <v>0</v>
      </c>
      <c r="AI671" s="153">
        <v>0</v>
      </c>
      <c r="AJ671" s="153">
        <v>0</v>
      </c>
      <c r="AK671" s="153">
        <v>0</v>
      </c>
      <c r="AL671" s="153">
        <v>0</v>
      </c>
      <c r="AM671" s="153">
        <v>0</v>
      </c>
      <c r="AN671" s="153">
        <v>0</v>
      </c>
      <c r="AO671" s="153">
        <v>0</v>
      </c>
      <c r="AP671" s="153">
        <v>0</v>
      </c>
    </row>
    <row r="672" spans="1:42" x14ac:dyDescent="0.2">
      <c r="A672" s="4" t="s">
        <v>236</v>
      </c>
      <c r="B672" s="152">
        <f t="array" ref="B672:AP672">Inputs!C218:AQ218</f>
        <v>0</v>
      </c>
      <c r="C672" s="152">
        <v>0</v>
      </c>
      <c r="D672" s="152">
        <v>0</v>
      </c>
      <c r="E672" s="152">
        <v>0</v>
      </c>
      <c r="F672" s="152">
        <v>0</v>
      </c>
      <c r="G672" s="152">
        <v>0</v>
      </c>
      <c r="H672" s="152">
        <v>0</v>
      </c>
      <c r="I672" s="152">
        <v>0</v>
      </c>
      <c r="J672" s="152">
        <v>0</v>
      </c>
      <c r="K672" s="152">
        <v>0</v>
      </c>
      <c r="L672" s="152">
        <v>0</v>
      </c>
      <c r="M672" s="152">
        <v>0</v>
      </c>
      <c r="N672" s="152">
        <v>0</v>
      </c>
      <c r="O672" s="152">
        <v>0</v>
      </c>
      <c r="P672" s="152">
        <v>0</v>
      </c>
      <c r="Q672" s="152">
        <v>0</v>
      </c>
      <c r="R672" s="152">
        <v>0</v>
      </c>
      <c r="S672" s="152">
        <v>0</v>
      </c>
      <c r="T672" s="152">
        <v>0</v>
      </c>
      <c r="U672" s="152">
        <v>0</v>
      </c>
      <c r="V672" s="152">
        <v>0</v>
      </c>
      <c r="W672" s="152">
        <v>0</v>
      </c>
      <c r="X672" s="152">
        <v>0</v>
      </c>
      <c r="Y672" s="152">
        <v>0</v>
      </c>
      <c r="Z672" s="152">
        <v>0</v>
      </c>
      <c r="AA672" s="152">
        <v>0</v>
      </c>
      <c r="AB672" s="152">
        <v>0</v>
      </c>
      <c r="AC672" s="152">
        <v>0</v>
      </c>
      <c r="AD672" s="152">
        <v>0</v>
      </c>
      <c r="AE672" s="152">
        <v>0</v>
      </c>
      <c r="AF672" s="152">
        <v>0</v>
      </c>
      <c r="AG672" s="152">
        <v>0</v>
      </c>
      <c r="AH672" s="152">
        <v>0</v>
      </c>
      <c r="AI672" s="152">
        <v>0</v>
      </c>
      <c r="AJ672" s="152">
        <v>0</v>
      </c>
      <c r="AK672" s="152">
        <v>0</v>
      </c>
      <c r="AL672" s="152">
        <v>0</v>
      </c>
      <c r="AM672" s="152">
        <v>0</v>
      </c>
      <c r="AN672" s="152">
        <v>0</v>
      </c>
      <c r="AO672" s="152">
        <v>0</v>
      </c>
      <c r="AP672" s="152">
        <v>0</v>
      </c>
    </row>
    <row r="673" spans="1:42" x14ac:dyDescent="0.2">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row>
    <row r="674" spans="1:42" x14ac:dyDescent="0.2">
      <c r="A674" s="19" t="s">
        <v>274</v>
      </c>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row>
    <row r="675" spans="1:42" x14ac:dyDescent="0.2">
      <c r="A675" s="4" t="s">
        <v>276</v>
      </c>
      <c r="B675" s="152">
        <v>0</v>
      </c>
      <c r="C675" s="152">
        <f>B678</f>
        <v>0</v>
      </c>
      <c r="D675" s="152">
        <f t="shared" ref="D675:AP675" si="319">C678</f>
        <v>0</v>
      </c>
      <c r="E675" s="152">
        <f t="shared" si="319"/>
        <v>0</v>
      </c>
      <c r="F675" s="152">
        <f t="shared" si="319"/>
        <v>0</v>
      </c>
      <c r="G675" s="152">
        <f t="shared" si="319"/>
        <v>0</v>
      </c>
      <c r="H675" s="152">
        <f t="shared" si="319"/>
        <v>0</v>
      </c>
      <c r="I675" s="152">
        <f t="shared" si="319"/>
        <v>0</v>
      </c>
      <c r="J675" s="152">
        <f t="shared" si="319"/>
        <v>0</v>
      </c>
      <c r="K675" s="152">
        <f t="shared" si="319"/>
        <v>0</v>
      </c>
      <c r="L675" s="152">
        <f t="shared" si="319"/>
        <v>0</v>
      </c>
      <c r="M675" s="152">
        <f t="shared" si="319"/>
        <v>0</v>
      </c>
      <c r="N675" s="152">
        <f t="shared" si="319"/>
        <v>0</v>
      </c>
      <c r="O675" s="152">
        <f t="shared" si="319"/>
        <v>0</v>
      </c>
      <c r="P675" s="152">
        <f t="shared" si="319"/>
        <v>0</v>
      </c>
      <c r="Q675" s="152">
        <f t="shared" si="319"/>
        <v>0</v>
      </c>
      <c r="R675" s="152">
        <f t="shared" si="319"/>
        <v>0</v>
      </c>
      <c r="S675" s="152">
        <f t="shared" si="319"/>
        <v>0</v>
      </c>
      <c r="T675" s="152">
        <f t="shared" si="319"/>
        <v>0</v>
      </c>
      <c r="U675" s="152">
        <f t="shared" si="319"/>
        <v>0</v>
      </c>
      <c r="V675" s="152">
        <f t="shared" si="319"/>
        <v>0</v>
      </c>
      <c r="W675" s="152">
        <f t="shared" si="319"/>
        <v>0</v>
      </c>
      <c r="X675" s="152">
        <f t="shared" si="319"/>
        <v>0</v>
      </c>
      <c r="Y675" s="152">
        <f t="shared" si="319"/>
        <v>0</v>
      </c>
      <c r="Z675" s="152">
        <f t="shared" si="319"/>
        <v>0</v>
      </c>
      <c r="AA675" s="152">
        <f t="shared" si="319"/>
        <v>0</v>
      </c>
      <c r="AB675" s="152">
        <f t="shared" si="319"/>
        <v>0</v>
      </c>
      <c r="AC675" s="152">
        <f t="shared" si="319"/>
        <v>0</v>
      </c>
      <c r="AD675" s="152">
        <f t="shared" si="319"/>
        <v>0</v>
      </c>
      <c r="AE675" s="152">
        <f t="shared" si="319"/>
        <v>0</v>
      </c>
      <c r="AF675" s="152">
        <f t="shared" si="319"/>
        <v>0</v>
      </c>
      <c r="AG675" s="152">
        <f t="shared" si="319"/>
        <v>0</v>
      </c>
      <c r="AH675" s="152">
        <f t="shared" si="319"/>
        <v>0</v>
      </c>
      <c r="AI675" s="152">
        <f t="shared" si="319"/>
        <v>0</v>
      </c>
      <c r="AJ675" s="152">
        <f t="shared" si="319"/>
        <v>0</v>
      </c>
      <c r="AK675" s="152">
        <f t="shared" si="319"/>
        <v>0</v>
      </c>
      <c r="AL675" s="152">
        <f t="shared" si="319"/>
        <v>0</v>
      </c>
      <c r="AM675" s="152">
        <f t="shared" si="319"/>
        <v>0</v>
      </c>
      <c r="AN675" s="152">
        <f t="shared" si="319"/>
        <v>0</v>
      </c>
      <c r="AO675" s="152">
        <f t="shared" si="319"/>
        <v>0</v>
      </c>
      <c r="AP675" s="152">
        <f t="shared" si="319"/>
        <v>0</v>
      </c>
    </row>
    <row r="676" spans="1:42" x14ac:dyDescent="0.2">
      <c r="A676" s="4" t="s">
        <v>25</v>
      </c>
      <c r="B676" s="152">
        <f t="shared" ref="B676:AP676" si="320">IF(B$2&lt;analysis_period,B678-B675,0)</f>
        <v>0</v>
      </c>
      <c r="C676" s="152">
        <f t="shared" si="320"/>
        <v>0</v>
      </c>
      <c r="D676" s="152">
        <f t="shared" si="320"/>
        <v>0</v>
      </c>
      <c r="E676" s="152">
        <f t="shared" si="320"/>
        <v>0</v>
      </c>
      <c r="F676" s="152">
        <f t="shared" si="320"/>
        <v>0</v>
      </c>
      <c r="G676" s="152">
        <f t="shared" si="320"/>
        <v>0</v>
      </c>
      <c r="H676" s="152">
        <f t="shared" si="320"/>
        <v>0</v>
      </c>
      <c r="I676" s="152">
        <f t="shared" si="320"/>
        <v>0</v>
      </c>
      <c r="J676" s="152">
        <f t="shared" si="320"/>
        <v>0</v>
      </c>
      <c r="K676" s="152">
        <f t="shared" si="320"/>
        <v>0</v>
      </c>
      <c r="L676" s="152">
        <f t="shared" si="320"/>
        <v>0</v>
      </c>
      <c r="M676" s="152">
        <f t="shared" si="320"/>
        <v>0</v>
      </c>
      <c r="N676" s="152">
        <f t="shared" si="320"/>
        <v>0</v>
      </c>
      <c r="O676" s="152">
        <f t="shared" si="320"/>
        <v>0</v>
      </c>
      <c r="P676" s="152">
        <f t="shared" si="320"/>
        <v>0</v>
      </c>
      <c r="Q676" s="152">
        <f t="shared" si="320"/>
        <v>0</v>
      </c>
      <c r="R676" s="152">
        <f t="shared" si="320"/>
        <v>0</v>
      </c>
      <c r="S676" s="152">
        <f t="shared" si="320"/>
        <v>0</v>
      </c>
      <c r="T676" s="152">
        <f t="shared" si="320"/>
        <v>0</v>
      </c>
      <c r="U676" s="152">
        <f t="shared" si="320"/>
        <v>0</v>
      </c>
      <c r="V676" s="152">
        <f t="shared" si="320"/>
        <v>0</v>
      </c>
      <c r="W676" s="152">
        <f t="shared" si="320"/>
        <v>0</v>
      </c>
      <c r="X676" s="152">
        <f t="shared" si="320"/>
        <v>0</v>
      </c>
      <c r="Y676" s="152">
        <f t="shared" si="320"/>
        <v>0</v>
      </c>
      <c r="Z676" s="152">
        <f t="shared" si="320"/>
        <v>0</v>
      </c>
      <c r="AA676" s="152">
        <f t="shared" si="320"/>
        <v>0</v>
      </c>
      <c r="AB676" s="152">
        <f t="shared" si="320"/>
        <v>0</v>
      </c>
      <c r="AC676" s="152">
        <f t="shared" si="320"/>
        <v>0</v>
      </c>
      <c r="AD676" s="152">
        <f t="shared" si="320"/>
        <v>0</v>
      </c>
      <c r="AE676" s="152">
        <f t="shared" si="320"/>
        <v>0</v>
      </c>
      <c r="AF676" s="152">
        <f t="shared" si="320"/>
        <v>0</v>
      </c>
      <c r="AG676" s="152">
        <f t="shared" si="320"/>
        <v>0</v>
      </c>
      <c r="AH676" s="152">
        <f t="shared" si="320"/>
        <v>0</v>
      </c>
      <c r="AI676" s="152">
        <f t="shared" si="320"/>
        <v>0</v>
      </c>
      <c r="AJ676" s="152">
        <f t="shared" si="320"/>
        <v>0</v>
      </c>
      <c r="AK676" s="152">
        <f t="shared" si="320"/>
        <v>0</v>
      </c>
      <c r="AL676" s="152">
        <f t="shared" si="320"/>
        <v>0</v>
      </c>
      <c r="AM676" s="152">
        <f t="shared" si="320"/>
        <v>0</v>
      </c>
      <c r="AN676" s="152">
        <f t="shared" si="320"/>
        <v>0</v>
      </c>
      <c r="AO676" s="152">
        <f t="shared" si="320"/>
        <v>0</v>
      </c>
      <c r="AP676" s="152">
        <f t="shared" si="320"/>
        <v>0</v>
      </c>
    </row>
    <row r="677" spans="1:42" x14ac:dyDescent="0.2">
      <c r="A677" s="4" t="s">
        <v>277</v>
      </c>
      <c r="B677" s="153">
        <v>0</v>
      </c>
      <c r="C677" s="153">
        <f t="shared" ref="C677:AP677" si="321">IF(C$2=analysis_period,-C675,0)</f>
        <v>0</v>
      </c>
      <c r="D677" s="153">
        <f t="shared" si="321"/>
        <v>0</v>
      </c>
      <c r="E677" s="153">
        <f t="shared" si="321"/>
        <v>0</v>
      </c>
      <c r="F677" s="153">
        <f t="shared" si="321"/>
        <v>0</v>
      </c>
      <c r="G677" s="153">
        <f t="shared" si="321"/>
        <v>0</v>
      </c>
      <c r="H677" s="153">
        <f t="shared" si="321"/>
        <v>0</v>
      </c>
      <c r="I677" s="153">
        <f t="shared" si="321"/>
        <v>0</v>
      </c>
      <c r="J677" s="153">
        <f t="shared" si="321"/>
        <v>0</v>
      </c>
      <c r="K677" s="153">
        <f t="shared" si="321"/>
        <v>0</v>
      </c>
      <c r="L677" s="153">
        <f t="shared" si="321"/>
        <v>0</v>
      </c>
      <c r="M677" s="153">
        <f t="shared" si="321"/>
        <v>0</v>
      </c>
      <c r="N677" s="153">
        <f t="shared" si="321"/>
        <v>0</v>
      </c>
      <c r="O677" s="153">
        <f t="shared" si="321"/>
        <v>0</v>
      </c>
      <c r="P677" s="153">
        <f t="shared" si="321"/>
        <v>0</v>
      </c>
      <c r="Q677" s="153">
        <f t="shared" si="321"/>
        <v>0</v>
      </c>
      <c r="R677" s="153">
        <f t="shared" si="321"/>
        <v>0</v>
      </c>
      <c r="S677" s="153">
        <f t="shared" si="321"/>
        <v>0</v>
      </c>
      <c r="T677" s="153">
        <f t="shared" si="321"/>
        <v>0</v>
      </c>
      <c r="U677" s="153">
        <f t="shared" si="321"/>
        <v>0</v>
      </c>
      <c r="V677" s="153">
        <f t="shared" si="321"/>
        <v>0</v>
      </c>
      <c r="W677" s="153">
        <f t="shared" si="321"/>
        <v>0</v>
      </c>
      <c r="X677" s="153">
        <f t="shared" si="321"/>
        <v>0</v>
      </c>
      <c r="Y677" s="153">
        <f t="shared" si="321"/>
        <v>0</v>
      </c>
      <c r="Z677" s="153">
        <f t="shared" si="321"/>
        <v>0</v>
      </c>
      <c r="AA677" s="153">
        <f t="shared" si="321"/>
        <v>0</v>
      </c>
      <c r="AB677" s="153">
        <f t="shared" si="321"/>
        <v>0</v>
      </c>
      <c r="AC677" s="153">
        <f t="shared" si="321"/>
        <v>0</v>
      </c>
      <c r="AD677" s="153">
        <f t="shared" si="321"/>
        <v>0</v>
      </c>
      <c r="AE677" s="153">
        <f t="shared" si="321"/>
        <v>0</v>
      </c>
      <c r="AF677" s="153">
        <f t="shared" si="321"/>
        <v>0</v>
      </c>
      <c r="AG677" s="153">
        <f t="shared" si="321"/>
        <v>0</v>
      </c>
      <c r="AH677" s="153">
        <f t="shared" si="321"/>
        <v>0</v>
      </c>
      <c r="AI677" s="153">
        <f t="shared" si="321"/>
        <v>0</v>
      </c>
      <c r="AJ677" s="153">
        <f t="shared" si="321"/>
        <v>0</v>
      </c>
      <c r="AK677" s="153">
        <f t="shared" si="321"/>
        <v>0</v>
      </c>
      <c r="AL677" s="153">
        <f t="shared" si="321"/>
        <v>0</v>
      </c>
      <c r="AM677" s="153">
        <f t="shared" si="321"/>
        <v>0</v>
      </c>
      <c r="AN677" s="153">
        <f t="shared" si="321"/>
        <v>0</v>
      </c>
      <c r="AO677" s="153">
        <f t="shared" si="321"/>
        <v>0</v>
      </c>
      <c r="AP677" s="153">
        <f t="shared" si="321"/>
        <v>0</v>
      </c>
    </row>
    <row r="678" spans="1:42" x14ac:dyDescent="0.2">
      <c r="A678" s="4" t="s">
        <v>236</v>
      </c>
      <c r="B678" s="152">
        <f t="shared" ref="B678:AP678" si="322">C$63*(months_working_reserve/12)</f>
        <v>0</v>
      </c>
      <c r="C678" s="152">
        <f t="shared" si="322"/>
        <v>0</v>
      </c>
      <c r="D678" s="152">
        <f t="shared" si="322"/>
        <v>0</v>
      </c>
      <c r="E678" s="152">
        <f t="shared" si="322"/>
        <v>0</v>
      </c>
      <c r="F678" s="152">
        <f t="shared" si="322"/>
        <v>0</v>
      </c>
      <c r="G678" s="152">
        <f t="shared" si="322"/>
        <v>0</v>
      </c>
      <c r="H678" s="152">
        <f t="shared" si="322"/>
        <v>0</v>
      </c>
      <c r="I678" s="152">
        <f t="shared" si="322"/>
        <v>0</v>
      </c>
      <c r="J678" s="152">
        <f t="shared" si="322"/>
        <v>0</v>
      </c>
      <c r="K678" s="152">
        <f t="shared" si="322"/>
        <v>0</v>
      </c>
      <c r="L678" s="152">
        <f t="shared" si="322"/>
        <v>0</v>
      </c>
      <c r="M678" s="152">
        <f t="shared" si="322"/>
        <v>0</v>
      </c>
      <c r="N678" s="152">
        <f t="shared" si="322"/>
        <v>0</v>
      </c>
      <c r="O678" s="152">
        <f t="shared" si="322"/>
        <v>0</v>
      </c>
      <c r="P678" s="152">
        <f t="shared" si="322"/>
        <v>0</v>
      </c>
      <c r="Q678" s="152">
        <f t="shared" si="322"/>
        <v>0</v>
      </c>
      <c r="R678" s="152">
        <f t="shared" si="322"/>
        <v>0</v>
      </c>
      <c r="S678" s="152">
        <f t="shared" si="322"/>
        <v>0</v>
      </c>
      <c r="T678" s="152">
        <f t="shared" si="322"/>
        <v>0</v>
      </c>
      <c r="U678" s="152">
        <f t="shared" si="322"/>
        <v>0</v>
      </c>
      <c r="V678" s="152">
        <f t="shared" si="322"/>
        <v>0</v>
      </c>
      <c r="W678" s="152">
        <f t="shared" si="322"/>
        <v>0</v>
      </c>
      <c r="X678" s="152">
        <f t="shared" si="322"/>
        <v>0</v>
      </c>
      <c r="Y678" s="152">
        <f t="shared" si="322"/>
        <v>0</v>
      </c>
      <c r="Z678" s="152">
        <f t="shared" si="322"/>
        <v>0</v>
      </c>
      <c r="AA678" s="152">
        <f t="shared" si="322"/>
        <v>0</v>
      </c>
      <c r="AB678" s="152">
        <f t="shared" si="322"/>
        <v>0</v>
      </c>
      <c r="AC678" s="152">
        <f t="shared" si="322"/>
        <v>0</v>
      </c>
      <c r="AD678" s="152">
        <f t="shared" si="322"/>
        <v>0</v>
      </c>
      <c r="AE678" s="152">
        <f t="shared" si="322"/>
        <v>0</v>
      </c>
      <c r="AF678" s="152">
        <f t="shared" si="322"/>
        <v>0</v>
      </c>
      <c r="AG678" s="152">
        <f t="shared" si="322"/>
        <v>0</v>
      </c>
      <c r="AH678" s="152">
        <f t="shared" si="322"/>
        <v>0</v>
      </c>
      <c r="AI678" s="152">
        <f t="shared" si="322"/>
        <v>0</v>
      </c>
      <c r="AJ678" s="152">
        <f t="shared" si="322"/>
        <v>0</v>
      </c>
      <c r="AK678" s="152">
        <f t="shared" si="322"/>
        <v>0</v>
      </c>
      <c r="AL678" s="152">
        <f t="shared" si="322"/>
        <v>0</v>
      </c>
      <c r="AM678" s="152">
        <f t="shared" si="322"/>
        <v>0</v>
      </c>
      <c r="AN678" s="152">
        <f t="shared" si="322"/>
        <v>0</v>
      </c>
      <c r="AO678" s="152">
        <f t="shared" si="322"/>
        <v>0</v>
      </c>
      <c r="AP678" s="152">
        <f t="shared" si="322"/>
        <v>0</v>
      </c>
    </row>
    <row r="679" spans="1:42" x14ac:dyDescent="0.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c r="AA679" s="152"/>
      <c r="AB679" s="152"/>
      <c r="AC679" s="152"/>
      <c r="AD679" s="152"/>
      <c r="AE679" s="152"/>
      <c r="AF679" s="152"/>
      <c r="AG679" s="152"/>
      <c r="AH679" s="152"/>
      <c r="AI679" s="152"/>
      <c r="AJ679" s="152"/>
      <c r="AK679" s="152"/>
      <c r="AL679" s="152"/>
      <c r="AM679" s="152"/>
      <c r="AN679" s="152"/>
      <c r="AO679" s="152"/>
      <c r="AP679" s="152"/>
    </row>
    <row r="680" spans="1:42" x14ac:dyDescent="0.2">
      <c r="A680" s="19" t="s">
        <v>286</v>
      </c>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c r="AA680" s="152"/>
      <c r="AB680" s="152"/>
      <c r="AC680" s="152"/>
      <c r="AD680" s="152"/>
      <c r="AE680" s="152"/>
      <c r="AF680" s="152"/>
      <c r="AG680" s="152"/>
      <c r="AH680" s="152"/>
      <c r="AI680" s="152"/>
      <c r="AJ680" s="152"/>
      <c r="AK680" s="152"/>
      <c r="AL680" s="152"/>
      <c r="AM680" s="152"/>
      <c r="AN680" s="152"/>
      <c r="AO680" s="152"/>
      <c r="AP680" s="152"/>
    </row>
    <row r="681" spans="1:42" x14ac:dyDescent="0.2">
      <c r="A681" s="4" t="s">
        <v>276</v>
      </c>
      <c r="B681" s="152">
        <v>0</v>
      </c>
      <c r="C681" s="152">
        <f>B684</f>
        <v>0</v>
      </c>
      <c r="D681" s="152">
        <f t="shared" ref="D681" si="323">C684</f>
        <v>0</v>
      </c>
      <c r="E681" s="152">
        <f t="shared" ref="E681" si="324">D684</f>
        <v>0</v>
      </c>
      <c r="F681" s="152">
        <f t="shared" ref="F681" si="325">E684</f>
        <v>0</v>
      </c>
      <c r="G681" s="152">
        <f t="shared" ref="G681" si="326">F684</f>
        <v>0</v>
      </c>
      <c r="H681" s="152">
        <f t="shared" ref="H681" si="327">G684</f>
        <v>0</v>
      </c>
      <c r="I681" s="152">
        <f t="shared" ref="I681" si="328">H684</f>
        <v>0</v>
      </c>
      <c r="J681" s="152">
        <f t="shared" ref="J681" si="329">I684</f>
        <v>0</v>
      </c>
      <c r="K681" s="152">
        <f t="shared" ref="K681" si="330">J684</f>
        <v>0</v>
      </c>
      <c r="L681" s="152">
        <f t="shared" ref="L681" si="331">K684</f>
        <v>0</v>
      </c>
      <c r="M681" s="152">
        <f t="shared" ref="M681" si="332">L684</f>
        <v>0</v>
      </c>
      <c r="N681" s="152">
        <f t="shared" ref="N681" si="333">M684</f>
        <v>0</v>
      </c>
      <c r="O681" s="152">
        <f t="shared" ref="O681" si="334">N684</f>
        <v>0</v>
      </c>
      <c r="P681" s="152">
        <f t="shared" ref="P681" si="335">O684</f>
        <v>0</v>
      </c>
      <c r="Q681" s="152">
        <f t="shared" ref="Q681" si="336">P684</f>
        <v>0</v>
      </c>
      <c r="R681" s="152">
        <f t="shared" ref="R681" si="337">Q684</f>
        <v>0</v>
      </c>
      <c r="S681" s="152">
        <f t="shared" ref="S681" si="338">R684</f>
        <v>0</v>
      </c>
      <c r="T681" s="152">
        <f t="shared" ref="T681" si="339">S684</f>
        <v>0</v>
      </c>
      <c r="U681" s="152">
        <f t="shared" ref="U681" si="340">T684</f>
        <v>0</v>
      </c>
      <c r="V681" s="152">
        <f t="shared" ref="V681" si="341">U684</f>
        <v>0</v>
      </c>
      <c r="W681" s="152">
        <f t="shared" ref="W681" si="342">V684</f>
        <v>0</v>
      </c>
      <c r="X681" s="152">
        <f t="shared" ref="X681" si="343">W684</f>
        <v>0</v>
      </c>
      <c r="Y681" s="152">
        <f t="shared" ref="Y681" si="344">X684</f>
        <v>0</v>
      </c>
      <c r="Z681" s="152">
        <f t="shared" ref="Z681" si="345">Y684</f>
        <v>0</v>
      </c>
      <c r="AA681" s="152">
        <f t="shared" ref="AA681" si="346">Z684</f>
        <v>0</v>
      </c>
      <c r="AB681" s="152">
        <f t="shared" ref="AB681" si="347">AA684</f>
        <v>0</v>
      </c>
      <c r="AC681" s="152">
        <f t="shared" ref="AC681" si="348">AB684</f>
        <v>0</v>
      </c>
      <c r="AD681" s="152">
        <f t="shared" ref="AD681" si="349">AC684</f>
        <v>0</v>
      </c>
      <c r="AE681" s="152">
        <f t="shared" ref="AE681" si="350">AD684</f>
        <v>0</v>
      </c>
      <c r="AF681" s="152">
        <f t="shared" ref="AF681" si="351">AE684</f>
        <v>0</v>
      </c>
      <c r="AG681" s="152">
        <f t="shared" ref="AG681" si="352">AF684</f>
        <v>0</v>
      </c>
      <c r="AH681" s="152">
        <f t="shared" ref="AH681" si="353">AG684</f>
        <v>0</v>
      </c>
      <c r="AI681" s="152">
        <f t="shared" ref="AI681" si="354">AH684</f>
        <v>0</v>
      </c>
      <c r="AJ681" s="152">
        <f t="shared" ref="AJ681" si="355">AI684</f>
        <v>0</v>
      </c>
      <c r="AK681" s="152">
        <f t="shared" ref="AK681" si="356">AJ684</f>
        <v>0</v>
      </c>
      <c r="AL681" s="152">
        <f t="shared" ref="AL681" si="357">AK684</f>
        <v>0</v>
      </c>
      <c r="AM681" s="152">
        <f t="shared" ref="AM681" si="358">AL684</f>
        <v>0</v>
      </c>
      <c r="AN681" s="152">
        <f t="shared" ref="AN681" si="359">AM684</f>
        <v>0</v>
      </c>
      <c r="AO681" s="152">
        <f t="shared" ref="AO681" si="360">AN684</f>
        <v>0</v>
      </c>
      <c r="AP681" s="152">
        <f t="shared" ref="AP681" si="361">AO684</f>
        <v>0</v>
      </c>
    </row>
    <row r="682" spans="1:42" x14ac:dyDescent="0.2">
      <c r="A682" s="4" t="s">
        <v>25</v>
      </c>
      <c r="B682" s="152">
        <f t="shared" ref="B682:AP682" si="362">IF(B$2&lt;analysis_period,B684-B681,0)</f>
        <v>0</v>
      </c>
      <c r="C682" s="152">
        <f t="shared" si="362"/>
        <v>0</v>
      </c>
      <c r="D682" s="152">
        <f t="shared" si="362"/>
        <v>0</v>
      </c>
      <c r="E682" s="152">
        <f t="shared" si="362"/>
        <v>0</v>
      </c>
      <c r="F682" s="152">
        <f t="shared" si="362"/>
        <v>0</v>
      </c>
      <c r="G682" s="152">
        <f t="shared" si="362"/>
        <v>0</v>
      </c>
      <c r="H682" s="152">
        <f t="shared" si="362"/>
        <v>0</v>
      </c>
      <c r="I682" s="152">
        <f t="shared" si="362"/>
        <v>0</v>
      </c>
      <c r="J682" s="152">
        <f t="shared" si="362"/>
        <v>0</v>
      </c>
      <c r="K682" s="152">
        <f t="shared" si="362"/>
        <v>0</v>
      </c>
      <c r="L682" s="152">
        <f t="shared" si="362"/>
        <v>0</v>
      </c>
      <c r="M682" s="152">
        <f t="shared" si="362"/>
        <v>0</v>
      </c>
      <c r="N682" s="152">
        <f t="shared" si="362"/>
        <v>0</v>
      </c>
      <c r="O682" s="152">
        <f t="shared" si="362"/>
        <v>0</v>
      </c>
      <c r="P682" s="152">
        <f t="shared" si="362"/>
        <v>0</v>
      </c>
      <c r="Q682" s="152">
        <f t="shared" si="362"/>
        <v>0</v>
      </c>
      <c r="R682" s="152">
        <f t="shared" si="362"/>
        <v>0</v>
      </c>
      <c r="S682" s="152">
        <f t="shared" si="362"/>
        <v>0</v>
      </c>
      <c r="T682" s="152">
        <f t="shared" si="362"/>
        <v>0</v>
      </c>
      <c r="U682" s="152">
        <f t="shared" si="362"/>
        <v>0</v>
      </c>
      <c r="V682" s="152">
        <f t="shared" si="362"/>
        <v>0</v>
      </c>
      <c r="W682" s="152">
        <f t="shared" si="362"/>
        <v>0</v>
      </c>
      <c r="X682" s="152">
        <f t="shared" si="362"/>
        <v>0</v>
      </c>
      <c r="Y682" s="152">
        <f t="shared" si="362"/>
        <v>0</v>
      </c>
      <c r="Z682" s="152">
        <f t="shared" si="362"/>
        <v>0</v>
      </c>
      <c r="AA682" s="152">
        <f t="shared" si="362"/>
        <v>0</v>
      </c>
      <c r="AB682" s="152">
        <f t="shared" si="362"/>
        <v>0</v>
      </c>
      <c r="AC682" s="152">
        <f t="shared" si="362"/>
        <v>0</v>
      </c>
      <c r="AD682" s="152">
        <f t="shared" si="362"/>
        <v>0</v>
      </c>
      <c r="AE682" s="152">
        <f t="shared" si="362"/>
        <v>0</v>
      </c>
      <c r="AF682" s="152">
        <f t="shared" si="362"/>
        <v>0</v>
      </c>
      <c r="AG682" s="152">
        <f t="shared" si="362"/>
        <v>0</v>
      </c>
      <c r="AH682" s="152">
        <f t="shared" si="362"/>
        <v>0</v>
      </c>
      <c r="AI682" s="152">
        <f t="shared" si="362"/>
        <v>0</v>
      </c>
      <c r="AJ682" s="152">
        <f t="shared" si="362"/>
        <v>0</v>
      </c>
      <c r="AK682" s="152">
        <f t="shared" si="362"/>
        <v>0</v>
      </c>
      <c r="AL682" s="152">
        <f t="shared" si="362"/>
        <v>0</v>
      </c>
      <c r="AM682" s="152">
        <f t="shared" si="362"/>
        <v>0</v>
      </c>
      <c r="AN682" s="152">
        <f t="shared" si="362"/>
        <v>0</v>
      </c>
      <c r="AO682" s="152">
        <f t="shared" si="362"/>
        <v>0</v>
      </c>
      <c r="AP682" s="152">
        <f t="shared" si="362"/>
        <v>0</v>
      </c>
    </row>
    <row r="683" spans="1:42" x14ac:dyDescent="0.2">
      <c r="A683" s="4" t="s">
        <v>277</v>
      </c>
      <c r="B683" s="153">
        <v>0</v>
      </c>
      <c r="C683" s="153">
        <f t="shared" ref="C683:AP683" si="363">IF(C$2=analysis_period,-C681,0)</f>
        <v>0</v>
      </c>
      <c r="D683" s="153">
        <f t="shared" si="363"/>
        <v>0</v>
      </c>
      <c r="E683" s="153">
        <f t="shared" si="363"/>
        <v>0</v>
      </c>
      <c r="F683" s="153">
        <f t="shared" si="363"/>
        <v>0</v>
      </c>
      <c r="G683" s="153">
        <f t="shared" si="363"/>
        <v>0</v>
      </c>
      <c r="H683" s="153">
        <f t="shared" si="363"/>
        <v>0</v>
      </c>
      <c r="I683" s="153">
        <f t="shared" si="363"/>
        <v>0</v>
      </c>
      <c r="J683" s="153">
        <f t="shared" si="363"/>
        <v>0</v>
      </c>
      <c r="K683" s="153">
        <f t="shared" si="363"/>
        <v>0</v>
      </c>
      <c r="L683" s="153">
        <f t="shared" si="363"/>
        <v>0</v>
      </c>
      <c r="M683" s="153">
        <f t="shared" si="363"/>
        <v>0</v>
      </c>
      <c r="N683" s="153">
        <f t="shared" si="363"/>
        <v>0</v>
      </c>
      <c r="O683" s="153">
        <f t="shared" si="363"/>
        <v>0</v>
      </c>
      <c r="P683" s="153">
        <f t="shared" si="363"/>
        <v>0</v>
      </c>
      <c r="Q683" s="153">
        <f t="shared" si="363"/>
        <v>0</v>
      </c>
      <c r="R683" s="153">
        <f t="shared" si="363"/>
        <v>0</v>
      </c>
      <c r="S683" s="153">
        <f t="shared" si="363"/>
        <v>0</v>
      </c>
      <c r="T683" s="153">
        <f t="shared" si="363"/>
        <v>0</v>
      </c>
      <c r="U683" s="153">
        <f t="shared" si="363"/>
        <v>0</v>
      </c>
      <c r="V683" s="153">
        <f t="shared" si="363"/>
        <v>0</v>
      </c>
      <c r="W683" s="153">
        <f t="shared" si="363"/>
        <v>0</v>
      </c>
      <c r="X683" s="153">
        <f t="shared" si="363"/>
        <v>0</v>
      </c>
      <c r="Y683" s="153">
        <f t="shared" si="363"/>
        <v>0</v>
      </c>
      <c r="Z683" s="153">
        <f t="shared" si="363"/>
        <v>0</v>
      </c>
      <c r="AA683" s="153">
        <f t="shared" si="363"/>
        <v>0</v>
      </c>
      <c r="AB683" s="153">
        <f t="shared" si="363"/>
        <v>0</v>
      </c>
      <c r="AC683" s="153">
        <f t="shared" si="363"/>
        <v>0</v>
      </c>
      <c r="AD683" s="153">
        <f t="shared" si="363"/>
        <v>0</v>
      </c>
      <c r="AE683" s="153">
        <f t="shared" si="363"/>
        <v>0</v>
      </c>
      <c r="AF683" s="153">
        <f t="shared" si="363"/>
        <v>0</v>
      </c>
      <c r="AG683" s="153">
        <f t="shared" si="363"/>
        <v>0</v>
      </c>
      <c r="AH683" s="153">
        <f t="shared" si="363"/>
        <v>0</v>
      </c>
      <c r="AI683" s="153">
        <f t="shared" si="363"/>
        <v>0</v>
      </c>
      <c r="AJ683" s="153">
        <f t="shared" si="363"/>
        <v>0</v>
      </c>
      <c r="AK683" s="153">
        <f t="shared" si="363"/>
        <v>0</v>
      </c>
      <c r="AL683" s="153">
        <f t="shared" si="363"/>
        <v>0</v>
      </c>
      <c r="AM683" s="153">
        <f t="shared" si="363"/>
        <v>0</v>
      </c>
      <c r="AN683" s="153">
        <f t="shared" si="363"/>
        <v>0</v>
      </c>
      <c r="AO683" s="153">
        <f t="shared" si="363"/>
        <v>0</v>
      </c>
      <c r="AP683" s="153">
        <f t="shared" si="363"/>
        <v>0</v>
      </c>
    </row>
    <row r="684" spans="1:42" x14ac:dyDescent="0.2">
      <c r="A684" s="4" t="s">
        <v>236</v>
      </c>
      <c r="B684" s="152">
        <f t="shared" ref="B684:AP684" si="364">(months_receivables_reserve/12)*SUM(C17,C19:C21)</f>
        <v>0</v>
      </c>
      <c r="C684" s="152">
        <f t="shared" si="364"/>
        <v>0</v>
      </c>
      <c r="D684" s="152">
        <f t="shared" si="364"/>
        <v>0</v>
      </c>
      <c r="E684" s="152">
        <f t="shared" si="364"/>
        <v>0</v>
      </c>
      <c r="F684" s="152">
        <f t="shared" si="364"/>
        <v>0</v>
      </c>
      <c r="G684" s="152">
        <f t="shared" si="364"/>
        <v>0</v>
      </c>
      <c r="H684" s="152">
        <f t="shared" si="364"/>
        <v>0</v>
      </c>
      <c r="I684" s="152">
        <f t="shared" si="364"/>
        <v>0</v>
      </c>
      <c r="J684" s="152">
        <f t="shared" si="364"/>
        <v>0</v>
      </c>
      <c r="K684" s="152">
        <f t="shared" si="364"/>
        <v>0</v>
      </c>
      <c r="L684" s="152">
        <f t="shared" si="364"/>
        <v>0</v>
      </c>
      <c r="M684" s="152">
        <f t="shared" si="364"/>
        <v>0</v>
      </c>
      <c r="N684" s="152">
        <f t="shared" si="364"/>
        <v>0</v>
      </c>
      <c r="O684" s="152">
        <f t="shared" si="364"/>
        <v>0</v>
      </c>
      <c r="P684" s="152">
        <f t="shared" si="364"/>
        <v>0</v>
      </c>
      <c r="Q684" s="152">
        <f t="shared" si="364"/>
        <v>0</v>
      </c>
      <c r="R684" s="152">
        <f t="shared" si="364"/>
        <v>0</v>
      </c>
      <c r="S684" s="152">
        <f t="shared" si="364"/>
        <v>0</v>
      </c>
      <c r="T684" s="152">
        <f t="shared" si="364"/>
        <v>0</v>
      </c>
      <c r="U684" s="152">
        <f t="shared" si="364"/>
        <v>0</v>
      </c>
      <c r="V684" s="152">
        <f t="shared" si="364"/>
        <v>0</v>
      </c>
      <c r="W684" s="152">
        <f t="shared" si="364"/>
        <v>0</v>
      </c>
      <c r="X684" s="152">
        <f t="shared" si="364"/>
        <v>0</v>
      </c>
      <c r="Y684" s="152">
        <f t="shared" si="364"/>
        <v>0</v>
      </c>
      <c r="Z684" s="152">
        <f t="shared" si="364"/>
        <v>0</v>
      </c>
      <c r="AA684" s="152">
        <f t="shared" si="364"/>
        <v>0</v>
      </c>
      <c r="AB684" s="152">
        <f t="shared" si="364"/>
        <v>0</v>
      </c>
      <c r="AC684" s="152">
        <f t="shared" si="364"/>
        <v>0</v>
      </c>
      <c r="AD684" s="152">
        <f t="shared" si="364"/>
        <v>0</v>
      </c>
      <c r="AE684" s="152">
        <f t="shared" si="364"/>
        <v>0</v>
      </c>
      <c r="AF684" s="152">
        <f t="shared" si="364"/>
        <v>0</v>
      </c>
      <c r="AG684" s="152">
        <f t="shared" si="364"/>
        <v>0</v>
      </c>
      <c r="AH684" s="152">
        <f t="shared" si="364"/>
        <v>0</v>
      </c>
      <c r="AI684" s="152">
        <f t="shared" si="364"/>
        <v>0</v>
      </c>
      <c r="AJ684" s="152">
        <f t="shared" si="364"/>
        <v>0</v>
      </c>
      <c r="AK684" s="152">
        <f t="shared" si="364"/>
        <v>0</v>
      </c>
      <c r="AL684" s="152">
        <f t="shared" si="364"/>
        <v>0</v>
      </c>
      <c r="AM684" s="152">
        <f t="shared" si="364"/>
        <v>0</v>
      </c>
      <c r="AN684" s="152">
        <f t="shared" si="364"/>
        <v>0</v>
      </c>
      <c r="AO684" s="152">
        <f t="shared" si="364"/>
        <v>0</v>
      </c>
      <c r="AP684" s="152">
        <f t="shared" si="364"/>
        <v>0</v>
      </c>
    </row>
    <row r="685" spans="1:42" x14ac:dyDescent="0.2">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row>
    <row r="686" spans="1:42" x14ac:dyDescent="0.2">
      <c r="A686" s="19" t="s">
        <v>278</v>
      </c>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row>
    <row r="687" spans="1:42" x14ac:dyDescent="0.2">
      <c r="A687" s="4" t="s">
        <v>276</v>
      </c>
      <c r="B687" s="152">
        <v>0</v>
      </c>
      <c r="C687" s="152">
        <f>B690</f>
        <v>0</v>
      </c>
      <c r="D687" s="152">
        <f t="shared" ref="D687:AP687" si="365">C690</f>
        <v>0</v>
      </c>
      <c r="E687" s="152">
        <f t="shared" si="365"/>
        <v>0</v>
      </c>
      <c r="F687" s="152">
        <f t="shared" si="365"/>
        <v>0</v>
      </c>
      <c r="G687" s="152">
        <f t="shared" si="365"/>
        <v>0</v>
      </c>
      <c r="H687" s="152">
        <f t="shared" si="365"/>
        <v>0</v>
      </c>
      <c r="I687" s="152">
        <f t="shared" si="365"/>
        <v>0</v>
      </c>
      <c r="J687" s="152">
        <f t="shared" si="365"/>
        <v>0</v>
      </c>
      <c r="K687" s="152">
        <f t="shared" si="365"/>
        <v>0</v>
      </c>
      <c r="L687" s="152">
        <f t="shared" si="365"/>
        <v>0</v>
      </c>
      <c r="M687" s="152">
        <f t="shared" si="365"/>
        <v>0</v>
      </c>
      <c r="N687" s="152">
        <f t="shared" si="365"/>
        <v>0</v>
      </c>
      <c r="O687" s="152">
        <f t="shared" si="365"/>
        <v>0</v>
      </c>
      <c r="P687" s="152">
        <f t="shared" si="365"/>
        <v>0</v>
      </c>
      <c r="Q687" s="152">
        <f t="shared" si="365"/>
        <v>0</v>
      </c>
      <c r="R687" s="152">
        <f t="shared" si="365"/>
        <v>0</v>
      </c>
      <c r="S687" s="152">
        <f t="shared" si="365"/>
        <v>0</v>
      </c>
      <c r="T687" s="152">
        <f t="shared" si="365"/>
        <v>0</v>
      </c>
      <c r="U687" s="152">
        <f t="shared" si="365"/>
        <v>0</v>
      </c>
      <c r="V687" s="152">
        <f t="shared" si="365"/>
        <v>0</v>
      </c>
      <c r="W687" s="152">
        <f t="shared" si="365"/>
        <v>0</v>
      </c>
      <c r="X687" s="152">
        <f t="shared" si="365"/>
        <v>0</v>
      </c>
      <c r="Y687" s="152">
        <f t="shared" si="365"/>
        <v>0</v>
      </c>
      <c r="Z687" s="152">
        <f t="shared" si="365"/>
        <v>0</v>
      </c>
      <c r="AA687" s="152">
        <f t="shared" si="365"/>
        <v>0</v>
      </c>
      <c r="AB687" s="152">
        <f t="shared" si="365"/>
        <v>0</v>
      </c>
      <c r="AC687" s="152">
        <f t="shared" si="365"/>
        <v>0</v>
      </c>
      <c r="AD687" s="152">
        <f t="shared" si="365"/>
        <v>0</v>
      </c>
      <c r="AE687" s="152">
        <f t="shared" si="365"/>
        <v>0</v>
      </c>
      <c r="AF687" s="152">
        <f t="shared" si="365"/>
        <v>0</v>
      </c>
      <c r="AG687" s="152">
        <f t="shared" si="365"/>
        <v>0</v>
      </c>
      <c r="AH687" s="152">
        <f t="shared" si="365"/>
        <v>0</v>
      </c>
      <c r="AI687" s="152">
        <f t="shared" si="365"/>
        <v>0</v>
      </c>
      <c r="AJ687" s="152">
        <f t="shared" si="365"/>
        <v>0</v>
      </c>
      <c r="AK687" s="152">
        <f t="shared" si="365"/>
        <v>0</v>
      </c>
      <c r="AL687" s="152">
        <f t="shared" si="365"/>
        <v>0</v>
      </c>
      <c r="AM687" s="152">
        <f t="shared" si="365"/>
        <v>0</v>
      </c>
      <c r="AN687" s="152">
        <f t="shared" si="365"/>
        <v>0</v>
      </c>
      <c r="AO687" s="152">
        <f t="shared" si="365"/>
        <v>0</v>
      </c>
      <c r="AP687" s="152">
        <f t="shared" si="365"/>
        <v>0</v>
      </c>
    </row>
    <row r="688" spans="1:42" x14ac:dyDescent="0.2">
      <c r="A688" s="4" t="s">
        <v>61</v>
      </c>
      <c r="B688" s="152">
        <v>0</v>
      </c>
      <c r="C688" s="152">
        <f>C716</f>
        <v>0</v>
      </c>
      <c r="D688" s="152">
        <f t="shared" ref="D688:AP688" si="366">D716</f>
        <v>0</v>
      </c>
      <c r="E688" s="152">
        <f t="shared" si="366"/>
        <v>0</v>
      </c>
      <c r="F688" s="152">
        <f t="shared" si="366"/>
        <v>0</v>
      </c>
      <c r="G688" s="152">
        <f t="shared" si="366"/>
        <v>0</v>
      </c>
      <c r="H688" s="152">
        <f t="shared" si="366"/>
        <v>0</v>
      </c>
      <c r="I688" s="152">
        <f t="shared" si="366"/>
        <v>0</v>
      </c>
      <c r="J688" s="152">
        <f t="shared" si="366"/>
        <v>0</v>
      </c>
      <c r="K688" s="152">
        <f t="shared" si="366"/>
        <v>0</v>
      </c>
      <c r="L688" s="152">
        <f t="shared" si="366"/>
        <v>0</v>
      </c>
      <c r="M688" s="152">
        <f t="shared" si="366"/>
        <v>0</v>
      </c>
      <c r="N688" s="152">
        <f t="shared" si="366"/>
        <v>0</v>
      </c>
      <c r="O688" s="152">
        <f t="shared" si="366"/>
        <v>0</v>
      </c>
      <c r="P688" s="152">
        <f t="shared" si="366"/>
        <v>0</v>
      </c>
      <c r="Q688" s="152">
        <f t="shared" si="366"/>
        <v>0</v>
      </c>
      <c r="R688" s="152">
        <f t="shared" si="366"/>
        <v>0</v>
      </c>
      <c r="S688" s="152">
        <f t="shared" si="366"/>
        <v>0</v>
      </c>
      <c r="T688" s="152">
        <f t="shared" si="366"/>
        <v>0</v>
      </c>
      <c r="U688" s="152">
        <f t="shared" si="366"/>
        <v>0</v>
      </c>
      <c r="V688" s="152">
        <f t="shared" si="366"/>
        <v>0</v>
      </c>
      <c r="W688" s="152">
        <f t="shared" si="366"/>
        <v>0</v>
      </c>
      <c r="X688" s="152">
        <f t="shared" si="366"/>
        <v>0</v>
      </c>
      <c r="Y688" s="152">
        <f t="shared" si="366"/>
        <v>0</v>
      </c>
      <c r="Z688" s="152">
        <f t="shared" si="366"/>
        <v>0</v>
      </c>
      <c r="AA688" s="152">
        <f t="shared" si="366"/>
        <v>0</v>
      </c>
      <c r="AB688" s="152">
        <f t="shared" si="366"/>
        <v>0</v>
      </c>
      <c r="AC688" s="152">
        <f t="shared" si="366"/>
        <v>0</v>
      </c>
      <c r="AD688" s="152">
        <f t="shared" si="366"/>
        <v>0</v>
      </c>
      <c r="AE688" s="152">
        <f t="shared" si="366"/>
        <v>0</v>
      </c>
      <c r="AF688" s="152">
        <f t="shared" si="366"/>
        <v>0</v>
      </c>
      <c r="AG688" s="152">
        <f t="shared" si="366"/>
        <v>0</v>
      </c>
      <c r="AH688" s="152">
        <f t="shared" si="366"/>
        <v>0</v>
      </c>
      <c r="AI688" s="152">
        <f t="shared" si="366"/>
        <v>0</v>
      </c>
      <c r="AJ688" s="152">
        <f t="shared" si="366"/>
        <v>0</v>
      </c>
      <c r="AK688" s="152">
        <f t="shared" si="366"/>
        <v>0</v>
      </c>
      <c r="AL688" s="152">
        <f t="shared" si="366"/>
        <v>0</v>
      </c>
      <c r="AM688" s="152">
        <f t="shared" si="366"/>
        <v>0</v>
      </c>
      <c r="AN688" s="152">
        <f t="shared" si="366"/>
        <v>0</v>
      </c>
      <c r="AO688" s="152">
        <f t="shared" si="366"/>
        <v>0</v>
      </c>
      <c r="AP688" s="152">
        <f t="shared" si="366"/>
        <v>0</v>
      </c>
    </row>
    <row r="689" spans="1:42" x14ac:dyDescent="0.2">
      <c r="A689" s="4" t="s">
        <v>277</v>
      </c>
      <c r="B689" s="153">
        <v>0</v>
      </c>
      <c r="C689" s="153">
        <f>-C704</f>
        <v>0</v>
      </c>
      <c r="D689" s="153">
        <f t="shared" ref="D689:AP689" si="367">-D704</f>
        <v>0</v>
      </c>
      <c r="E689" s="153">
        <f t="shared" si="367"/>
        <v>0</v>
      </c>
      <c r="F689" s="153">
        <f t="shared" si="367"/>
        <v>0</v>
      </c>
      <c r="G689" s="153">
        <f t="shared" si="367"/>
        <v>0</v>
      </c>
      <c r="H689" s="153">
        <f t="shared" si="367"/>
        <v>0</v>
      </c>
      <c r="I689" s="153">
        <f t="shared" si="367"/>
        <v>0</v>
      </c>
      <c r="J689" s="153">
        <f t="shared" si="367"/>
        <v>0</v>
      </c>
      <c r="K689" s="153">
        <f t="shared" si="367"/>
        <v>0</v>
      </c>
      <c r="L689" s="153">
        <f t="shared" si="367"/>
        <v>0</v>
      </c>
      <c r="M689" s="153">
        <f t="shared" si="367"/>
        <v>0</v>
      </c>
      <c r="N689" s="153">
        <f t="shared" si="367"/>
        <v>0</v>
      </c>
      <c r="O689" s="153">
        <f t="shared" si="367"/>
        <v>0</v>
      </c>
      <c r="P689" s="153">
        <f t="shared" si="367"/>
        <v>0</v>
      </c>
      <c r="Q689" s="153">
        <f t="shared" si="367"/>
        <v>0</v>
      </c>
      <c r="R689" s="153">
        <f t="shared" si="367"/>
        <v>0</v>
      </c>
      <c r="S689" s="153">
        <f t="shared" si="367"/>
        <v>0</v>
      </c>
      <c r="T689" s="153">
        <f t="shared" si="367"/>
        <v>0</v>
      </c>
      <c r="U689" s="153">
        <f t="shared" si="367"/>
        <v>0</v>
      </c>
      <c r="V689" s="153">
        <f t="shared" si="367"/>
        <v>0</v>
      </c>
      <c r="W689" s="153">
        <f t="shared" si="367"/>
        <v>0</v>
      </c>
      <c r="X689" s="153">
        <f t="shared" si="367"/>
        <v>0</v>
      </c>
      <c r="Y689" s="153">
        <f t="shared" si="367"/>
        <v>0</v>
      </c>
      <c r="Z689" s="153">
        <f t="shared" si="367"/>
        <v>0</v>
      </c>
      <c r="AA689" s="153">
        <f t="shared" si="367"/>
        <v>0</v>
      </c>
      <c r="AB689" s="153">
        <f t="shared" si="367"/>
        <v>0</v>
      </c>
      <c r="AC689" s="153">
        <f t="shared" si="367"/>
        <v>0</v>
      </c>
      <c r="AD689" s="153">
        <f t="shared" si="367"/>
        <v>0</v>
      </c>
      <c r="AE689" s="153">
        <f t="shared" si="367"/>
        <v>0</v>
      </c>
      <c r="AF689" s="153">
        <f t="shared" si="367"/>
        <v>0</v>
      </c>
      <c r="AG689" s="153">
        <f t="shared" si="367"/>
        <v>0</v>
      </c>
      <c r="AH689" s="153">
        <f t="shared" si="367"/>
        <v>0</v>
      </c>
      <c r="AI689" s="153">
        <f t="shared" si="367"/>
        <v>0</v>
      </c>
      <c r="AJ689" s="153">
        <f t="shared" si="367"/>
        <v>0</v>
      </c>
      <c r="AK689" s="153">
        <f t="shared" si="367"/>
        <v>0</v>
      </c>
      <c r="AL689" s="153">
        <f t="shared" si="367"/>
        <v>0</v>
      </c>
      <c r="AM689" s="153">
        <f t="shared" si="367"/>
        <v>0</v>
      </c>
      <c r="AN689" s="153">
        <f t="shared" si="367"/>
        <v>0</v>
      </c>
      <c r="AO689" s="153">
        <f t="shared" si="367"/>
        <v>0</v>
      </c>
      <c r="AP689" s="153">
        <f t="shared" si="367"/>
        <v>0</v>
      </c>
    </row>
    <row r="690" spans="1:42" x14ac:dyDescent="0.2">
      <c r="A690" s="4" t="s">
        <v>236</v>
      </c>
      <c r="B690" s="152">
        <f>SUM(B687:B689)</f>
        <v>0</v>
      </c>
      <c r="C690" s="152">
        <f>SUM(C687:C689)</f>
        <v>0</v>
      </c>
      <c r="D690" s="152">
        <f t="shared" ref="D690:AP690" si="368">SUM(D687:D689)</f>
        <v>0</v>
      </c>
      <c r="E690" s="152">
        <f t="shared" si="368"/>
        <v>0</v>
      </c>
      <c r="F690" s="152">
        <f t="shared" si="368"/>
        <v>0</v>
      </c>
      <c r="G690" s="152">
        <f t="shared" si="368"/>
        <v>0</v>
      </c>
      <c r="H690" s="152">
        <f t="shared" si="368"/>
        <v>0</v>
      </c>
      <c r="I690" s="152">
        <f t="shared" si="368"/>
        <v>0</v>
      </c>
      <c r="J690" s="152">
        <f t="shared" si="368"/>
        <v>0</v>
      </c>
      <c r="K690" s="152">
        <f t="shared" si="368"/>
        <v>0</v>
      </c>
      <c r="L690" s="152">
        <f t="shared" si="368"/>
        <v>0</v>
      </c>
      <c r="M690" s="152">
        <f t="shared" si="368"/>
        <v>0</v>
      </c>
      <c r="N690" s="152">
        <f t="shared" si="368"/>
        <v>0</v>
      </c>
      <c r="O690" s="152">
        <f t="shared" si="368"/>
        <v>0</v>
      </c>
      <c r="P690" s="152">
        <f t="shared" si="368"/>
        <v>0</v>
      </c>
      <c r="Q690" s="152">
        <f t="shared" si="368"/>
        <v>0</v>
      </c>
      <c r="R690" s="152">
        <f t="shared" si="368"/>
        <v>0</v>
      </c>
      <c r="S690" s="152">
        <f t="shared" si="368"/>
        <v>0</v>
      </c>
      <c r="T690" s="152">
        <f t="shared" si="368"/>
        <v>0</v>
      </c>
      <c r="U690" s="152">
        <f t="shared" si="368"/>
        <v>0</v>
      </c>
      <c r="V690" s="152">
        <f t="shared" si="368"/>
        <v>0</v>
      </c>
      <c r="W690" s="152">
        <f t="shared" si="368"/>
        <v>0</v>
      </c>
      <c r="X690" s="152">
        <f t="shared" si="368"/>
        <v>0</v>
      </c>
      <c r="Y690" s="152">
        <f t="shared" si="368"/>
        <v>0</v>
      </c>
      <c r="Z690" s="152">
        <f t="shared" si="368"/>
        <v>0</v>
      </c>
      <c r="AA690" s="152">
        <f t="shared" si="368"/>
        <v>0</v>
      </c>
      <c r="AB690" s="152">
        <f t="shared" si="368"/>
        <v>0</v>
      </c>
      <c r="AC690" s="152">
        <f t="shared" si="368"/>
        <v>0</v>
      </c>
      <c r="AD690" s="152">
        <f t="shared" si="368"/>
        <v>0</v>
      </c>
      <c r="AE690" s="152">
        <f t="shared" si="368"/>
        <v>0</v>
      </c>
      <c r="AF690" s="152">
        <f t="shared" si="368"/>
        <v>0</v>
      </c>
      <c r="AG690" s="152">
        <f t="shared" si="368"/>
        <v>0</v>
      </c>
      <c r="AH690" s="152">
        <f t="shared" si="368"/>
        <v>0</v>
      </c>
      <c r="AI690" s="152">
        <f t="shared" si="368"/>
        <v>0</v>
      </c>
      <c r="AJ690" s="152">
        <f t="shared" si="368"/>
        <v>0</v>
      </c>
      <c r="AK690" s="152">
        <f t="shared" si="368"/>
        <v>0</v>
      </c>
      <c r="AL690" s="152">
        <f t="shared" si="368"/>
        <v>0</v>
      </c>
      <c r="AM690" s="152">
        <f t="shared" si="368"/>
        <v>0</v>
      </c>
      <c r="AN690" s="152">
        <f t="shared" si="368"/>
        <v>0</v>
      </c>
      <c r="AO690" s="152">
        <f t="shared" si="368"/>
        <v>0</v>
      </c>
      <c r="AP690" s="152">
        <f t="shared" si="368"/>
        <v>0</v>
      </c>
    </row>
    <row r="691" spans="1:42" x14ac:dyDescent="0.2">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row>
    <row r="692" spans="1:42" x14ac:dyDescent="0.2">
      <c r="A692" s="4" t="s">
        <v>279</v>
      </c>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row>
    <row r="693" spans="1:42" x14ac:dyDescent="0.2">
      <c r="A693" s="4" t="s">
        <v>280</v>
      </c>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row>
    <row r="694" spans="1:42" x14ac:dyDescent="0.2">
      <c r="A694" s="4">
        <v>1</v>
      </c>
      <c r="B694" s="170">
        <f t="shared" ref="B694:B703" si="369">SUM(C694:AP694)</f>
        <v>0</v>
      </c>
      <c r="C694" s="152">
        <f t="shared" ref="C694:AP694" si="370">IF(C$2&gt;analysis_period,0,IF(C$2=equip1_reserve_freq*$A694,equip1_reserve_cost*system_capacity*1000*(1+inflation_rate/100)^B$2,0))</f>
        <v>0</v>
      </c>
      <c r="D694" s="152">
        <f t="shared" si="370"/>
        <v>0</v>
      </c>
      <c r="E694" s="152">
        <f t="shared" si="370"/>
        <v>0</v>
      </c>
      <c r="F694" s="152">
        <f t="shared" si="370"/>
        <v>0</v>
      </c>
      <c r="G694" s="152">
        <f t="shared" si="370"/>
        <v>0</v>
      </c>
      <c r="H694" s="152">
        <f t="shared" si="370"/>
        <v>0</v>
      </c>
      <c r="I694" s="152">
        <f t="shared" si="370"/>
        <v>0</v>
      </c>
      <c r="J694" s="152">
        <f t="shared" si="370"/>
        <v>0</v>
      </c>
      <c r="K694" s="152">
        <f t="shared" si="370"/>
        <v>0</v>
      </c>
      <c r="L694" s="152">
        <f t="shared" si="370"/>
        <v>0</v>
      </c>
      <c r="M694" s="152">
        <f t="shared" si="370"/>
        <v>0</v>
      </c>
      <c r="N694" s="152">
        <f t="shared" si="370"/>
        <v>0</v>
      </c>
      <c r="O694" s="152">
        <f t="shared" si="370"/>
        <v>0</v>
      </c>
      <c r="P694" s="152">
        <f t="shared" si="370"/>
        <v>0</v>
      </c>
      <c r="Q694" s="152">
        <f t="shared" si="370"/>
        <v>0</v>
      </c>
      <c r="R694" s="152">
        <f t="shared" si="370"/>
        <v>0</v>
      </c>
      <c r="S694" s="152">
        <f t="shared" si="370"/>
        <v>0</v>
      </c>
      <c r="T694" s="152">
        <f t="shared" si="370"/>
        <v>0</v>
      </c>
      <c r="U694" s="152">
        <f t="shared" si="370"/>
        <v>0</v>
      </c>
      <c r="V694" s="152">
        <f t="shared" si="370"/>
        <v>0</v>
      </c>
      <c r="W694" s="152">
        <f t="shared" si="370"/>
        <v>0</v>
      </c>
      <c r="X694" s="152">
        <f t="shared" si="370"/>
        <v>0</v>
      </c>
      <c r="Y694" s="152">
        <f t="shared" si="370"/>
        <v>0</v>
      </c>
      <c r="Z694" s="152">
        <f t="shared" si="370"/>
        <v>0</v>
      </c>
      <c r="AA694" s="152">
        <f t="shared" si="370"/>
        <v>0</v>
      </c>
      <c r="AB694" s="152">
        <f t="shared" si="370"/>
        <v>0</v>
      </c>
      <c r="AC694" s="152">
        <f t="shared" si="370"/>
        <v>0</v>
      </c>
      <c r="AD694" s="152">
        <f t="shared" si="370"/>
        <v>0</v>
      </c>
      <c r="AE694" s="152">
        <f t="shared" si="370"/>
        <v>0</v>
      </c>
      <c r="AF694" s="152">
        <f t="shared" si="370"/>
        <v>0</v>
      </c>
      <c r="AG694" s="152">
        <f t="shared" si="370"/>
        <v>0</v>
      </c>
      <c r="AH694" s="152">
        <f t="shared" si="370"/>
        <v>0</v>
      </c>
      <c r="AI694" s="152">
        <f t="shared" si="370"/>
        <v>0</v>
      </c>
      <c r="AJ694" s="152">
        <f t="shared" si="370"/>
        <v>0</v>
      </c>
      <c r="AK694" s="152">
        <f t="shared" si="370"/>
        <v>0</v>
      </c>
      <c r="AL694" s="152">
        <f t="shared" si="370"/>
        <v>0</v>
      </c>
      <c r="AM694" s="152">
        <f t="shared" si="370"/>
        <v>0</v>
      </c>
      <c r="AN694" s="152">
        <f t="shared" si="370"/>
        <v>0</v>
      </c>
      <c r="AO694" s="152">
        <f t="shared" si="370"/>
        <v>0</v>
      </c>
      <c r="AP694" s="152">
        <f t="shared" si="370"/>
        <v>0</v>
      </c>
    </row>
    <row r="695" spans="1:42" x14ac:dyDescent="0.2">
      <c r="A695" s="4">
        <f>A694+1</f>
        <v>2</v>
      </c>
      <c r="B695" s="170">
        <f t="shared" si="369"/>
        <v>0</v>
      </c>
      <c r="C695" s="152">
        <f t="shared" ref="C695:AP695" si="371">IF(C$2&gt;analysis_period,0,IF(C$2=equip1_reserve_freq*$A695,equip1_reserve_cost*system_capacity*1000*(1+inflation_rate/100)^B$2,0))</f>
        <v>0</v>
      </c>
      <c r="D695" s="152">
        <f t="shared" si="371"/>
        <v>0</v>
      </c>
      <c r="E695" s="152">
        <f t="shared" si="371"/>
        <v>0</v>
      </c>
      <c r="F695" s="152">
        <f t="shared" si="371"/>
        <v>0</v>
      </c>
      <c r="G695" s="152">
        <f t="shared" si="371"/>
        <v>0</v>
      </c>
      <c r="H695" s="152">
        <f t="shared" si="371"/>
        <v>0</v>
      </c>
      <c r="I695" s="152">
        <f t="shared" si="371"/>
        <v>0</v>
      </c>
      <c r="J695" s="152">
        <f t="shared" si="371"/>
        <v>0</v>
      </c>
      <c r="K695" s="152">
        <f t="shared" si="371"/>
        <v>0</v>
      </c>
      <c r="L695" s="152">
        <f t="shared" si="371"/>
        <v>0</v>
      </c>
      <c r="M695" s="152">
        <f t="shared" si="371"/>
        <v>0</v>
      </c>
      <c r="N695" s="152">
        <f t="shared" si="371"/>
        <v>0</v>
      </c>
      <c r="O695" s="152">
        <f t="shared" si="371"/>
        <v>0</v>
      </c>
      <c r="P695" s="152">
        <f t="shared" si="371"/>
        <v>0</v>
      </c>
      <c r="Q695" s="152">
        <f t="shared" si="371"/>
        <v>0</v>
      </c>
      <c r="R695" s="152">
        <f t="shared" si="371"/>
        <v>0</v>
      </c>
      <c r="S695" s="152">
        <f t="shared" si="371"/>
        <v>0</v>
      </c>
      <c r="T695" s="152">
        <f t="shared" si="371"/>
        <v>0</v>
      </c>
      <c r="U695" s="152">
        <f t="shared" si="371"/>
        <v>0</v>
      </c>
      <c r="V695" s="152">
        <f t="shared" si="371"/>
        <v>0</v>
      </c>
      <c r="W695" s="152">
        <f t="shared" si="371"/>
        <v>0</v>
      </c>
      <c r="X695" s="152">
        <f t="shared" si="371"/>
        <v>0</v>
      </c>
      <c r="Y695" s="152">
        <f t="shared" si="371"/>
        <v>0</v>
      </c>
      <c r="Z695" s="152">
        <f t="shared" si="371"/>
        <v>0</v>
      </c>
      <c r="AA695" s="152">
        <f t="shared" si="371"/>
        <v>0</v>
      </c>
      <c r="AB695" s="152">
        <f t="shared" si="371"/>
        <v>0</v>
      </c>
      <c r="AC695" s="152">
        <f t="shared" si="371"/>
        <v>0</v>
      </c>
      <c r="AD695" s="152">
        <f t="shared" si="371"/>
        <v>0</v>
      </c>
      <c r="AE695" s="152">
        <f t="shared" si="371"/>
        <v>0</v>
      </c>
      <c r="AF695" s="152">
        <f t="shared" si="371"/>
        <v>0</v>
      </c>
      <c r="AG695" s="152">
        <f t="shared" si="371"/>
        <v>0</v>
      </c>
      <c r="AH695" s="152">
        <f t="shared" si="371"/>
        <v>0</v>
      </c>
      <c r="AI695" s="152">
        <f t="shared" si="371"/>
        <v>0</v>
      </c>
      <c r="AJ695" s="152">
        <f t="shared" si="371"/>
        <v>0</v>
      </c>
      <c r="AK695" s="152">
        <f t="shared" si="371"/>
        <v>0</v>
      </c>
      <c r="AL695" s="152">
        <f t="shared" si="371"/>
        <v>0</v>
      </c>
      <c r="AM695" s="152">
        <f t="shared" si="371"/>
        <v>0</v>
      </c>
      <c r="AN695" s="152">
        <f t="shared" si="371"/>
        <v>0</v>
      </c>
      <c r="AO695" s="152">
        <f t="shared" si="371"/>
        <v>0</v>
      </c>
      <c r="AP695" s="152">
        <f t="shared" si="371"/>
        <v>0</v>
      </c>
    </row>
    <row r="696" spans="1:42" x14ac:dyDescent="0.2">
      <c r="A696" s="4">
        <f t="shared" ref="A696:A703" si="372">A695+1</f>
        <v>3</v>
      </c>
      <c r="B696" s="170">
        <f t="shared" si="369"/>
        <v>0</v>
      </c>
      <c r="C696" s="152">
        <f t="shared" ref="C696:AP696" si="373">IF(C$2&gt;analysis_period,0,IF(C$2=equip1_reserve_freq*$A696,equip1_reserve_cost*system_capacity*1000*(1+inflation_rate/100)^B$2,0))</f>
        <v>0</v>
      </c>
      <c r="D696" s="152">
        <f t="shared" si="373"/>
        <v>0</v>
      </c>
      <c r="E696" s="152">
        <f t="shared" si="373"/>
        <v>0</v>
      </c>
      <c r="F696" s="152">
        <f t="shared" si="373"/>
        <v>0</v>
      </c>
      <c r="G696" s="152">
        <f t="shared" si="373"/>
        <v>0</v>
      </c>
      <c r="H696" s="152">
        <f t="shared" si="373"/>
        <v>0</v>
      </c>
      <c r="I696" s="152">
        <f t="shared" si="373"/>
        <v>0</v>
      </c>
      <c r="J696" s="152">
        <f t="shared" si="373"/>
        <v>0</v>
      </c>
      <c r="K696" s="152">
        <f t="shared" si="373"/>
        <v>0</v>
      </c>
      <c r="L696" s="152">
        <f t="shared" si="373"/>
        <v>0</v>
      </c>
      <c r="M696" s="152">
        <f t="shared" si="373"/>
        <v>0</v>
      </c>
      <c r="N696" s="152">
        <f t="shared" si="373"/>
        <v>0</v>
      </c>
      <c r="O696" s="152">
        <f t="shared" si="373"/>
        <v>0</v>
      </c>
      <c r="P696" s="152">
        <f t="shared" si="373"/>
        <v>0</v>
      </c>
      <c r="Q696" s="152">
        <f t="shared" si="373"/>
        <v>0</v>
      </c>
      <c r="R696" s="152">
        <f t="shared" si="373"/>
        <v>0</v>
      </c>
      <c r="S696" s="152">
        <f t="shared" si="373"/>
        <v>0</v>
      </c>
      <c r="T696" s="152">
        <f t="shared" si="373"/>
        <v>0</v>
      </c>
      <c r="U696" s="152">
        <f t="shared" si="373"/>
        <v>0</v>
      </c>
      <c r="V696" s="152">
        <f t="shared" si="373"/>
        <v>0</v>
      </c>
      <c r="W696" s="152">
        <f t="shared" si="373"/>
        <v>0</v>
      </c>
      <c r="X696" s="152">
        <f t="shared" si="373"/>
        <v>0</v>
      </c>
      <c r="Y696" s="152">
        <f t="shared" si="373"/>
        <v>0</v>
      </c>
      <c r="Z696" s="152">
        <f t="shared" si="373"/>
        <v>0</v>
      </c>
      <c r="AA696" s="152">
        <f t="shared" si="373"/>
        <v>0</v>
      </c>
      <c r="AB696" s="152">
        <f t="shared" si="373"/>
        <v>0</v>
      </c>
      <c r="AC696" s="152">
        <f t="shared" si="373"/>
        <v>0</v>
      </c>
      <c r="AD696" s="152">
        <f t="shared" si="373"/>
        <v>0</v>
      </c>
      <c r="AE696" s="152">
        <f t="shared" si="373"/>
        <v>0</v>
      </c>
      <c r="AF696" s="152">
        <f t="shared" si="373"/>
        <v>0</v>
      </c>
      <c r="AG696" s="152">
        <f t="shared" si="373"/>
        <v>0</v>
      </c>
      <c r="AH696" s="152">
        <f t="shared" si="373"/>
        <v>0</v>
      </c>
      <c r="AI696" s="152">
        <f t="shared" si="373"/>
        <v>0</v>
      </c>
      <c r="AJ696" s="152">
        <f t="shared" si="373"/>
        <v>0</v>
      </c>
      <c r="AK696" s="152">
        <f t="shared" si="373"/>
        <v>0</v>
      </c>
      <c r="AL696" s="152">
        <f t="shared" si="373"/>
        <v>0</v>
      </c>
      <c r="AM696" s="152">
        <f t="shared" si="373"/>
        <v>0</v>
      </c>
      <c r="AN696" s="152">
        <f t="shared" si="373"/>
        <v>0</v>
      </c>
      <c r="AO696" s="152">
        <f t="shared" si="373"/>
        <v>0</v>
      </c>
      <c r="AP696" s="152">
        <f t="shared" si="373"/>
        <v>0</v>
      </c>
    </row>
    <row r="697" spans="1:42" x14ac:dyDescent="0.2">
      <c r="A697" s="4">
        <f t="shared" si="372"/>
        <v>4</v>
      </c>
      <c r="B697" s="170">
        <f t="shared" si="369"/>
        <v>0</v>
      </c>
      <c r="C697" s="152">
        <f t="shared" ref="C697:AP697" si="374">IF(C$2&gt;analysis_period,0,IF(C$2=equip1_reserve_freq*$A697,equip1_reserve_cost*system_capacity*1000*(1+inflation_rate/100)^B$2,0))</f>
        <v>0</v>
      </c>
      <c r="D697" s="152">
        <f t="shared" si="374"/>
        <v>0</v>
      </c>
      <c r="E697" s="152">
        <f t="shared" si="374"/>
        <v>0</v>
      </c>
      <c r="F697" s="152">
        <f t="shared" si="374"/>
        <v>0</v>
      </c>
      <c r="G697" s="152">
        <f t="shared" si="374"/>
        <v>0</v>
      </c>
      <c r="H697" s="152">
        <f t="shared" si="374"/>
        <v>0</v>
      </c>
      <c r="I697" s="152">
        <f t="shared" si="374"/>
        <v>0</v>
      </c>
      <c r="J697" s="152">
        <f t="shared" si="374"/>
        <v>0</v>
      </c>
      <c r="K697" s="152">
        <f t="shared" si="374"/>
        <v>0</v>
      </c>
      <c r="L697" s="152">
        <f t="shared" si="374"/>
        <v>0</v>
      </c>
      <c r="M697" s="152">
        <f t="shared" si="374"/>
        <v>0</v>
      </c>
      <c r="N697" s="152">
        <f t="shared" si="374"/>
        <v>0</v>
      </c>
      <c r="O697" s="152">
        <f t="shared" si="374"/>
        <v>0</v>
      </c>
      <c r="P697" s="152">
        <f t="shared" si="374"/>
        <v>0</v>
      </c>
      <c r="Q697" s="152">
        <f t="shared" si="374"/>
        <v>0</v>
      </c>
      <c r="R697" s="152">
        <f t="shared" si="374"/>
        <v>0</v>
      </c>
      <c r="S697" s="152">
        <f t="shared" si="374"/>
        <v>0</v>
      </c>
      <c r="T697" s="152">
        <f t="shared" si="374"/>
        <v>0</v>
      </c>
      <c r="U697" s="152">
        <f t="shared" si="374"/>
        <v>0</v>
      </c>
      <c r="V697" s="152">
        <f t="shared" si="374"/>
        <v>0</v>
      </c>
      <c r="W697" s="152">
        <f t="shared" si="374"/>
        <v>0</v>
      </c>
      <c r="X697" s="152">
        <f t="shared" si="374"/>
        <v>0</v>
      </c>
      <c r="Y697" s="152">
        <f t="shared" si="374"/>
        <v>0</v>
      </c>
      <c r="Z697" s="152">
        <f t="shared" si="374"/>
        <v>0</v>
      </c>
      <c r="AA697" s="152">
        <f t="shared" si="374"/>
        <v>0</v>
      </c>
      <c r="AB697" s="152">
        <f t="shared" si="374"/>
        <v>0</v>
      </c>
      <c r="AC697" s="152">
        <f t="shared" si="374"/>
        <v>0</v>
      </c>
      <c r="AD697" s="152">
        <f t="shared" si="374"/>
        <v>0</v>
      </c>
      <c r="AE697" s="152">
        <f t="shared" si="374"/>
        <v>0</v>
      </c>
      <c r="AF697" s="152">
        <f t="shared" si="374"/>
        <v>0</v>
      </c>
      <c r="AG697" s="152">
        <f t="shared" si="374"/>
        <v>0</v>
      </c>
      <c r="AH697" s="152">
        <f t="shared" si="374"/>
        <v>0</v>
      </c>
      <c r="AI697" s="152">
        <f t="shared" si="374"/>
        <v>0</v>
      </c>
      <c r="AJ697" s="152">
        <f t="shared" si="374"/>
        <v>0</v>
      </c>
      <c r="AK697" s="152">
        <f t="shared" si="374"/>
        <v>0</v>
      </c>
      <c r="AL697" s="152">
        <f t="shared" si="374"/>
        <v>0</v>
      </c>
      <c r="AM697" s="152">
        <f t="shared" si="374"/>
        <v>0</v>
      </c>
      <c r="AN697" s="152">
        <f t="shared" si="374"/>
        <v>0</v>
      </c>
      <c r="AO697" s="152">
        <f t="shared" si="374"/>
        <v>0</v>
      </c>
      <c r="AP697" s="152">
        <f t="shared" si="374"/>
        <v>0</v>
      </c>
    </row>
    <row r="698" spans="1:42" x14ac:dyDescent="0.2">
      <c r="A698" s="4">
        <f t="shared" si="372"/>
        <v>5</v>
      </c>
      <c r="B698" s="170">
        <f t="shared" si="369"/>
        <v>0</v>
      </c>
      <c r="C698" s="152">
        <f t="shared" ref="C698:AP698" si="375">IF(C$2&gt;analysis_period,0,IF(C$2=equip1_reserve_freq*$A698,equip1_reserve_cost*system_capacity*1000*(1+inflation_rate/100)^B$2,0))</f>
        <v>0</v>
      </c>
      <c r="D698" s="152">
        <f t="shared" si="375"/>
        <v>0</v>
      </c>
      <c r="E698" s="152">
        <f t="shared" si="375"/>
        <v>0</v>
      </c>
      <c r="F698" s="152">
        <f t="shared" si="375"/>
        <v>0</v>
      </c>
      <c r="G698" s="152">
        <f t="shared" si="375"/>
        <v>0</v>
      </c>
      <c r="H698" s="152">
        <f t="shared" si="375"/>
        <v>0</v>
      </c>
      <c r="I698" s="152">
        <f t="shared" si="375"/>
        <v>0</v>
      </c>
      <c r="J698" s="152">
        <f t="shared" si="375"/>
        <v>0</v>
      </c>
      <c r="K698" s="152">
        <f t="shared" si="375"/>
        <v>0</v>
      </c>
      <c r="L698" s="152">
        <f t="shared" si="375"/>
        <v>0</v>
      </c>
      <c r="M698" s="152">
        <f t="shared" si="375"/>
        <v>0</v>
      </c>
      <c r="N698" s="152">
        <f t="shared" si="375"/>
        <v>0</v>
      </c>
      <c r="O698" s="152">
        <f t="shared" si="375"/>
        <v>0</v>
      </c>
      <c r="P698" s="152">
        <f t="shared" si="375"/>
        <v>0</v>
      </c>
      <c r="Q698" s="152">
        <f t="shared" si="375"/>
        <v>0</v>
      </c>
      <c r="R698" s="152">
        <f t="shared" si="375"/>
        <v>0</v>
      </c>
      <c r="S698" s="152">
        <f t="shared" si="375"/>
        <v>0</v>
      </c>
      <c r="T698" s="152">
        <f t="shared" si="375"/>
        <v>0</v>
      </c>
      <c r="U698" s="152">
        <f t="shared" si="375"/>
        <v>0</v>
      </c>
      <c r="V698" s="152">
        <f t="shared" si="375"/>
        <v>0</v>
      </c>
      <c r="W698" s="152">
        <f t="shared" si="375"/>
        <v>0</v>
      </c>
      <c r="X698" s="152">
        <f t="shared" si="375"/>
        <v>0</v>
      </c>
      <c r="Y698" s="152">
        <f t="shared" si="375"/>
        <v>0</v>
      </c>
      <c r="Z698" s="152">
        <f t="shared" si="375"/>
        <v>0</v>
      </c>
      <c r="AA698" s="152">
        <f t="shared" si="375"/>
        <v>0</v>
      </c>
      <c r="AB698" s="152">
        <f t="shared" si="375"/>
        <v>0</v>
      </c>
      <c r="AC698" s="152">
        <f t="shared" si="375"/>
        <v>0</v>
      </c>
      <c r="AD698" s="152">
        <f t="shared" si="375"/>
        <v>0</v>
      </c>
      <c r="AE698" s="152">
        <f t="shared" si="375"/>
        <v>0</v>
      </c>
      <c r="AF698" s="152">
        <f t="shared" si="375"/>
        <v>0</v>
      </c>
      <c r="AG698" s="152">
        <f t="shared" si="375"/>
        <v>0</v>
      </c>
      <c r="AH698" s="152">
        <f t="shared" si="375"/>
        <v>0</v>
      </c>
      <c r="AI698" s="152">
        <f t="shared" si="375"/>
        <v>0</v>
      </c>
      <c r="AJ698" s="152">
        <f t="shared" si="375"/>
        <v>0</v>
      </c>
      <c r="AK698" s="152">
        <f t="shared" si="375"/>
        <v>0</v>
      </c>
      <c r="AL698" s="152">
        <f t="shared" si="375"/>
        <v>0</v>
      </c>
      <c r="AM698" s="152">
        <f t="shared" si="375"/>
        <v>0</v>
      </c>
      <c r="AN698" s="152">
        <f t="shared" si="375"/>
        <v>0</v>
      </c>
      <c r="AO698" s="152">
        <f t="shared" si="375"/>
        <v>0</v>
      </c>
      <c r="AP698" s="152">
        <f t="shared" si="375"/>
        <v>0</v>
      </c>
    </row>
    <row r="699" spans="1:42" x14ac:dyDescent="0.2">
      <c r="A699" s="4">
        <f t="shared" si="372"/>
        <v>6</v>
      </c>
      <c r="B699" s="170">
        <f t="shared" si="369"/>
        <v>0</v>
      </c>
      <c r="C699" s="152">
        <f t="shared" ref="C699:AP699" si="376">IF(C$2&gt;analysis_period,0,IF(C$2=equip1_reserve_freq*$A699,equip1_reserve_cost*system_capacity*1000*(1+inflation_rate/100)^B$2,0))</f>
        <v>0</v>
      </c>
      <c r="D699" s="152">
        <f t="shared" si="376"/>
        <v>0</v>
      </c>
      <c r="E699" s="152">
        <f t="shared" si="376"/>
        <v>0</v>
      </c>
      <c r="F699" s="152">
        <f t="shared" si="376"/>
        <v>0</v>
      </c>
      <c r="G699" s="152">
        <f t="shared" si="376"/>
        <v>0</v>
      </c>
      <c r="H699" s="152">
        <f t="shared" si="376"/>
        <v>0</v>
      </c>
      <c r="I699" s="152">
        <f t="shared" si="376"/>
        <v>0</v>
      </c>
      <c r="J699" s="152">
        <f t="shared" si="376"/>
        <v>0</v>
      </c>
      <c r="K699" s="152">
        <f t="shared" si="376"/>
        <v>0</v>
      </c>
      <c r="L699" s="152">
        <f t="shared" si="376"/>
        <v>0</v>
      </c>
      <c r="M699" s="152">
        <f t="shared" si="376"/>
        <v>0</v>
      </c>
      <c r="N699" s="152">
        <f t="shared" si="376"/>
        <v>0</v>
      </c>
      <c r="O699" s="152">
        <f t="shared" si="376"/>
        <v>0</v>
      </c>
      <c r="P699" s="152">
        <f t="shared" si="376"/>
        <v>0</v>
      </c>
      <c r="Q699" s="152">
        <f t="shared" si="376"/>
        <v>0</v>
      </c>
      <c r="R699" s="152">
        <f t="shared" si="376"/>
        <v>0</v>
      </c>
      <c r="S699" s="152">
        <f t="shared" si="376"/>
        <v>0</v>
      </c>
      <c r="T699" s="152">
        <f t="shared" si="376"/>
        <v>0</v>
      </c>
      <c r="U699" s="152">
        <f t="shared" si="376"/>
        <v>0</v>
      </c>
      <c r="V699" s="152">
        <f t="shared" si="376"/>
        <v>0</v>
      </c>
      <c r="W699" s="152">
        <f t="shared" si="376"/>
        <v>0</v>
      </c>
      <c r="X699" s="152">
        <f t="shared" si="376"/>
        <v>0</v>
      </c>
      <c r="Y699" s="152">
        <f t="shared" si="376"/>
        <v>0</v>
      </c>
      <c r="Z699" s="152">
        <f t="shared" si="376"/>
        <v>0</v>
      </c>
      <c r="AA699" s="152">
        <f t="shared" si="376"/>
        <v>0</v>
      </c>
      <c r="AB699" s="152">
        <f t="shared" si="376"/>
        <v>0</v>
      </c>
      <c r="AC699" s="152">
        <f t="shared" si="376"/>
        <v>0</v>
      </c>
      <c r="AD699" s="152">
        <f t="shared" si="376"/>
        <v>0</v>
      </c>
      <c r="AE699" s="152">
        <f t="shared" si="376"/>
        <v>0</v>
      </c>
      <c r="AF699" s="152">
        <f t="shared" si="376"/>
        <v>0</v>
      </c>
      <c r="AG699" s="152">
        <f t="shared" si="376"/>
        <v>0</v>
      </c>
      <c r="AH699" s="152">
        <f t="shared" si="376"/>
        <v>0</v>
      </c>
      <c r="AI699" s="152">
        <f t="shared" si="376"/>
        <v>0</v>
      </c>
      <c r="AJ699" s="152">
        <f t="shared" si="376"/>
        <v>0</v>
      </c>
      <c r="AK699" s="152">
        <f t="shared" si="376"/>
        <v>0</v>
      </c>
      <c r="AL699" s="152">
        <f t="shared" si="376"/>
        <v>0</v>
      </c>
      <c r="AM699" s="152">
        <f t="shared" si="376"/>
        <v>0</v>
      </c>
      <c r="AN699" s="152">
        <f t="shared" si="376"/>
        <v>0</v>
      </c>
      <c r="AO699" s="152">
        <f t="shared" si="376"/>
        <v>0</v>
      </c>
      <c r="AP699" s="152">
        <f t="shared" si="376"/>
        <v>0</v>
      </c>
    </row>
    <row r="700" spans="1:42" x14ac:dyDescent="0.2">
      <c r="A700" s="4">
        <f t="shared" si="372"/>
        <v>7</v>
      </c>
      <c r="B700" s="170">
        <f t="shared" si="369"/>
        <v>0</v>
      </c>
      <c r="C700" s="152">
        <f t="shared" ref="C700:AP700" si="377">IF(C$2&gt;analysis_period,0,IF(C$2=equip1_reserve_freq*$A700,equip1_reserve_cost*system_capacity*1000*(1+inflation_rate/100)^B$2,0))</f>
        <v>0</v>
      </c>
      <c r="D700" s="152">
        <f t="shared" si="377"/>
        <v>0</v>
      </c>
      <c r="E700" s="152">
        <f t="shared" si="377"/>
        <v>0</v>
      </c>
      <c r="F700" s="152">
        <f t="shared" si="377"/>
        <v>0</v>
      </c>
      <c r="G700" s="152">
        <f t="shared" si="377"/>
        <v>0</v>
      </c>
      <c r="H700" s="152">
        <f t="shared" si="377"/>
        <v>0</v>
      </c>
      <c r="I700" s="152">
        <f t="shared" si="377"/>
        <v>0</v>
      </c>
      <c r="J700" s="152">
        <f t="shared" si="377"/>
        <v>0</v>
      </c>
      <c r="K700" s="152">
        <f t="shared" si="377"/>
        <v>0</v>
      </c>
      <c r="L700" s="152">
        <f t="shared" si="377"/>
        <v>0</v>
      </c>
      <c r="M700" s="152">
        <f t="shared" si="377"/>
        <v>0</v>
      </c>
      <c r="N700" s="152">
        <f t="shared" si="377"/>
        <v>0</v>
      </c>
      <c r="O700" s="152">
        <f t="shared" si="377"/>
        <v>0</v>
      </c>
      <c r="P700" s="152">
        <f t="shared" si="377"/>
        <v>0</v>
      </c>
      <c r="Q700" s="152">
        <f t="shared" si="377"/>
        <v>0</v>
      </c>
      <c r="R700" s="152">
        <f t="shared" si="377"/>
        <v>0</v>
      </c>
      <c r="S700" s="152">
        <f t="shared" si="377"/>
        <v>0</v>
      </c>
      <c r="T700" s="152">
        <f t="shared" si="377"/>
        <v>0</v>
      </c>
      <c r="U700" s="152">
        <f t="shared" si="377"/>
        <v>0</v>
      </c>
      <c r="V700" s="152">
        <f t="shared" si="377"/>
        <v>0</v>
      </c>
      <c r="W700" s="152">
        <f t="shared" si="377"/>
        <v>0</v>
      </c>
      <c r="X700" s="152">
        <f t="shared" si="377"/>
        <v>0</v>
      </c>
      <c r="Y700" s="152">
        <f t="shared" si="377"/>
        <v>0</v>
      </c>
      <c r="Z700" s="152">
        <f t="shared" si="377"/>
        <v>0</v>
      </c>
      <c r="AA700" s="152">
        <f t="shared" si="377"/>
        <v>0</v>
      </c>
      <c r="AB700" s="152">
        <f t="shared" si="377"/>
        <v>0</v>
      </c>
      <c r="AC700" s="152">
        <f t="shared" si="377"/>
        <v>0</v>
      </c>
      <c r="AD700" s="152">
        <f t="shared" si="377"/>
        <v>0</v>
      </c>
      <c r="AE700" s="152">
        <f t="shared" si="377"/>
        <v>0</v>
      </c>
      <c r="AF700" s="152">
        <f t="shared" si="377"/>
        <v>0</v>
      </c>
      <c r="AG700" s="152">
        <f t="shared" si="377"/>
        <v>0</v>
      </c>
      <c r="AH700" s="152">
        <f t="shared" si="377"/>
        <v>0</v>
      </c>
      <c r="AI700" s="152">
        <f t="shared" si="377"/>
        <v>0</v>
      </c>
      <c r="AJ700" s="152">
        <f t="shared" si="377"/>
        <v>0</v>
      </c>
      <c r="AK700" s="152">
        <f t="shared" si="377"/>
        <v>0</v>
      </c>
      <c r="AL700" s="152">
        <f t="shared" si="377"/>
        <v>0</v>
      </c>
      <c r="AM700" s="152">
        <f t="shared" si="377"/>
        <v>0</v>
      </c>
      <c r="AN700" s="152">
        <f t="shared" si="377"/>
        <v>0</v>
      </c>
      <c r="AO700" s="152">
        <f t="shared" si="377"/>
        <v>0</v>
      </c>
      <c r="AP700" s="152">
        <f t="shared" si="377"/>
        <v>0</v>
      </c>
    </row>
    <row r="701" spans="1:42" x14ac:dyDescent="0.2">
      <c r="A701" s="4">
        <f t="shared" si="372"/>
        <v>8</v>
      </c>
      <c r="B701" s="170">
        <f t="shared" si="369"/>
        <v>0</v>
      </c>
      <c r="C701" s="152">
        <f t="shared" ref="C701:AP701" si="378">IF(C$2&gt;analysis_period,0,IF(C$2=equip1_reserve_freq*$A701,equip1_reserve_cost*system_capacity*1000*(1+inflation_rate/100)^B$2,0))</f>
        <v>0</v>
      </c>
      <c r="D701" s="152">
        <f t="shared" si="378"/>
        <v>0</v>
      </c>
      <c r="E701" s="152">
        <f t="shared" si="378"/>
        <v>0</v>
      </c>
      <c r="F701" s="152">
        <f t="shared" si="378"/>
        <v>0</v>
      </c>
      <c r="G701" s="152">
        <f t="shared" si="378"/>
        <v>0</v>
      </c>
      <c r="H701" s="152">
        <f t="shared" si="378"/>
        <v>0</v>
      </c>
      <c r="I701" s="152">
        <f t="shared" si="378"/>
        <v>0</v>
      </c>
      <c r="J701" s="152">
        <f t="shared" si="378"/>
        <v>0</v>
      </c>
      <c r="K701" s="152">
        <f t="shared" si="378"/>
        <v>0</v>
      </c>
      <c r="L701" s="152">
        <f t="shared" si="378"/>
        <v>0</v>
      </c>
      <c r="M701" s="152">
        <f t="shared" si="378"/>
        <v>0</v>
      </c>
      <c r="N701" s="152">
        <f t="shared" si="378"/>
        <v>0</v>
      </c>
      <c r="O701" s="152">
        <f t="shared" si="378"/>
        <v>0</v>
      </c>
      <c r="P701" s="152">
        <f t="shared" si="378"/>
        <v>0</v>
      </c>
      <c r="Q701" s="152">
        <f t="shared" si="378"/>
        <v>0</v>
      </c>
      <c r="R701" s="152">
        <f t="shared" si="378"/>
        <v>0</v>
      </c>
      <c r="S701" s="152">
        <f t="shared" si="378"/>
        <v>0</v>
      </c>
      <c r="T701" s="152">
        <f t="shared" si="378"/>
        <v>0</v>
      </c>
      <c r="U701" s="152">
        <f t="shared" si="378"/>
        <v>0</v>
      </c>
      <c r="V701" s="152">
        <f t="shared" si="378"/>
        <v>0</v>
      </c>
      <c r="W701" s="152">
        <f t="shared" si="378"/>
        <v>0</v>
      </c>
      <c r="X701" s="152">
        <f t="shared" si="378"/>
        <v>0</v>
      </c>
      <c r="Y701" s="152">
        <f t="shared" si="378"/>
        <v>0</v>
      </c>
      <c r="Z701" s="152">
        <f t="shared" si="378"/>
        <v>0</v>
      </c>
      <c r="AA701" s="152">
        <f t="shared" si="378"/>
        <v>0</v>
      </c>
      <c r="AB701" s="152">
        <f t="shared" si="378"/>
        <v>0</v>
      </c>
      <c r="AC701" s="152">
        <f t="shared" si="378"/>
        <v>0</v>
      </c>
      <c r="AD701" s="152">
        <f t="shared" si="378"/>
        <v>0</v>
      </c>
      <c r="AE701" s="152">
        <f t="shared" si="378"/>
        <v>0</v>
      </c>
      <c r="AF701" s="152">
        <f t="shared" si="378"/>
        <v>0</v>
      </c>
      <c r="AG701" s="152">
        <f t="shared" si="378"/>
        <v>0</v>
      </c>
      <c r="AH701" s="152">
        <f t="shared" si="378"/>
        <v>0</v>
      </c>
      <c r="AI701" s="152">
        <f t="shared" si="378"/>
        <v>0</v>
      </c>
      <c r="AJ701" s="152">
        <f t="shared" si="378"/>
        <v>0</v>
      </c>
      <c r="AK701" s="152">
        <f t="shared" si="378"/>
        <v>0</v>
      </c>
      <c r="AL701" s="152">
        <f t="shared" si="378"/>
        <v>0</v>
      </c>
      <c r="AM701" s="152">
        <f t="shared" si="378"/>
        <v>0</v>
      </c>
      <c r="AN701" s="152">
        <f t="shared" si="378"/>
        <v>0</v>
      </c>
      <c r="AO701" s="152">
        <f t="shared" si="378"/>
        <v>0</v>
      </c>
      <c r="AP701" s="152">
        <f t="shared" si="378"/>
        <v>0</v>
      </c>
    </row>
    <row r="702" spans="1:42" x14ac:dyDescent="0.2">
      <c r="A702" s="4">
        <f>A701+1</f>
        <v>9</v>
      </c>
      <c r="B702" s="170">
        <f t="shared" si="369"/>
        <v>0</v>
      </c>
      <c r="C702" s="152">
        <f t="shared" ref="C702:AP702" si="379">IF(C$2&gt;analysis_period,0,IF(C$2=equip1_reserve_freq*$A702,equip1_reserve_cost*system_capacity*1000*(1+inflation_rate/100)^B$2,0))</f>
        <v>0</v>
      </c>
      <c r="D702" s="152">
        <f t="shared" si="379"/>
        <v>0</v>
      </c>
      <c r="E702" s="152">
        <f t="shared" si="379"/>
        <v>0</v>
      </c>
      <c r="F702" s="152">
        <f t="shared" si="379"/>
        <v>0</v>
      </c>
      <c r="G702" s="152">
        <f t="shared" si="379"/>
        <v>0</v>
      </c>
      <c r="H702" s="152">
        <f t="shared" si="379"/>
        <v>0</v>
      </c>
      <c r="I702" s="152">
        <f t="shared" si="379"/>
        <v>0</v>
      </c>
      <c r="J702" s="152">
        <f t="shared" si="379"/>
        <v>0</v>
      </c>
      <c r="K702" s="152">
        <f t="shared" si="379"/>
        <v>0</v>
      </c>
      <c r="L702" s="152">
        <f t="shared" si="379"/>
        <v>0</v>
      </c>
      <c r="M702" s="152">
        <f t="shared" si="379"/>
        <v>0</v>
      </c>
      <c r="N702" s="152">
        <f t="shared" si="379"/>
        <v>0</v>
      </c>
      <c r="O702" s="152">
        <f t="shared" si="379"/>
        <v>0</v>
      </c>
      <c r="P702" s="152">
        <f t="shared" si="379"/>
        <v>0</v>
      </c>
      <c r="Q702" s="152">
        <f t="shared" si="379"/>
        <v>0</v>
      </c>
      <c r="R702" s="152">
        <f t="shared" si="379"/>
        <v>0</v>
      </c>
      <c r="S702" s="152">
        <f t="shared" si="379"/>
        <v>0</v>
      </c>
      <c r="T702" s="152">
        <f t="shared" si="379"/>
        <v>0</v>
      </c>
      <c r="U702" s="152">
        <f t="shared" si="379"/>
        <v>0</v>
      </c>
      <c r="V702" s="152">
        <f t="shared" si="379"/>
        <v>0</v>
      </c>
      <c r="W702" s="152">
        <f t="shared" si="379"/>
        <v>0</v>
      </c>
      <c r="X702" s="152">
        <f t="shared" si="379"/>
        <v>0</v>
      </c>
      <c r="Y702" s="152">
        <f t="shared" si="379"/>
        <v>0</v>
      </c>
      <c r="Z702" s="152">
        <f t="shared" si="379"/>
        <v>0</v>
      </c>
      <c r="AA702" s="152">
        <f t="shared" si="379"/>
        <v>0</v>
      </c>
      <c r="AB702" s="152">
        <f t="shared" si="379"/>
        <v>0</v>
      </c>
      <c r="AC702" s="152">
        <f t="shared" si="379"/>
        <v>0</v>
      </c>
      <c r="AD702" s="152">
        <f t="shared" si="379"/>
        <v>0</v>
      </c>
      <c r="AE702" s="152">
        <f t="shared" si="379"/>
        <v>0</v>
      </c>
      <c r="AF702" s="152">
        <f t="shared" si="379"/>
        <v>0</v>
      </c>
      <c r="AG702" s="152">
        <f t="shared" si="379"/>
        <v>0</v>
      </c>
      <c r="AH702" s="152">
        <f t="shared" si="379"/>
        <v>0</v>
      </c>
      <c r="AI702" s="152">
        <f t="shared" si="379"/>
        <v>0</v>
      </c>
      <c r="AJ702" s="152">
        <f t="shared" si="379"/>
        <v>0</v>
      </c>
      <c r="AK702" s="152">
        <f t="shared" si="379"/>
        <v>0</v>
      </c>
      <c r="AL702" s="152">
        <f t="shared" si="379"/>
        <v>0</v>
      </c>
      <c r="AM702" s="152">
        <f t="shared" si="379"/>
        <v>0</v>
      </c>
      <c r="AN702" s="152">
        <f t="shared" si="379"/>
        <v>0</v>
      </c>
      <c r="AO702" s="152">
        <f t="shared" si="379"/>
        <v>0</v>
      </c>
      <c r="AP702" s="152">
        <f t="shared" si="379"/>
        <v>0</v>
      </c>
    </row>
    <row r="703" spans="1:42" x14ac:dyDescent="0.2">
      <c r="A703" s="4">
        <f t="shared" si="372"/>
        <v>10</v>
      </c>
      <c r="B703" s="170">
        <f t="shared" si="369"/>
        <v>0</v>
      </c>
      <c r="C703" s="152">
        <f t="shared" ref="C703:AP703" si="380">IF(C$2&gt;analysis_period,0,IF(C$2=equip1_reserve_freq*$A703,equip1_reserve_cost*system_capacity*1000*(1+inflation_rate/100)^B$2,0))</f>
        <v>0</v>
      </c>
      <c r="D703" s="152">
        <f t="shared" si="380"/>
        <v>0</v>
      </c>
      <c r="E703" s="152">
        <f t="shared" si="380"/>
        <v>0</v>
      </c>
      <c r="F703" s="152">
        <f t="shared" si="380"/>
        <v>0</v>
      </c>
      <c r="G703" s="152">
        <f t="shared" si="380"/>
        <v>0</v>
      </c>
      <c r="H703" s="152">
        <f t="shared" si="380"/>
        <v>0</v>
      </c>
      <c r="I703" s="152">
        <f t="shared" si="380"/>
        <v>0</v>
      </c>
      <c r="J703" s="152">
        <f t="shared" si="380"/>
        <v>0</v>
      </c>
      <c r="K703" s="152">
        <f t="shared" si="380"/>
        <v>0</v>
      </c>
      <c r="L703" s="152">
        <f t="shared" si="380"/>
        <v>0</v>
      </c>
      <c r="M703" s="152">
        <f t="shared" si="380"/>
        <v>0</v>
      </c>
      <c r="N703" s="152">
        <f t="shared" si="380"/>
        <v>0</v>
      </c>
      <c r="O703" s="152">
        <f t="shared" si="380"/>
        <v>0</v>
      </c>
      <c r="P703" s="152">
        <f t="shared" si="380"/>
        <v>0</v>
      </c>
      <c r="Q703" s="152">
        <f t="shared" si="380"/>
        <v>0</v>
      </c>
      <c r="R703" s="152">
        <f t="shared" si="380"/>
        <v>0</v>
      </c>
      <c r="S703" s="152">
        <f t="shared" si="380"/>
        <v>0</v>
      </c>
      <c r="T703" s="152">
        <f t="shared" si="380"/>
        <v>0</v>
      </c>
      <c r="U703" s="152">
        <f t="shared" si="380"/>
        <v>0</v>
      </c>
      <c r="V703" s="152">
        <f t="shared" si="380"/>
        <v>0</v>
      </c>
      <c r="W703" s="152">
        <f t="shared" si="380"/>
        <v>0</v>
      </c>
      <c r="X703" s="152">
        <f t="shared" si="380"/>
        <v>0</v>
      </c>
      <c r="Y703" s="152">
        <f t="shared" si="380"/>
        <v>0</v>
      </c>
      <c r="Z703" s="152">
        <f t="shared" si="380"/>
        <v>0</v>
      </c>
      <c r="AA703" s="152">
        <f t="shared" si="380"/>
        <v>0</v>
      </c>
      <c r="AB703" s="152">
        <f t="shared" si="380"/>
        <v>0</v>
      </c>
      <c r="AC703" s="152">
        <f t="shared" si="380"/>
        <v>0</v>
      </c>
      <c r="AD703" s="152">
        <f t="shared" si="380"/>
        <v>0</v>
      </c>
      <c r="AE703" s="152">
        <f t="shared" si="380"/>
        <v>0</v>
      </c>
      <c r="AF703" s="152">
        <f t="shared" si="380"/>
        <v>0</v>
      </c>
      <c r="AG703" s="152">
        <f t="shared" si="380"/>
        <v>0</v>
      </c>
      <c r="AH703" s="152">
        <f t="shared" si="380"/>
        <v>0</v>
      </c>
      <c r="AI703" s="152">
        <f t="shared" si="380"/>
        <v>0</v>
      </c>
      <c r="AJ703" s="152">
        <f t="shared" si="380"/>
        <v>0</v>
      </c>
      <c r="AK703" s="152">
        <f t="shared" si="380"/>
        <v>0</v>
      </c>
      <c r="AL703" s="152">
        <f t="shared" si="380"/>
        <v>0</v>
      </c>
      <c r="AM703" s="152">
        <f t="shared" si="380"/>
        <v>0</v>
      </c>
      <c r="AN703" s="152">
        <f t="shared" si="380"/>
        <v>0</v>
      </c>
      <c r="AO703" s="152">
        <f t="shared" si="380"/>
        <v>0</v>
      </c>
      <c r="AP703" s="152">
        <f t="shared" si="380"/>
        <v>0</v>
      </c>
    </row>
    <row r="704" spans="1:42" x14ac:dyDescent="0.2">
      <c r="A704" s="24" t="s">
        <v>13</v>
      </c>
      <c r="B704" s="14"/>
      <c r="C704" s="152">
        <f>SUM(C694:C703)</f>
        <v>0</v>
      </c>
      <c r="D704" s="152">
        <f t="shared" ref="D704:AD704" si="381">SUM(D694:D703)</f>
        <v>0</v>
      </c>
      <c r="E704" s="152">
        <f t="shared" si="381"/>
        <v>0</v>
      </c>
      <c r="F704" s="152">
        <f t="shared" si="381"/>
        <v>0</v>
      </c>
      <c r="G704" s="152">
        <f t="shared" si="381"/>
        <v>0</v>
      </c>
      <c r="H704" s="152">
        <f t="shared" si="381"/>
        <v>0</v>
      </c>
      <c r="I704" s="152">
        <f t="shared" si="381"/>
        <v>0</v>
      </c>
      <c r="J704" s="152">
        <f t="shared" si="381"/>
        <v>0</v>
      </c>
      <c r="K704" s="152">
        <f t="shared" si="381"/>
        <v>0</v>
      </c>
      <c r="L704" s="152">
        <f t="shared" si="381"/>
        <v>0</v>
      </c>
      <c r="M704" s="152">
        <f t="shared" si="381"/>
        <v>0</v>
      </c>
      <c r="N704" s="152">
        <f t="shared" si="381"/>
        <v>0</v>
      </c>
      <c r="O704" s="152">
        <f t="shared" si="381"/>
        <v>0</v>
      </c>
      <c r="P704" s="152">
        <f t="shared" si="381"/>
        <v>0</v>
      </c>
      <c r="Q704" s="152">
        <f t="shared" si="381"/>
        <v>0</v>
      </c>
      <c r="R704" s="152">
        <f t="shared" si="381"/>
        <v>0</v>
      </c>
      <c r="S704" s="152">
        <f t="shared" si="381"/>
        <v>0</v>
      </c>
      <c r="T704" s="152">
        <f t="shared" si="381"/>
        <v>0</v>
      </c>
      <c r="U704" s="152">
        <f t="shared" si="381"/>
        <v>0</v>
      </c>
      <c r="V704" s="152">
        <f t="shared" si="381"/>
        <v>0</v>
      </c>
      <c r="W704" s="152">
        <f t="shared" si="381"/>
        <v>0</v>
      </c>
      <c r="X704" s="152">
        <f t="shared" si="381"/>
        <v>0</v>
      </c>
      <c r="Y704" s="152">
        <f t="shared" si="381"/>
        <v>0</v>
      </c>
      <c r="Z704" s="152">
        <f t="shared" si="381"/>
        <v>0</v>
      </c>
      <c r="AA704" s="152">
        <f t="shared" si="381"/>
        <v>0</v>
      </c>
      <c r="AB704" s="152">
        <f t="shared" si="381"/>
        <v>0</v>
      </c>
      <c r="AC704" s="152">
        <f t="shared" si="381"/>
        <v>0</v>
      </c>
      <c r="AD704" s="152">
        <f t="shared" si="381"/>
        <v>0</v>
      </c>
      <c r="AE704" s="152">
        <f t="shared" ref="AE704" si="382">SUM(AE694:AE703)</f>
        <v>0</v>
      </c>
      <c r="AF704" s="152">
        <f t="shared" ref="AF704:AP704" si="383">SUM(AF694:AF703)</f>
        <v>0</v>
      </c>
      <c r="AG704" s="152">
        <f t="shared" si="383"/>
        <v>0</v>
      </c>
      <c r="AH704" s="152">
        <f t="shared" si="383"/>
        <v>0</v>
      </c>
      <c r="AI704" s="152">
        <f t="shared" si="383"/>
        <v>0</v>
      </c>
      <c r="AJ704" s="152">
        <f t="shared" si="383"/>
        <v>0</v>
      </c>
      <c r="AK704" s="152">
        <f t="shared" si="383"/>
        <v>0</v>
      </c>
      <c r="AL704" s="152">
        <f t="shared" si="383"/>
        <v>0</v>
      </c>
      <c r="AM704" s="152">
        <f t="shared" si="383"/>
        <v>0</v>
      </c>
      <c r="AN704" s="152">
        <f t="shared" si="383"/>
        <v>0</v>
      </c>
      <c r="AO704" s="152">
        <f t="shared" si="383"/>
        <v>0</v>
      </c>
      <c r="AP704" s="152">
        <f t="shared" si="383"/>
        <v>0</v>
      </c>
    </row>
    <row r="705" spans="1:42" x14ac:dyDescent="0.2">
      <c r="A705" s="4" t="s">
        <v>281</v>
      </c>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row>
    <row r="706" spans="1:42" x14ac:dyDescent="0.2">
      <c r="A706" s="4">
        <v>1</v>
      </c>
      <c r="B706" s="170">
        <f t="shared" ref="B706:B715" si="384">SUM(C706:AP706)</f>
        <v>0</v>
      </c>
      <c r="C706" s="152">
        <f t="shared" ref="C706:AP706" si="385">IF(C$2&lt;=equip1_reserve_freq*$A$694,$B$694/(equip1_reserve_freq),0)</f>
        <v>0</v>
      </c>
      <c r="D706" s="152">
        <f t="shared" si="385"/>
        <v>0</v>
      </c>
      <c r="E706" s="152">
        <f t="shared" si="385"/>
        <v>0</v>
      </c>
      <c r="F706" s="152">
        <f t="shared" si="385"/>
        <v>0</v>
      </c>
      <c r="G706" s="152">
        <f t="shared" si="385"/>
        <v>0</v>
      </c>
      <c r="H706" s="152">
        <f t="shared" si="385"/>
        <v>0</v>
      </c>
      <c r="I706" s="152">
        <f t="shared" si="385"/>
        <v>0</v>
      </c>
      <c r="J706" s="152">
        <f t="shared" si="385"/>
        <v>0</v>
      </c>
      <c r="K706" s="152">
        <f t="shared" si="385"/>
        <v>0</v>
      </c>
      <c r="L706" s="152">
        <f t="shared" si="385"/>
        <v>0</v>
      </c>
      <c r="M706" s="152">
        <f t="shared" si="385"/>
        <v>0</v>
      </c>
      <c r="N706" s="152">
        <f t="shared" si="385"/>
        <v>0</v>
      </c>
      <c r="O706" s="152">
        <f t="shared" si="385"/>
        <v>0</v>
      </c>
      <c r="P706" s="152">
        <f t="shared" si="385"/>
        <v>0</v>
      </c>
      <c r="Q706" s="152">
        <f t="shared" si="385"/>
        <v>0</v>
      </c>
      <c r="R706" s="152">
        <f t="shared" si="385"/>
        <v>0</v>
      </c>
      <c r="S706" s="152">
        <f t="shared" si="385"/>
        <v>0</v>
      </c>
      <c r="T706" s="152">
        <f t="shared" si="385"/>
        <v>0</v>
      </c>
      <c r="U706" s="152">
        <f t="shared" si="385"/>
        <v>0</v>
      </c>
      <c r="V706" s="152">
        <f t="shared" si="385"/>
        <v>0</v>
      </c>
      <c r="W706" s="152">
        <f t="shared" si="385"/>
        <v>0</v>
      </c>
      <c r="X706" s="152">
        <f t="shared" si="385"/>
        <v>0</v>
      </c>
      <c r="Y706" s="152">
        <f t="shared" si="385"/>
        <v>0</v>
      </c>
      <c r="Z706" s="152">
        <f t="shared" si="385"/>
        <v>0</v>
      </c>
      <c r="AA706" s="152">
        <f t="shared" si="385"/>
        <v>0</v>
      </c>
      <c r="AB706" s="152">
        <f t="shared" si="385"/>
        <v>0</v>
      </c>
      <c r="AC706" s="152">
        <f t="shared" si="385"/>
        <v>0</v>
      </c>
      <c r="AD706" s="152">
        <f t="shared" si="385"/>
        <v>0</v>
      </c>
      <c r="AE706" s="152">
        <f t="shared" si="385"/>
        <v>0</v>
      </c>
      <c r="AF706" s="152">
        <f t="shared" si="385"/>
        <v>0</v>
      </c>
      <c r="AG706" s="152">
        <f t="shared" si="385"/>
        <v>0</v>
      </c>
      <c r="AH706" s="152">
        <f t="shared" si="385"/>
        <v>0</v>
      </c>
      <c r="AI706" s="152">
        <f t="shared" si="385"/>
        <v>0</v>
      </c>
      <c r="AJ706" s="152">
        <f t="shared" si="385"/>
        <v>0</v>
      </c>
      <c r="AK706" s="152">
        <f t="shared" si="385"/>
        <v>0</v>
      </c>
      <c r="AL706" s="152">
        <f t="shared" si="385"/>
        <v>0</v>
      </c>
      <c r="AM706" s="152">
        <f t="shared" si="385"/>
        <v>0</v>
      </c>
      <c r="AN706" s="152">
        <f t="shared" si="385"/>
        <v>0</v>
      </c>
      <c r="AO706" s="152">
        <f t="shared" si="385"/>
        <v>0</v>
      </c>
      <c r="AP706" s="152">
        <f t="shared" si="385"/>
        <v>0</v>
      </c>
    </row>
    <row r="707" spans="1:42" x14ac:dyDescent="0.2">
      <c r="A707" s="4">
        <f>A706+1</f>
        <v>2</v>
      </c>
      <c r="B707" s="170">
        <f t="shared" si="384"/>
        <v>0</v>
      </c>
      <c r="C707" s="172">
        <f t="shared" ref="C707:AP707" si="386">IF(AND(C$2&gt;equip1_reserve_freq*$A694,C$2&lt;=equip1_reserve_freq*$A695),$B695/(equip1_reserve_freq),0)</f>
        <v>0</v>
      </c>
      <c r="D707" s="152">
        <f t="shared" si="386"/>
        <v>0</v>
      </c>
      <c r="E707" s="152">
        <f t="shared" si="386"/>
        <v>0</v>
      </c>
      <c r="F707" s="152">
        <f t="shared" si="386"/>
        <v>0</v>
      </c>
      <c r="G707" s="152">
        <f t="shared" si="386"/>
        <v>0</v>
      </c>
      <c r="H707" s="152">
        <f t="shared" si="386"/>
        <v>0</v>
      </c>
      <c r="I707" s="152">
        <f t="shared" si="386"/>
        <v>0</v>
      </c>
      <c r="J707" s="152">
        <f t="shared" si="386"/>
        <v>0</v>
      </c>
      <c r="K707" s="152">
        <f t="shared" si="386"/>
        <v>0</v>
      </c>
      <c r="L707" s="152">
        <f t="shared" si="386"/>
        <v>0</v>
      </c>
      <c r="M707" s="152">
        <f t="shared" si="386"/>
        <v>0</v>
      </c>
      <c r="N707" s="152">
        <f t="shared" si="386"/>
        <v>0</v>
      </c>
      <c r="O707" s="152">
        <f t="shared" si="386"/>
        <v>0</v>
      </c>
      <c r="P707" s="152">
        <f t="shared" si="386"/>
        <v>0</v>
      </c>
      <c r="Q707" s="152">
        <f t="shared" si="386"/>
        <v>0</v>
      </c>
      <c r="R707" s="152">
        <f t="shared" si="386"/>
        <v>0</v>
      </c>
      <c r="S707" s="152">
        <f t="shared" si="386"/>
        <v>0</v>
      </c>
      <c r="T707" s="152">
        <f t="shared" si="386"/>
        <v>0</v>
      </c>
      <c r="U707" s="152">
        <f t="shared" si="386"/>
        <v>0</v>
      </c>
      <c r="V707" s="152">
        <f t="shared" si="386"/>
        <v>0</v>
      </c>
      <c r="W707" s="152">
        <f t="shared" si="386"/>
        <v>0</v>
      </c>
      <c r="X707" s="152">
        <f t="shared" si="386"/>
        <v>0</v>
      </c>
      <c r="Y707" s="152">
        <f t="shared" si="386"/>
        <v>0</v>
      </c>
      <c r="Z707" s="152">
        <f t="shared" si="386"/>
        <v>0</v>
      </c>
      <c r="AA707" s="152">
        <f t="shared" si="386"/>
        <v>0</v>
      </c>
      <c r="AB707" s="152">
        <f t="shared" si="386"/>
        <v>0</v>
      </c>
      <c r="AC707" s="152">
        <f t="shared" si="386"/>
        <v>0</v>
      </c>
      <c r="AD707" s="152">
        <f t="shared" si="386"/>
        <v>0</v>
      </c>
      <c r="AE707" s="152">
        <f t="shared" si="386"/>
        <v>0</v>
      </c>
      <c r="AF707" s="152">
        <f t="shared" si="386"/>
        <v>0</v>
      </c>
      <c r="AG707" s="152">
        <f t="shared" si="386"/>
        <v>0</v>
      </c>
      <c r="AH707" s="152">
        <f t="shared" si="386"/>
        <v>0</v>
      </c>
      <c r="AI707" s="152">
        <f t="shared" si="386"/>
        <v>0</v>
      </c>
      <c r="AJ707" s="152">
        <f t="shared" si="386"/>
        <v>0</v>
      </c>
      <c r="AK707" s="152">
        <f t="shared" si="386"/>
        <v>0</v>
      </c>
      <c r="AL707" s="152">
        <f t="shared" si="386"/>
        <v>0</v>
      </c>
      <c r="AM707" s="152">
        <f t="shared" si="386"/>
        <v>0</v>
      </c>
      <c r="AN707" s="152">
        <f t="shared" si="386"/>
        <v>0</v>
      </c>
      <c r="AO707" s="152">
        <f t="shared" si="386"/>
        <v>0</v>
      </c>
      <c r="AP707" s="152">
        <f t="shared" si="386"/>
        <v>0</v>
      </c>
    </row>
    <row r="708" spans="1:42" x14ac:dyDescent="0.2">
      <c r="A708" s="4">
        <f t="shared" ref="A708:A713" si="387">A707+1</f>
        <v>3</v>
      </c>
      <c r="B708" s="170">
        <f t="shared" si="384"/>
        <v>0</v>
      </c>
      <c r="C708" s="172">
        <f t="shared" ref="C708:AP708" si="388">IF(AND(C$2&gt;equip1_reserve_freq*$A695,C$2&lt;=equip1_reserve_freq*$A696),$B696/(equip1_reserve_freq),0)</f>
        <v>0</v>
      </c>
      <c r="D708" s="152">
        <f t="shared" si="388"/>
        <v>0</v>
      </c>
      <c r="E708" s="152">
        <f t="shared" si="388"/>
        <v>0</v>
      </c>
      <c r="F708" s="152">
        <f t="shared" si="388"/>
        <v>0</v>
      </c>
      <c r="G708" s="152">
        <f t="shared" si="388"/>
        <v>0</v>
      </c>
      <c r="H708" s="152">
        <f t="shared" si="388"/>
        <v>0</v>
      </c>
      <c r="I708" s="152">
        <f t="shared" si="388"/>
        <v>0</v>
      </c>
      <c r="J708" s="152">
        <f t="shared" si="388"/>
        <v>0</v>
      </c>
      <c r="K708" s="152">
        <f t="shared" si="388"/>
        <v>0</v>
      </c>
      <c r="L708" s="152">
        <f t="shared" si="388"/>
        <v>0</v>
      </c>
      <c r="M708" s="152">
        <f t="shared" si="388"/>
        <v>0</v>
      </c>
      <c r="N708" s="152">
        <f t="shared" si="388"/>
        <v>0</v>
      </c>
      <c r="O708" s="152">
        <f t="shared" si="388"/>
        <v>0</v>
      </c>
      <c r="P708" s="152">
        <f t="shared" si="388"/>
        <v>0</v>
      </c>
      <c r="Q708" s="152">
        <f t="shared" si="388"/>
        <v>0</v>
      </c>
      <c r="R708" s="152">
        <f t="shared" si="388"/>
        <v>0</v>
      </c>
      <c r="S708" s="152">
        <f t="shared" si="388"/>
        <v>0</v>
      </c>
      <c r="T708" s="152">
        <f t="shared" si="388"/>
        <v>0</v>
      </c>
      <c r="U708" s="152">
        <f t="shared" si="388"/>
        <v>0</v>
      </c>
      <c r="V708" s="152">
        <f t="shared" si="388"/>
        <v>0</v>
      </c>
      <c r="W708" s="152">
        <f t="shared" si="388"/>
        <v>0</v>
      </c>
      <c r="X708" s="152">
        <f t="shared" si="388"/>
        <v>0</v>
      </c>
      <c r="Y708" s="152">
        <f t="shared" si="388"/>
        <v>0</v>
      </c>
      <c r="Z708" s="152">
        <f t="shared" si="388"/>
        <v>0</v>
      </c>
      <c r="AA708" s="152">
        <f t="shared" si="388"/>
        <v>0</v>
      </c>
      <c r="AB708" s="152">
        <f t="shared" si="388"/>
        <v>0</v>
      </c>
      <c r="AC708" s="152">
        <f t="shared" si="388"/>
        <v>0</v>
      </c>
      <c r="AD708" s="152">
        <f t="shared" si="388"/>
        <v>0</v>
      </c>
      <c r="AE708" s="152">
        <f t="shared" si="388"/>
        <v>0</v>
      </c>
      <c r="AF708" s="152">
        <f t="shared" si="388"/>
        <v>0</v>
      </c>
      <c r="AG708" s="152">
        <f t="shared" si="388"/>
        <v>0</v>
      </c>
      <c r="AH708" s="152">
        <f t="shared" si="388"/>
        <v>0</v>
      </c>
      <c r="AI708" s="152">
        <f t="shared" si="388"/>
        <v>0</v>
      </c>
      <c r="AJ708" s="152">
        <f t="shared" si="388"/>
        <v>0</v>
      </c>
      <c r="AK708" s="152">
        <f t="shared" si="388"/>
        <v>0</v>
      </c>
      <c r="AL708" s="152">
        <f t="shared" si="388"/>
        <v>0</v>
      </c>
      <c r="AM708" s="152">
        <f t="shared" si="388"/>
        <v>0</v>
      </c>
      <c r="AN708" s="152">
        <f t="shared" si="388"/>
        <v>0</v>
      </c>
      <c r="AO708" s="152">
        <f t="shared" si="388"/>
        <v>0</v>
      </c>
      <c r="AP708" s="152">
        <f t="shared" si="388"/>
        <v>0</v>
      </c>
    </row>
    <row r="709" spans="1:42" x14ac:dyDescent="0.2">
      <c r="A709" s="4">
        <f t="shared" si="387"/>
        <v>4</v>
      </c>
      <c r="B709" s="170">
        <f t="shared" si="384"/>
        <v>0</v>
      </c>
      <c r="C709" s="172">
        <f t="shared" ref="C709:AP709" si="389">IF(AND(C$2&gt;equip1_reserve_freq*$A696,C$2&lt;=equip1_reserve_freq*$A697),$B697/(equip1_reserve_freq),0)</f>
        <v>0</v>
      </c>
      <c r="D709" s="152">
        <f t="shared" si="389"/>
        <v>0</v>
      </c>
      <c r="E709" s="152">
        <f t="shared" si="389"/>
        <v>0</v>
      </c>
      <c r="F709" s="152">
        <f t="shared" si="389"/>
        <v>0</v>
      </c>
      <c r="G709" s="152">
        <f t="shared" si="389"/>
        <v>0</v>
      </c>
      <c r="H709" s="152">
        <f t="shared" si="389"/>
        <v>0</v>
      </c>
      <c r="I709" s="152">
        <f t="shared" si="389"/>
        <v>0</v>
      </c>
      <c r="J709" s="152">
        <f t="shared" si="389"/>
        <v>0</v>
      </c>
      <c r="K709" s="152">
        <f t="shared" si="389"/>
        <v>0</v>
      </c>
      <c r="L709" s="152">
        <f t="shared" si="389"/>
        <v>0</v>
      </c>
      <c r="M709" s="152">
        <f t="shared" si="389"/>
        <v>0</v>
      </c>
      <c r="N709" s="152">
        <f t="shared" si="389"/>
        <v>0</v>
      </c>
      <c r="O709" s="152">
        <f t="shared" si="389"/>
        <v>0</v>
      </c>
      <c r="P709" s="152">
        <f t="shared" si="389"/>
        <v>0</v>
      </c>
      <c r="Q709" s="152">
        <f t="shared" si="389"/>
        <v>0</v>
      </c>
      <c r="R709" s="152">
        <f t="shared" si="389"/>
        <v>0</v>
      </c>
      <c r="S709" s="152">
        <f t="shared" si="389"/>
        <v>0</v>
      </c>
      <c r="T709" s="152">
        <f t="shared" si="389"/>
        <v>0</v>
      </c>
      <c r="U709" s="152">
        <f t="shared" si="389"/>
        <v>0</v>
      </c>
      <c r="V709" s="152">
        <f t="shared" si="389"/>
        <v>0</v>
      </c>
      <c r="W709" s="152">
        <f t="shared" si="389"/>
        <v>0</v>
      </c>
      <c r="X709" s="152">
        <f t="shared" si="389"/>
        <v>0</v>
      </c>
      <c r="Y709" s="152">
        <f t="shared" si="389"/>
        <v>0</v>
      </c>
      <c r="Z709" s="152">
        <f t="shared" si="389"/>
        <v>0</v>
      </c>
      <c r="AA709" s="152">
        <f t="shared" si="389"/>
        <v>0</v>
      </c>
      <c r="AB709" s="152">
        <f t="shared" si="389"/>
        <v>0</v>
      </c>
      <c r="AC709" s="152">
        <f t="shared" si="389"/>
        <v>0</v>
      </c>
      <c r="AD709" s="152">
        <f t="shared" si="389"/>
        <v>0</v>
      </c>
      <c r="AE709" s="152">
        <f t="shared" si="389"/>
        <v>0</v>
      </c>
      <c r="AF709" s="152">
        <f t="shared" si="389"/>
        <v>0</v>
      </c>
      <c r="AG709" s="152">
        <f t="shared" si="389"/>
        <v>0</v>
      </c>
      <c r="AH709" s="152">
        <f t="shared" si="389"/>
        <v>0</v>
      </c>
      <c r="AI709" s="152">
        <f t="shared" si="389"/>
        <v>0</v>
      </c>
      <c r="AJ709" s="152">
        <f t="shared" si="389"/>
        <v>0</v>
      </c>
      <c r="AK709" s="152">
        <f t="shared" si="389"/>
        <v>0</v>
      </c>
      <c r="AL709" s="152">
        <f t="shared" si="389"/>
        <v>0</v>
      </c>
      <c r="AM709" s="152">
        <f t="shared" si="389"/>
        <v>0</v>
      </c>
      <c r="AN709" s="152">
        <f t="shared" si="389"/>
        <v>0</v>
      </c>
      <c r="AO709" s="152">
        <f t="shared" si="389"/>
        <v>0</v>
      </c>
      <c r="AP709" s="152">
        <f t="shared" si="389"/>
        <v>0</v>
      </c>
    </row>
    <row r="710" spans="1:42" x14ac:dyDescent="0.2">
      <c r="A710" s="4">
        <f t="shared" si="387"/>
        <v>5</v>
      </c>
      <c r="B710" s="170">
        <f t="shared" si="384"/>
        <v>0</v>
      </c>
      <c r="C710" s="172">
        <f t="shared" ref="C710:AP710" si="390">IF(AND(C$2&gt;equip1_reserve_freq*$A697,C$2&lt;=equip1_reserve_freq*$A698),$B698/(equip1_reserve_freq),0)</f>
        <v>0</v>
      </c>
      <c r="D710" s="152">
        <f t="shared" si="390"/>
        <v>0</v>
      </c>
      <c r="E710" s="152">
        <f t="shared" si="390"/>
        <v>0</v>
      </c>
      <c r="F710" s="152">
        <f t="shared" si="390"/>
        <v>0</v>
      </c>
      <c r="G710" s="152">
        <f t="shared" si="390"/>
        <v>0</v>
      </c>
      <c r="H710" s="152">
        <f t="shared" si="390"/>
        <v>0</v>
      </c>
      <c r="I710" s="152">
        <f t="shared" si="390"/>
        <v>0</v>
      </c>
      <c r="J710" s="152">
        <f t="shared" si="390"/>
        <v>0</v>
      </c>
      <c r="K710" s="152">
        <f t="shared" si="390"/>
        <v>0</v>
      </c>
      <c r="L710" s="152">
        <f t="shared" si="390"/>
        <v>0</v>
      </c>
      <c r="M710" s="152">
        <f t="shared" si="390"/>
        <v>0</v>
      </c>
      <c r="N710" s="152">
        <f t="shared" si="390"/>
        <v>0</v>
      </c>
      <c r="O710" s="152">
        <f t="shared" si="390"/>
        <v>0</v>
      </c>
      <c r="P710" s="152">
        <f t="shared" si="390"/>
        <v>0</v>
      </c>
      <c r="Q710" s="152">
        <f t="shared" si="390"/>
        <v>0</v>
      </c>
      <c r="R710" s="152">
        <f t="shared" si="390"/>
        <v>0</v>
      </c>
      <c r="S710" s="152">
        <f t="shared" si="390"/>
        <v>0</v>
      </c>
      <c r="T710" s="152">
        <f t="shared" si="390"/>
        <v>0</v>
      </c>
      <c r="U710" s="152">
        <f t="shared" si="390"/>
        <v>0</v>
      </c>
      <c r="V710" s="152">
        <f t="shared" si="390"/>
        <v>0</v>
      </c>
      <c r="W710" s="152">
        <f t="shared" si="390"/>
        <v>0</v>
      </c>
      <c r="X710" s="152">
        <f t="shared" si="390"/>
        <v>0</v>
      </c>
      <c r="Y710" s="152">
        <f t="shared" si="390"/>
        <v>0</v>
      </c>
      <c r="Z710" s="152">
        <f t="shared" si="390"/>
        <v>0</v>
      </c>
      <c r="AA710" s="152">
        <f t="shared" si="390"/>
        <v>0</v>
      </c>
      <c r="AB710" s="152">
        <f t="shared" si="390"/>
        <v>0</v>
      </c>
      <c r="AC710" s="152">
        <f t="shared" si="390"/>
        <v>0</v>
      </c>
      <c r="AD710" s="152">
        <f t="shared" si="390"/>
        <v>0</v>
      </c>
      <c r="AE710" s="152">
        <f t="shared" si="390"/>
        <v>0</v>
      </c>
      <c r="AF710" s="152">
        <f t="shared" si="390"/>
        <v>0</v>
      </c>
      <c r="AG710" s="152">
        <f t="shared" si="390"/>
        <v>0</v>
      </c>
      <c r="AH710" s="152">
        <f t="shared" si="390"/>
        <v>0</v>
      </c>
      <c r="AI710" s="152">
        <f t="shared" si="390"/>
        <v>0</v>
      </c>
      <c r="AJ710" s="152">
        <f t="shared" si="390"/>
        <v>0</v>
      </c>
      <c r="AK710" s="152">
        <f t="shared" si="390"/>
        <v>0</v>
      </c>
      <c r="AL710" s="152">
        <f t="shared" si="390"/>
        <v>0</v>
      </c>
      <c r="AM710" s="152">
        <f t="shared" si="390"/>
        <v>0</v>
      </c>
      <c r="AN710" s="152">
        <f t="shared" si="390"/>
        <v>0</v>
      </c>
      <c r="AO710" s="152">
        <f t="shared" si="390"/>
        <v>0</v>
      </c>
      <c r="AP710" s="152">
        <f t="shared" si="390"/>
        <v>0</v>
      </c>
    </row>
    <row r="711" spans="1:42" x14ac:dyDescent="0.2">
      <c r="A711" s="4">
        <f t="shared" si="387"/>
        <v>6</v>
      </c>
      <c r="B711" s="170">
        <f t="shared" si="384"/>
        <v>0</v>
      </c>
      <c r="C711" s="172">
        <f t="shared" ref="C711:AP711" si="391">IF(AND(C$2&gt;equip1_reserve_freq*$A698,C$2&lt;=equip1_reserve_freq*$A699),$B699/(equip1_reserve_freq),0)</f>
        <v>0</v>
      </c>
      <c r="D711" s="152">
        <f t="shared" si="391"/>
        <v>0</v>
      </c>
      <c r="E711" s="152">
        <f t="shared" si="391"/>
        <v>0</v>
      </c>
      <c r="F711" s="152">
        <f t="shared" si="391"/>
        <v>0</v>
      </c>
      <c r="G711" s="152">
        <f t="shared" si="391"/>
        <v>0</v>
      </c>
      <c r="H711" s="152">
        <f t="shared" si="391"/>
        <v>0</v>
      </c>
      <c r="I711" s="152">
        <f t="shared" si="391"/>
        <v>0</v>
      </c>
      <c r="J711" s="152">
        <f t="shared" si="391"/>
        <v>0</v>
      </c>
      <c r="K711" s="152">
        <f t="shared" si="391"/>
        <v>0</v>
      </c>
      <c r="L711" s="152">
        <f t="shared" si="391"/>
        <v>0</v>
      </c>
      <c r="M711" s="152">
        <f t="shared" si="391"/>
        <v>0</v>
      </c>
      <c r="N711" s="152">
        <f t="shared" si="391"/>
        <v>0</v>
      </c>
      <c r="O711" s="152">
        <f t="shared" si="391"/>
        <v>0</v>
      </c>
      <c r="P711" s="152">
        <f t="shared" si="391"/>
        <v>0</v>
      </c>
      <c r="Q711" s="152">
        <f t="shared" si="391"/>
        <v>0</v>
      </c>
      <c r="R711" s="152">
        <f t="shared" si="391"/>
        <v>0</v>
      </c>
      <c r="S711" s="152">
        <f t="shared" si="391"/>
        <v>0</v>
      </c>
      <c r="T711" s="152">
        <f t="shared" si="391"/>
        <v>0</v>
      </c>
      <c r="U711" s="152">
        <f t="shared" si="391"/>
        <v>0</v>
      </c>
      <c r="V711" s="152">
        <f t="shared" si="391"/>
        <v>0</v>
      </c>
      <c r="W711" s="152">
        <f t="shared" si="391"/>
        <v>0</v>
      </c>
      <c r="X711" s="152">
        <f t="shared" si="391"/>
        <v>0</v>
      </c>
      <c r="Y711" s="152">
        <f t="shared" si="391"/>
        <v>0</v>
      </c>
      <c r="Z711" s="152">
        <f t="shared" si="391"/>
        <v>0</v>
      </c>
      <c r="AA711" s="152">
        <f t="shared" si="391"/>
        <v>0</v>
      </c>
      <c r="AB711" s="152">
        <f t="shared" si="391"/>
        <v>0</v>
      </c>
      <c r="AC711" s="152">
        <f t="shared" si="391"/>
        <v>0</v>
      </c>
      <c r="AD711" s="152">
        <f t="shared" si="391"/>
        <v>0</v>
      </c>
      <c r="AE711" s="152">
        <f t="shared" si="391"/>
        <v>0</v>
      </c>
      <c r="AF711" s="152">
        <f t="shared" si="391"/>
        <v>0</v>
      </c>
      <c r="AG711" s="152">
        <f t="shared" si="391"/>
        <v>0</v>
      </c>
      <c r="AH711" s="152">
        <f t="shared" si="391"/>
        <v>0</v>
      </c>
      <c r="AI711" s="152">
        <f t="shared" si="391"/>
        <v>0</v>
      </c>
      <c r="AJ711" s="152">
        <f t="shared" si="391"/>
        <v>0</v>
      </c>
      <c r="AK711" s="152">
        <f t="shared" si="391"/>
        <v>0</v>
      </c>
      <c r="AL711" s="152">
        <f t="shared" si="391"/>
        <v>0</v>
      </c>
      <c r="AM711" s="152">
        <f t="shared" si="391"/>
        <v>0</v>
      </c>
      <c r="AN711" s="152">
        <f t="shared" si="391"/>
        <v>0</v>
      </c>
      <c r="AO711" s="152">
        <f t="shared" si="391"/>
        <v>0</v>
      </c>
      <c r="AP711" s="152">
        <f t="shared" si="391"/>
        <v>0</v>
      </c>
    </row>
    <row r="712" spans="1:42" x14ac:dyDescent="0.2">
      <c r="A712" s="4">
        <f t="shared" si="387"/>
        <v>7</v>
      </c>
      <c r="B712" s="170">
        <f t="shared" si="384"/>
        <v>0</v>
      </c>
      <c r="C712" s="172">
        <f t="shared" ref="C712:AP712" si="392">IF(AND(C$2&gt;equip1_reserve_freq*$A699,C$2&lt;=equip1_reserve_freq*$A700),$B700/(equip1_reserve_freq),0)</f>
        <v>0</v>
      </c>
      <c r="D712" s="152">
        <f t="shared" si="392"/>
        <v>0</v>
      </c>
      <c r="E712" s="152">
        <f t="shared" si="392"/>
        <v>0</v>
      </c>
      <c r="F712" s="152">
        <f t="shared" si="392"/>
        <v>0</v>
      </c>
      <c r="G712" s="152">
        <f t="shared" si="392"/>
        <v>0</v>
      </c>
      <c r="H712" s="152">
        <f t="shared" si="392"/>
        <v>0</v>
      </c>
      <c r="I712" s="152">
        <f t="shared" si="392"/>
        <v>0</v>
      </c>
      <c r="J712" s="152">
        <f t="shared" si="392"/>
        <v>0</v>
      </c>
      <c r="K712" s="152">
        <f t="shared" si="392"/>
        <v>0</v>
      </c>
      <c r="L712" s="152">
        <f t="shared" si="392"/>
        <v>0</v>
      </c>
      <c r="M712" s="152">
        <f t="shared" si="392"/>
        <v>0</v>
      </c>
      <c r="N712" s="152">
        <f t="shared" si="392"/>
        <v>0</v>
      </c>
      <c r="O712" s="152">
        <f t="shared" si="392"/>
        <v>0</v>
      </c>
      <c r="P712" s="152">
        <f t="shared" si="392"/>
        <v>0</v>
      </c>
      <c r="Q712" s="152">
        <f t="shared" si="392"/>
        <v>0</v>
      </c>
      <c r="R712" s="152">
        <f t="shared" si="392"/>
        <v>0</v>
      </c>
      <c r="S712" s="152">
        <f t="shared" si="392"/>
        <v>0</v>
      </c>
      <c r="T712" s="152">
        <f t="shared" si="392"/>
        <v>0</v>
      </c>
      <c r="U712" s="152">
        <f t="shared" si="392"/>
        <v>0</v>
      </c>
      <c r="V712" s="152">
        <f t="shared" si="392"/>
        <v>0</v>
      </c>
      <c r="W712" s="152">
        <f t="shared" si="392"/>
        <v>0</v>
      </c>
      <c r="X712" s="152">
        <f t="shared" si="392"/>
        <v>0</v>
      </c>
      <c r="Y712" s="152">
        <f t="shared" si="392"/>
        <v>0</v>
      </c>
      <c r="Z712" s="152">
        <f t="shared" si="392"/>
        <v>0</v>
      </c>
      <c r="AA712" s="152">
        <f t="shared" si="392"/>
        <v>0</v>
      </c>
      <c r="AB712" s="152">
        <f t="shared" si="392"/>
        <v>0</v>
      </c>
      <c r="AC712" s="152">
        <f t="shared" si="392"/>
        <v>0</v>
      </c>
      <c r="AD712" s="152">
        <f t="shared" si="392"/>
        <v>0</v>
      </c>
      <c r="AE712" s="152">
        <f t="shared" si="392"/>
        <v>0</v>
      </c>
      <c r="AF712" s="152">
        <f t="shared" si="392"/>
        <v>0</v>
      </c>
      <c r="AG712" s="152">
        <f t="shared" si="392"/>
        <v>0</v>
      </c>
      <c r="AH712" s="152">
        <f t="shared" si="392"/>
        <v>0</v>
      </c>
      <c r="AI712" s="152">
        <f t="shared" si="392"/>
        <v>0</v>
      </c>
      <c r="AJ712" s="152">
        <f t="shared" si="392"/>
        <v>0</v>
      </c>
      <c r="AK712" s="152">
        <f t="shared" si="392"/>
        <v>0</v>
      </c>
      <c r="AL712" s="152">
        <f t="shared" si="392"/>
        <v>0</v>
      </c>
      <c r="AM712" s="152">
        <f t="shared" si="392"/>
        <v>0</v>
      </c>
      <c r="AN712" s="152">
        <f t="shared" si="392"/>
        <v>0</v>
      </c>
      <c r="AO712" s="152">
        <f t="shared" si="392"/>
        <v>0</v>
      </c>
      <c r="AP712" s="152">
        <f t="shared" si="392"/>
        <v>0</v>
      </c>
    </row>
    <row r="713" spans="1:42" x14ac:dyDescent="0.2">
      <c r="A713" s="4">
        <f t="shared" si="387"/>
        <v>8</v>
      </c>
      <c r="B713" s="170">
        <f t="shared" si="384"/>
        <v>0</v>
      </c>
      <c r="C713" s="172">
        <f t="shared" ref="C713:AP713" si="393">IF(AND(C$2&gt;equip1_reserve_freq*$A700,C$2&lt;=equip1_reserve_freq*$A701),$B701/(equip1_reserve_freq),0)</f>
        <v>0</v>
      </c>
      <c r="D713" s="152">
        <f t="shared" si="393"/>
        <v>0</v>
      </c>
      <c r="E713" s="152">
        <f t="shared" si="393"/>
        <v>0</v>
      </c>
      <c r="F713" s="152">
        <f t="shared" si="393"/>
        <v>0</v>
      </c>
      <c r="G713" s="152">
        <f t="shared" si="393"/>
        <v>0</v>
      </c>
      <c r="H713" s="152">
        <f t="shared" si="393"/>
        <v>0</v>
      </c>
      <c r="I713" s="152">
        <f t="shared" si="393"/>
        <v>0</v>
      </c>
      <c r="J713" s="152">
        <f t="shared" si="393"/>
        <v>0</v>
      </c>
      <c r="K713" s="152">
        <f t="shared" si="393"/>
        <v>0</v>
      </c>
      <c r="L713" s="152">
        <f t="shared" si="393"/>
        <v>0</v>
      </c>
      <c r="M713" s="152">
        <f t="shared" si="393"/>
        <v>0</v>
      </c>
      <c r="N713" s="152">
        <f t="shared" si="393"/>
        <v>0</v>
      </c>
      <c r="O713" s="152">
        <f t="shared" si="393"/>
        <v>0</v>
      </c>
      <c r="P713" s="152">
        <f t="shared" si="393"/>
        <v>0</v>
      </c>
      <c r="Q713" s="152">
        <f t="shared" si="393"/>
        <v>0</v>
      </c>
      <c r="R713" s="152">
        <f t="shared" si="393"/>
        <v>0</v>
      </c>
      <c r="S713" s="152">
        <f t="shared" si="393"/>
        <v>0</v>
      </c>
      <c r="T713" s="152">
        <f t="shared" si="393"/>
        <v>0</v>
      </c>
      <c r="U713" s="152">
        <f t="shared" si="393"/>
        <v>0</v>
      </c>
      <c r="V713" s="152">
        <f t="shared" si="393"/>
        <v>0</v>
      </c>
      <c r="W713" s="152">
        <f t="shared" si="393"/>
        <v>0</v>
      </c>
      <c r="X713" s="152">
        <f t="shared" si="393"/>
        <v>0</v>
      </c>
      <c r="Y713" s="152">
        <f t="shared" si="393"/>
        <v>0</v>
      </c>
      <c r="Z713" s="152">
        <f t="shared" si="393"/>
        <v>0</v>
      </c>
      <c r="AA713" s="152">
        <f t="shared" si="393"/>
        <v>0</v>
      </c>
      <c r="AB713" s="152">
        <f t="shared" si="393"/>
        <v>0</v>
      </c>
      <c r="AC713" s="152">
        <f t="shared" si="393"/>
        <v>0</v>
      </c>
      <c r="AD713" s="152">
        <f t="shared" si="393"/>
        <v>0</v>
      </c>
      <c r="AE713" s="152">
        <f t="shared" si="393"/>
        <v>0</v>
      </c>
      <c r="AF713" s="152">
        <f t="shared" si="393"/>
        <v>0</v>
      </c>
      <c r="AG713" s="152">
        <f t="shared" si="393"/>
        <v>0</v>
      </c>
      <c r="AH713" s="152">
        <f t="shared" si="393"/>
        <v>0</v>
      </c>
      <c r="AI713" s="152">
        <f t="shared" si="393"/>
        <v>0</v>
      </c>
      <c r="AJ713" s="152">
        <f t="shared" si="393"/>
        <v>0</v>
      </c>
      <c r="AK713" s="152">
        <f t="shared" si="393"/>
        <v>0</v>
      </c>
      <c r="AL713" s="152">
        <f t="shared" si="393"/>
        <v>0</v>
      </c>
      <c r="AM713" s="152">
        <f t="shared" si="393"/>
        <v>0</v>
      </c>
      <c r="AN713" s="152">
        <f t="shared" si="393"/>
        <v>0</v>
      </c>
      <c r="AO713" s="152">
        <f t="shared" si="393"/>
        <v>0</v>
      </c>
      <c r="AP713" s="152">
        <f t="shared" si="393"/>
        <v>0</v>
      </c>
    </row>
    <row r="714" spans="1:42" x14ac:dyDescent="0.2">
      <c r="A714" s="4">
        <f>A713+1</f>
        <v>9</v>
      </c>
      <c r="B714" s="170">
        <f t="shared" si="384"/>
        <v>0</v>
      </c>
      <c r="C714" s="172">
        <f t="shared" ref="C714:AP714" si="394">IF(AND(C$2&gt;equip1_reserve_freq*$A701,C$2&lt;=equip1_reserve_freq*$A702),$B702/(equip1_reserve_freq),0)</f>
        <v>0</v>
      </c>
      <c r="D714" s="152">
        <f t="shared" si="394"/>
        <v>0</v>
      </c>
      <c r="E714" s="152">
        <f t="shared" si="394"/>
        <v>0</v>
      </c>
      <c r="F714" s="152">
        <f t="shared" si="394"/>
        <v>0</v>
      </c>
      <c r="G714" s="152">
        <f t="shared" si="394"/>
        <v>0</v>
      </c>
      <c r="H714" s="152">
        <f t="shared" si="394"/>
        <v>0</v>
      </c>
      <c r="I714" s="152">
        <f t="shared" si="394"/>
        <v>0</v>
      </c>
      <c r="J714" s="152">
        <f t="shared" si="394"/>
        <v>0</v>
      </c>
      <c r="K714" s="152">
        <f t="shared" si="394"/>
        <v>0</v>
      </c>
      <c r="L714" s="152">
        <f t="shared" si="394"/>
        <v>0</v>
      </c>
      <c r="M714" s="152">
        <f t="shared" si="394"/>
        <v>0</v>
      </c>
      <c r="N714" s="152">
        <f t="shared" si="394"/>
        <v>0</v>
      </c>
      <c r="O714" s="152">
        <f t="shared" si="394"/>
        <v>0</v>
      </c>
      <c r="P714" s="152">
        <f t="shared" si="394"/>
        <v>0</v>
      </c>
      <c r="Q714" s="152">
        <f t="shared" si="394"/>
        <v>0</v>
      </c>
      <c r="R714" s="152">
        <f t="shared" si="394"/>
        <v>0</v>
      </c>
      <c r="S714" s="152">
        <f t="shared" si="394"/>
        <v>0</v>
      </c>
      <c r="T714" s="152">
        <f t="shared" si="394"/>
        <v>0</v>
      </c>
      <c r="U714" s="152">
        <f t="shared" si="394"/>
        <v>0</v>
      </c>
      <c r="V714" s="152">
        <f t="shared" si="394"/>
        <v>0</v>
      </c>
      <c r="W714" s="152">
        <f t="shared" si="394"/>
        <v>0</v>
      </c>
      <c r="X714" s="152">
        <f t="shared" si="394"/>
        <v>0</v>
      </c>
      <c r="Y714" s="152">
        <f t="shared" si="394"/>
        <v>0</v>
      </c>
      <c r="Z714" s="152">
        <f t="shared" si="394"/>
        <v>0</v>
      </c>
      <c r="AA714" s="152">
        <f t="shared" si="394"/>
        <v>0</v>
      </c>
      <c r="AB714" s="152">
        <f t="shared" si="394"/>
        <v>0</v>
      </c>
      <c r="AC714" s="152">
        <f t="shared" si="394"/>
        <v>0</v>
      </c>
      <c r="AD714" s="152">
        <f t="shared" si="394"/>
        <v>0</v>
      </c>
      <c r="AE714" s="152">
        <f t="shared" si="394"/>
        <v>0</v>
      </c>
      <c r="AF714" s="152">
        <f t="shared" si="394"/>
        <v>0</v>
      </c>
      <c r="AG714" s="152">
        <f t="shared" si="394"/>
        <v>0</v>
      </c>
      <c r="AH714" s="152">
        <f t="shared" si="394"/>
        <v>0</v>
      </c>
      <c r="AI714" s="152">
        <f t="shared" si="394"/>
        <v>0</v>
      </c>
      <c r="AJ714" s="152">
        <f t="shared" si="394"/>
        <v>0</v>
      </c>
      <c r="AK714" s="152">
        <f t="shared" si="394"/>
        <v>0</v>
      </c>
      <c r="AL714" s="152">
        <f t="shared" si="394"/>
        <v>0</v>
      </c>
      <c r="AM714" s="152">
        <f t="shared" si="394"/>
        <v>0</v>
      </c>
      <c r="AN714" s="152">
        <f t="shared" si="394"/>
        <v>0</v>
      </c>
      <c r="AO714" s="152">
        <f t="shared" si="394"/>
        <v>0</v>
      </c>
      <c r="AP714" s="152">
        <f t="shared" si="394"/>
        <v>0</v>
      </c>
    </row>
    <row r="715" spans="1:42" x14ac:dyDescent="0.2">
      <c r="A715" s="4">
        <f t="shared" ref="A715" si="395">A714+1</f>
        <v>10</v>
      </c>
      <c r="B715" s="170">
        <f t="shared" si="384"/>
        <v>0</v>
      </c>
      <c r="C715" s="171">
        <f t="shared" ref="C715:AP715" si="396">IF(AND(C$2&gt;equip1_reserve_freq*$A702,C$2&lt;=equip1_reserve_freq*$A703),$B703/(equip1_reserve_freq),0)</f>
        <v>0</v>
      </c>
      <c r="D715" s="153">
        <f t="shared" si="396"/>
        <v>0</v>
      </c>
      <c r="E715" s="153">
        <f t="shared" si="396"/>
        <v>0</v>
      </c>
      <c r="F715" s="153">
        <f t="shared" si="396"/>
        <v>0</v>
      </c>
      <c r="G715" s="153">
        <f t="shared" si="396"/>
        <v>0</v>
      </c>
      <c r="H715" s="153">
        <f t="shared" si="396"/>
        <v>0</v>
      </c>
      <c r="I715" s="153">
        <f t="shared" si="396"/>
        <v>0</v>
      </c>
      <c r="J715" s="153">
        <f t="shared" si="396"/>
        <v>0</v>
      </c>
      <c r="K715" s="153">
        <f t="shared" si="396"/>
        <v>0</v>
      </c>
      <c r="L715" s="153">
        <f t="shared" si="396"/>
        <v>0</v>
      </c>
      <c r="M715" s="153">
        <f t="shared" si="396"/>
        <v>0</v>
      </c>
      <c r="N715" s="153">
        <f t="shared" si="396"/>
        <v>0</v>
      </c>
      <c r="O715" s="153">
        <f t="shared" si="396"/>
        <v>0</v>
      </c>
      <c r="P715" s="153">
        <f t="shared" si="396"/>
        <v>0</v>
      </c>
      <c r="Q715" s="153">
        <f t="shared" si="396"/>
        <v>0</v>
      </c>
      <c r="R715" s="153">
        <f t="shared" si="396"/>
        <v>0</v>
      </c>
      <c r="S715" s="153">
        <f t="shared" si="396"/>
        <v>0</v>
      </c>
      <c r="T715" s="153">
        <f t="shared" si="396"/>
        <v>0</v>
      </c>
      <c r="U715" s="153">
        <f t="shared" si="396"/>
        <v>0</v>
      </c>
      <c r="V715" s="153">
        <f t="shared" si="396"/>
        <v>0</v>
      </c>
      <c r="W715" s="153">
        <f t="shared" si="396"/>
        <v>0</v>
      </c>
      <c r="X715" s="153">
        <f t="shared" si="396"/>
        <v>0</v>
      </c>
      <c r="Y715" s="153">
        <f t="shared" si="396"/>
        <v>0</v>
      </c>
      <c r="Z715" s="153">
        <f t="shared" si="396"/>
        <v>0</v>
      </c>
      <c r="AA715" s="153">
        <f t="shared" si="396"/>
        <v>0</v>
      </c>
      <c r="AB715" s="153">
        <f t="shared" si="396"/>
        <v>0</v>
      </c>
      <c r="AC715" s="153">
        <f t="shared" si="396"/>
        <v>0</v>
      </c>
      <c r="AD715" s="153">
        <f t="shared" si="396"/>
        <v>0</v>
      </c>
      <c r="AE715" s="153">
        <f t="shared" si="396"/>
        <v>0</v>
      </c>
      <c r="AF715" s="153">
        <f t="shared" si="396"/>
        <v>0</v>
      </c>
      <c r="AG715" s="153">
        <f t="shared" si="396"/>
        <v>0</v>
      </c>
      <c r="AH715" s="153">
        <f t="shared" si="396"/>
        <v>0</v>
      </c>
      <c r="AI715" s="153">
        <f t="shared" si="396"/>
        <v>0</v>
      </c>
      <c r="AJ715" s="153">
        <f t="shared" si="396"/>
        <v>0</v>
      </c>
      <c r="AK715" s="153">
        <f t="shared" si="396"/>
        <v>0</v>
      </c>
      <c r="AL715" s="153">
        <f t="shared" si="396"/>
        <v>0</v>
      </c>
      <c r="AM715" s="153">
        <f t="shared" si="396"/>
        <v>0</v>
      </c>
      <c r="AN715" s="153">
        <f t="shared" si="396"/>
        <v>0</v>
      </c>
      <c r="AO715" s="153">
        <f t="shared" si="396"/>
        <v>0</v>
      </c>
      <c r="AP715" s="153">
        <f t="shared" si="396"/>
        <v>0</v>
      </c>
    </row>
    <row r="716" spans="1:42" x14ac:dyDescent="0.2">
      <c r="A716" s="24" t="s">
        <v>13</v>
      </c>
      <c r="B716" s="14"/>
      <c r="C716" s="14">
        <f>SUM(C706:C715)</f>
        <v>0</v>
      </c>
      <c r="D716" s="14">
        <f t="shared" ref="D716:AP716" si="397">SUM(D706:D715)</f>
        <v>0</v>
      </c>
      <c r="E716" s="14">
        <f t="shared" si="397"/>
        <v>0</v>
      </c>
      <c r="F716" s="14">
        <f t="shared" si="397"/>
        <v>0</v>
      </c>
      <c r="G716" s="14">
        <f t="shared" si="397"/>
        <v>0</v>
      </c>
      <c r="H716" s="14">
        <f t="shared" si="397"/>
        <v>0</v>
      </c>
      <c r="I716" s="14">
        <f t="shared" si="397"/>
        <v>0</v>
      </c>
      <c r="J716" s="14">
        <f t="shared" si="397"/>
        <v>0</v>
      </c>
      <c r="K716" s="14">
        <f t="shared" si="397"/>
        <v>0</v>
      </c>
      <c r="L716" s="14">
        <f t="shared" si="397"/>
        <v>0</v>
      </c>
      <c r="M716" s="14">
        <f t="shared" si="397"/>
        <v>0</v>
      </c>
      <c r="N716" s="14">
        <f t="shared" si="397"/>
        <v>0</v>
      </c>
      <c r="O716" s="14">
        <f t="shared" si="397"/>
        <v>0</v>
      </c>
      <c r="P716" s="14">
        <f t="shared" si="397"/>
        <v>0</v>
      </c>
      <c r="Q716" s="14">
        <f t="shared" si="397"/>
        <v>0</v>
      </c>
      <c r="R716" s="14">
        <f t="shared" si="397"/>
        <v>0</v>
      </c>
      <c r="S716" s="14">
        <f t="shared" si="397"/>
        <v>0</v>
      </c>
      <c r="T716" s="14">
        <f t="shared" si="397"/>
        <v>0</v>
      </c>
      <c r="U716" s="14">
        <f t="shared" si="397"/>
        <v>0</v>
      </c>
      <c r="V716" s="14">
        <f t="shared" si="397"/>
        <v>0</v>
      </c>
      <c r="W716" s="14">
        <f t="shared" si="397"/>
        <v>0</v>
      </c>
      <c r="X716" s="14">
        <f t="shared" si="397"/>
        <v>0</v>
      </c>
      <c r="Y716" s="14">
        <f t="shared" si="397"/>
        <v>0</v>
      </c>
      <c r="Z716" s="14">
        <f t="shared" si="397"/>
        <v>0</v>
      </c>
      <c r="AA716" s="14">
        <f t="shared" si="397"/>
        <v>0</v>
      </c>
      <c r="AB716" s="14">
        <f t="shared" si="397"/>
        <v>0</v>
      </c>
      <c r="AC716" s="14">
        <f t="shared" si="397"/>
        <v>0</v>
      </c>
      <c r="AD716" s="14">
        <f t="shared" si="397"/>
        <v>0</v>
      </c>
      <c r="AE716" s="14">
        <f t="shared" si="397"/>
        <v>0</v>
      </c>
      <c r="AF716" s="14">
        <f t="shared" si="397"/>
        <v>0</v>
      </c>
      <c r="AG716" s="14">
        <f t="shared" si="397"/>
        <v>0</v>
      </c>
      <c r="AH716" s="14">
        <f t="shared" si="397"/>
        <v>0</v>
      </c>
      <c r="AI716" s="14">
        <f t="shared" si="397"/>
        <v>0</v>
      </c>
      <c r="AJ716" s="14">
        <f t="shared" si="397"/>
        <v>0</v>
      </c>
      <c r="AK716" s="14">
        <f t="shared" si="397"/>
        <v>0</v>
      </c>
      <c r="AL716" s="14">
        <f t="shared" si="397"/>
        <v>0</v>
      </c>
      <c r="AM716" s="14">
        <f t="shared" si="397"/>
        <v>0</v>
      </c>
      <c r="AN716" s="14">
        <f t="shared" si="397"/>
        <v>0</v>
      </c>
      <c r="AO716" s="14">
        <f t="shared" si="397"/>
        <v>0</v>
      </c>
      <c r="AP716" s="14">
        <f t="shared" si="397"/>
        <v>0</v>
      </c>
    </row>
    <row r="717" spans="1:42" x14ac:dyDescent="0.2">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row>
    <row r="718" spans="1:42" x14ac:dyDescent="0.2">
      <c r="A718" s="19" t="s">
        <v>284</v>
      </c>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row>
    <row r="719" spans="1:42" x14ac:dyDescent="0.2">
      <c r="A719" s="4" t="s">
        <v>276</v>
      </c>
      <c r="B719" s="152">
        <v>0</v>
      </c>
      <c r="C719" s="152">
        <f>B722</f>
        <v>0</v>
      </c>
      <c r="D719" s="152">
        <f t="shared" ref="D719:AP719" si="398">C722</f>
        <v>0</v>
      </c>
      <c r="E719" s="152">
        <f t="shared" si="398"/>
        <v>0</v>
      </c>
      <c r="F719" s="152">
        <f t="shared" si="398"/>
        <v>0</v>
      </c>
      <c r="G719" s="152">
        <f t="shared" si="398"/>
        <v>0</v>
      </c>
      <c r="H719" s="152">
        <f t="shared" si="398"/>
        <v>0</v>
      </c>
      <c r="I719" s="152">
        <f t="shared" si="398"/>
        <v>0</v>
      </c>
      <c r="J719" s="152">
        <f t="shared" si="398"/>
        <v>0</v>
      </c>
      <c r="K719" s="152">
        <f t="shared" si="398"/>
        <v>0</v>
      </c>
      <c r="L719" s="152">
        <f t="shared" si="398"/>
        <v>0</v>
      </c>
      <c r="M719" s="152">
        <f t="shared" si="398"/>
        <v>0</v>
      </c>
      <c r="N719" s="152">
        <f t="shared" si="398"/>
        <v>0</v>
      </c>
      <c r="O719" s="152">
        <f t="shared" si="398"/>
        <v>0</v>
      </c>
      <c r="P719" s="152">
        <f t="shared" si="398"/>
        <v>0</v>
      </c>
      <c r="Q719" s="152">
        <f t="shared" si="398"/>
        <v>0</v>
      </c>
      <c r="R719" s="152">
        <f t="shared" si="398"/>
        <v>0</v>
      </c>
      <c r="S719" s="152">
        <f t="shared" si="398"/>
        <v>0</v>
      </c>
      <c r="T719" s="152">
        <f t="shared" si="398"/>
        <v>0</v>
      </c>
      <c r="U719" s="152">
        <f t="shared" si="398"/>
        <v>0</v>
      </c>
      <c r="V719" s="152">
        <f t="shared" si="398"/>
        <v>0</v>
      </c>
      <c r="W719" s="152">
        <f t="shared" si="398"/>
        <v>0</v>
      </c>
      <c r="X719" s="152">
        <f t="shared" si="398"/>
        <v>0</v>
      </c>
      <c r="Y719" s="152">
        <f t="shared" si="398"/>
        <v>0</v>
      </c>
      <c r="Z719" s="152">
        <f t="shared" si="398"/>
        <v>0</v>
      </c>
      <c r="AA719" s="152">
        <f t="shared" si="398"/>
        <v>0</v>
      </c>
      <c r="AB719" s="152">
        <f t="shared" si="398"/>
        <v>0</v>
      </c>
      <c r="AC719" s="152">
        <f t="shared" si="398"/>
        <v>0</v>
      </c>
      <c r="AD719" s="152">
        <f t="shared" si="398"/>
        <v>0</v>
      </c>
      <c r="AE719" s="152">
        <f t="shared" si="398"/>
        <v>0</v>
      </c>
      <c r="AF719" s="152">
        <f t="shared" si="398"/>
        <v>0</v>
      </c>
      <c r="AG719" s="152">
        <f t="shared" si="398"/>
        <v>0</v>
      </c>
      <c r="AH719" s="152">
        <f t="shared" si="398"/>
        <v>0</v>
      </c>
      <c r="AI719" s="152">
        <f t="shared" si="398"/>
        <v>0</v>
      </c>
      <c r="AJ719" s="152">
        <f t="shared" si="398"/>
        <v>0</v>
      </c>
      <c r="AK719" s="152">
        <f t="shared" si="398"/>
        <v>0</v>
      </c>
      <c r="AL719" s="152">
        <f t="shared" si="398"/>
        <v>0</v>
      </c>
      <c r="AM719" s="152">
        <f t="shared" si="398"/>
        <v>0</v>
      </c>
      <c r="AN719" s="152">
        <f t="shared" si="398"/>
        <v>0</v>
      </c>
      <c r="AO719" s="152">
        <f t="shared" si="398"/>
        <v>0</v>
      </c>
      <c r="AP719" s="152">
        <f t="shared" si="398"/>
        <v>0</v>
      </c>
    </row>
    <row r="720" spans="1:42" x14ac:dyDescent="0.2">
      <c r="A720" s="4" t="s">
        <v>61</v>
      </c>
      <c r="B720" s="152">
        <v>0</v>
      </c>
      <c r="C720" s="152">
        <f>C748</f>
        <v>0</v>
      </c>
      <c r="D720" s="152">
        <f t="shared" ref="D720:AP720" si="399">D748</f>
        <v>0</v>
      </c>
      <c r="E720" s="152">
        <f t="shared" si="399"/>
        <v>0</v>
      </c>
      <c r="F720" s="152">
        <f t="shared" si="399"/>
        <v>0</v>
      </c>
      <c r="G720" s="152">
        <f t="shared" si="399"/>
        <v>0</v>
      </c>
      <c r="H720" s="152">
        <f t="shared" si="399"/>
        <v>0</v>
      </c>
      <c r="I720" s="152">
        <f t="shared" si="399"/>
        <v>0</v>
      </c>
      <c r="J720" s="152">
        <f t="shared" si="399"/>
        <v>0</v>
      </c>
      <c r="K720" s="152">
        <f t="shared" si="399"/>
        <v>0</v>
      </c>
      <c r="L720" s="152">
        <f t="shared" si="399"/>
        <v>0</v>
      </c>
      <c r="M720" s="152">
        <f t="shared" si="399"/>
        <v>0</v>
      </c>
      <c r="N720" s="152">
        <f t="shared" si="399"/>
        <v>0</v>
      </c>
      <c r="O720" s="152">
        <f t="shared" si="399"/>
        <v>0</v>
      </c>
      <c r="P720" s="152">
        <f t="shared" si="399"/>
        <v>0</v>
      </c>
      <c r="Q720" s="152">
        <f t="shared" si="399"/>
        <v>0</v>
      </c>
      <c r="R720" s="152">
        <f t="shared" si="399"/>
        <v>0</v>
      </c>
      <c r="S720" s="152">
        <f t="shared" si="399"/>
        <v>0</v>
      </c>
      <c r="T720" s="152">
        <f t="shared" si="399"/>
        <v>0</v>
      </c>
      <c r="U720" s="152">
        <f t="shared" si="399"/>
        <v>0</v>
      </c>
      <c r="V720" s="152">
        <f t="shared" si="399"/>
        <v>0</v>
      </c>
      <c r="W720" s="152">
        <f t="shared" si="399"/>
        <v>0</v>
      </c>
      <c r="X720" s="152">
        <f t="shared" si="399"/>
        <v>0</v>
      </c>
      <c r="Y720" s="152">
        <f t="shared" si="399"/>
        <v>0</v>
      </c>
      <c r="Z720" s="152">
        <f t="shared" si="399"/>
        <v>0</v>
      </c>
      <c r="AA720" s="152">
        <f t="shared" si="399"/>
        <v>0</v>
      </c>
      <c r="AB720" s="152">
        <f t="shared" si="399"/>
        <v>0</v>
      </c>
      <c r="AC720" s="152">
        <f t="shared" si="399"/>
        <v>0</v>
      </c>
      <c r="AD720" s="152">
        <f t="shared" si="399"/>
        <v>0</v>
      </c>
      <c r="AE720" s="152">
        <f t="shared" si="399"/>
        <v>0</v>
      </c>
      <c r="AF720" s="152">
        <f t="shared" si="399"/>
        <v>0</v>
      </c>
      <c r="AG720" s="152">
        <f t="shared" si="399"/>
        <v>0</v>
      </c>
      <c r="AH720" s="152">
        <f t="shared" si="399"/>
        <v>0</v>
      </c>
      <c r="AI720" s="152">
        <f t="shared" si="399"/>
        <v>0</v>
      </c>
      <c r="AJ720" s="152">
        <f t="shared" si="399"/>
        <v>0</v>
      </c>
      <c r="AK720" s="152">
        <f t="shared" si="399"/>
        <v>0</v>
      </c>
      <c r="AL720" s="152">
        <f t="shared" si="399"/>
        <v>0</v>
      </c>
      <c r="AM720" s="152">
        <f t="shared" si="399"/>
        <v>0</v>
      </c>
      <c r="AN720" s="152">
        <f t="shared" si="399"/>
        <v>0</v>
      </c>
      <c r="AO720" s="152">
        <f t="shared" si="399"/>
        <v>0</v>
      </c>
      <c r="AP720" s="152">
        <f t="shared" si="399"/>
        <v>0</v>
      </c>
    </row>
    <row r="721" spans="1:42" x14ac:dyDescent="0.2">
      <c r="A721" s="4" t="s">
        <v>277</v>
      </c>
      <c r="B721" s="153">
        <v>0</v>
      </c>
      <c r="C721" s="153">
        <f>-C736</f>
        <v>0</v>
      </c>
      <c r="D721" s="153">
        <f t="shared" ref="D721:AP721" si="400">-D736</f>
        <v>0</v>
      </c>
      <c r="E721" s="153">
        <f t="shared" si="400"/>
        <v>0</v>
      </c>
      <c r="F721" s="153">
        <f t="shared" si="400"/>
        <v>0</v>
      </c>
      <c r="G721" s="153">
        <f t="shared" si="400"/>
        <v>0</v>
      </c>
      <c r="H721" s="153">
        <f t="shared" si="400"/>
        <v>0</v>
      </c>
      <c r="I721" s="153">
        <f t="shared" si="400"/>
        <v>0</v>
      </c>
      <c r="J721" s="153">
        <f t="shared" si="400"/>
        <v>0</v>
      </c>
      <c r="K721" s="153">
        <f t="shared" si="400"/>
        <v>0</v>
      </c>
      <c r="L721" s="153">
        <f t="shared" si="400"/>
        <v>0</v>
      </c>
      <c r="M721" s="153">
        <f t="shared" si="400"/>
        <v>0</v>
      </c>
      <c r="N721" s="153">
        <f t="shared" si="400"/>
        <v>0</v>
      </c>
      <c r="O721" s="153">
        <f t="shared" si="400"/>
        <v>0</v>
      </c>
      <c r="P721" s="153">
        <f t="shared" si="400"/>
        <v>0</v>
      </c>
      <c r="Q721" s="153">
        <f t="shared" si="400"/>
        <v>0</v>
      </c>
      <c r="R721" s="153">
        <f t="shared" si="400"/>
        <v>0</v>
      </c>
      <c r="S721" s="153">
        <f t="shared" si="400"/>
        <v>0</v>
      </c>
      <c r="T721" s="153">
        <f t="shared" si="400"/>
        <v>0</v>
      </c>
      <c r="U721" s="153">
        <f t="shared" si="400"/>
        <v>0</v>
      </c>
      <c r="V721" s="153">
        <f t="shared" si="400"/>
        <v>0</v>
      </c>
      <c r="W721" s="153">
        <f t="shared" si="400"/>
        <v>0</v>
      </c>
      <c r="X721" s="153">
        <f t="shared" si="400"/>
        <v>0</v>
      </c>
      <c r="Y721" s="153">
        <f t="shared" si="400"/>
        <v>0</v>
      </c>
      <c r="Z721" s="153">
        <f t="shared" si="400"/>
        <v>0</v>
      </c>
      <c r="AA721" s="153">
        <f t="shared" si="400"/>
        <v>0</v>
      </c>
      <c r="AB721" s="153">
        <f t="shared" si="400"/>
        <v>0</v>
      </c>
      <c r="AC721" s="153">
        <f t="shared" si="400"/>
        <v>0</v>
      </c>
      <c r="AD721" s="153">
        <f t="shared" si="400"/>
        <v>0</v>
      </c>
      <c r="AE721" s="153">
        <f t="shared" si="400"/>
        <v>0</v>
      </c>
      <c r="AF721" s="153">
        <f t="shared" si="400"/>
        <v>0</v>
      </c>
      <c r="AG721" s="153">
        <f t="shared" si="400"/>
        <v>0</v>
      </c>
      <c r="AH721" s="153">
        <f t="shared" si="400"/>
        <v>0</v>
      </c>
      <c r="AI721" s="153">
        <f t="shared" si="400"/>
        <v>0</v>
      </c>
      <c r="AJ721" s="153">
        <f t="shared" si="400"/>
        <v>0</v>
      </c>
      <c r="AK721" s="153">
        <f t="shared" si="400"/>
        <v>0</v>
      </c>
      <c r="AL721" s="153">
        <f t="shared" si="400"/>
        <v>0</v>
      </c>
      <c r="AM721" s="153">
        <f t="shared" si="400"/>
        <v>0</v>
      </c>
      <c r="AN721" s="153">
        <f t="shared" si="400"/>
        <v>0</v>
      </c>
      <c r="AO721" s="153">
        <f t="shared" si="400"/>
        <v>0</v>
      </c>
      <c r="AP721" s="153">
        <f t="shared" si="400"/>
        <v>0</v>
      </c>
    </row>
    <row r="722" spans="1:42" x14ac:dyDescent="0.2">
      <c r="A722" s="4" t="s">
        <v>236</v>
      </c>
      <c r="B722" s="152">
        <f>SUM(B719:B721)</f>
        <v>0</v>
      </c>
      <c r="C722" s="152">
        <f>SUM(C719:C721)</f>
        <v>0</v>
      </c>
      <c r="D722" s="152">
        <f t="shared" ref="D722:AP722" si="401">SUM(D719:D721)</f>
        <v>0</v>
      </c>
      <c r="E722" s="152">
        <f t="shared" si="401"/>
        <v>0</v>
      </c>
      <c r="F722" s="152">
        <f t="shared" si="401"/>
        <v>0</v>
      </c>
      <c r="G722" s="152">
        <f t="shared" si="401"/>
        <v>0</v>
      </c>
      <c r="H722" s="152">
        <f t="shared" si="401"/>
        <v>0</v>
      </c>
      <c r="I722" s="152">
        <f t="shared" si="401"/>
        <v>0</v>
      </c>
      <c r="J722" s="152">
        <f t="shared" si="401"/>
        <v>0</v>
      </c>
      <c r="K722" s="152">
        <f t="shared" si="401"/>
        <v>0</v>
      </c>
      <c r="L722" s="152">
        <f t="shared" si="401"/>
        <v>0</v>
      </c>
      <c r="M722" s="152">
        <f t="shared" si="401"/>
        <v>0</v>
      </c>
      <c r="N722" s="152">
        <f t="shared" si="401"/>
        <v>0</v>
      </c>
      <c r="O722" s="152">
        <f t="shared" si="401"/>
        <v>0</v>
      </c>
      <c r="P722" s="152">
        <f t="shared" si="401"/>
        <v>0</v>
      </c>
      <c r="Q722" s="152">
        <f t="shared" si="401"/>
        <v>0</v>
      </c>
      <c r="R722" s="152">
        <f t="shared" si="401"/>
        <v>0</v>
      </c>
      <c r="S722" s="152">
        <f t="shared" si="401"/>
        <v>0</v>
      </c>
      <c r="T722" s="152">
        <f t="shared" si="401"/>
        <v>0</v>
      </c>
      <c r="U722" s="152">
        <f t="shared" si="401"/>
        <v>0</v>
      </c>
      <c r="V722" s="152">
        <f t="shared" si="401"/>
        <v>0</v>
      </c>
      <c r="W722" s="152">
        <f t="shared" si="401"/>
        <v>0</v>
      </c>
      <c r="X722" s="152">
        <f t="shared" si="401"/>
        <v>0</v>
      </c>
      <c r="Y722" s="152">
        <f t="shared" si="401"/>
        <v>0</v>
      </c>
      <c r="Z722" s="152">
        <f t="shared" si="401"/>
        <v>0</v>
      </c>
      <c r="AA722" s="152">
        <f t="shared" si="401"/>
        <v>0</v>
      </c>
      <c r="AB722" s="152">
        <f t="shared" si="401"/>
        <v>0</v>
      </c>
      <c r="AC722" s="152">
        <f t="shared" si="401"/>
        <v>0</v>
      </c>
      <c r="AD722" s="152">
        <f t="shared" si="401"/>
        <v>0</v>
      </c>
      <c r="AE722" s="152">
        <f t="shared" si="401"/>
        <v>0</v>
      </c>
      <c r="AF722" s="152">
        <f t="shared" si="401"/>
        <v>0</v>
      </c>
      <c r="AG722" s="152">
        <f t="shared" si="401"/>
        <v>0</v>
      </c>
      <c r="AH722" s="152">
        <f t="shared" si="401"/>
        <v>0</v>
      </c>
      <c r="AI722" s="152">
        <f t="shared" si="401"/>
        <v>0</v>
      </c>
      <c r="AJ722" s="152">
        <f t="shared" si="401"/>
        <v>0</v>
      </c>
      <c r="AK722" s="152">
        <f t="shared" si="401"/>
        <v>0</v>
      </c>
      <c r="AL722" s="152">
        <f t="shared" si="401"/>
        <v>0</v>
      </c>
      <c r="AM722" s="152">
        <f t="shared" si="401"/>
        <v>0</v>
      </c>
      <c r="AN722" s="152">
        <f t="shared" si="401"/>
        <v>0</v>
      </c>
      <c r="AO722" s="152">
        <f t="shared" si="401"/>
        <v>0</v>
      </c>
      <c r="AP722" s="152">
        <f t="shared" si="401"/>
        <v>0</v>
      </c>
    </row>
    <row r="724" spans="1:42" x14ac:dyDescent="0.2">
      <c r="A724" s="4" t="s">
        <v>279</v>
      </c>
    </row>
    <row r="725" spans="1:42" x14ac:dyDescent="0.2">
      <c r="A725" s="4" t="s">
        <v>280</v>
      </c>
    </row>
    <row r="726" spans="1:42" x14ac:dyDescent="0.2">
      <c r="A726" s="4">
        <v>1</v>
      </c>
      <c r="B726" s="170">
        <f t="shared" ref="B726:B735" si="402">SUM(C726:AP726)</f>
        <v>0</v>
      </c>
      <c r="C726" s="152">
        <f t="shared" ref="C726:AP726" si="403">IF(C$2&gt;analysis_period,0,IF(C$2=equip2_reserve_freq*$A726,equip2_reserve_cost*system_capacity*1000*(1+inflation_rate/100)^B$2,0))</f>
        <v>0</v>
      </c>
      <c r="D726" s="152">
        <f t="shared" si="403"/>
        <v>0</v>
      </c>
      <c r="E726" s="152">
        <f t="shared" si="403"/>
        <v>0</v>
      </c>
      <c r="F726" s="152">
        <f t="shared" si="403"/>
        <v>0</v>
      </c>
      <c r="G726" s="152">
        <f t="shared" si="403"/>
        <v>0</v>
      </c>
      <c r="H726" s="152">
        <f t="shared" si="403"/>
        <v>0</v>
      </c>
      <c r="I726" s="152">
        <f t="shared" si="403"/>
        <v>0</v>
      </c>
      <c r="J726" s="152">
        <f t="shared" si="403"/>
        <v>0</v>
      </c>
      <c r="K726" s="152">
        <f t="shared" si="403"/>
        <v>0</v>
      </c>
      <c r="L726" s="152">
        <f t="shared" si="403"/>
        <v>0</v>
      </c>
      <c r="M726" s="152">
        <f t="shared" si="403"/>
        <v>0</v>
      </c>
      <c r="N726" s="152">
        <f t="shared" si="403"/>
        <v>0</v>
      </c>
      <c r="O726" s="152">
        <f t="shared" si="403"/>
        <v>0</v>
      </c>
      <c r="P726" s="152">
        <f t="shared" si="403"/>
        <v>0</v>
      </c>
      <c r="Q726" s="152">
        <f t="shared" si="403"/>
        <v>0</v>
      </c>
      <c r="R726" s="152">
        <f t="shared" si="403"/>
        <v>0</v>
      </c>
      <c r="S726" s="152">
        <f t="shared" si="403"/>
        <v>0</v>
      </c>
      <c r="T726" s="152">
        <f t="shared" si="403"/>
        <v>0</v>
      </c>
      <c r="U726" s="152">
        <f t="shared" si="403"/>
        <v>0</v>
      </c>
      <c r="V726" s="152">
        <f t="shared" si="403"/>
        <v>0</v>
      </c>
      <c r="W726" s="152">
        <f t="shared" si="403"/>
        <v>0</v>
      </c>
      <c r="X726" s="152">
        <f t="shared" si="403"/>
        <v>0</v>
      </c>
      <c r="Y726" s="152">
        <f t="shared" si="403"/>
        <v>0</v>
      </c>
      <c r="Z726" s="152">
        <f t="shared" si="403"/>
        <v>0</v>
      </c>
      <c r="AA726" s="152">
        <f t="shared" si="403"/>
        <v>0</v>
      </c>
      <c r="AB726" s="152">
        <f t="shared" si="403"/>
        <v>0</v>
      </c>
      <c r="AC726" s="152">
        <f t="shared" si="403"/>
        <v>0</v>
      </c>
      <c r="AD726" s="152">
        <f t="shared" si="403"/>
        <v>0</v>
      </c>
      <c r="AE726" s="152">
        <f t="shared" si="403"/>
        <v>0</v>
      </c>
      <c r="AF726" s="152">
        <f t="shared" si="403"/>
        <v>0</v>
      </c>
      <c r="AG726" s="152">
        <f t="shared" si="403"/>
        <v>0</v>
      </c>
      <c r="AH726" s="152">
        <f t="shared" si="403"/>
        <v>0</v>
      </c>
      <c r="AI726" s="152">
        <f t="shared" si="403"/>
        <v>0</v>
      </c>
      <c r="AJ726" s="152">
        <f t="shared" si="403"/>
        <v>0</v>
      </c>
      <c r="AK726" s="152">
        <f t="shared" si="403"/>
        <v>0</v>
      </c>
      <c r="AL726" s="152">
        <f t="shared" si="403"/>
        <v>0</v>
      </c>
      <c r="AM726" s="152">
        <f t="shared" si="403"/>
        <v>0</v>
      </c>
      <c r="AN726" s="152">
        <f t="shared" si="403"/>
        <v>0</v>
      </c>
      <c r="AO726" s="152">
        <f t="shared" si="403"/>
        <v>0</v>
      </c>
      <c r="AP726" s="152">
        <f t="shared" si="403"/>
        <v>0</v>
      </c>
    </row>
    <row r="727" spans="1:42" x14ac:dyDescent="0.2">
      <c r="A727" s="4">
        <f>A726+1</f>
        <v>2</v>
      </c>
      <c r="B727" s="170">
        <f t="shared" si="402"/>
        <v>0</v>
      </c>
      <c r="C727" s="152">
        <f t="shared" ref="C727:AP727" si="404">IF(C$2&gt;analysis_period,0,IF(C$2=equip2_reserve_freq*$A727,equip2_reserve_cost*system_capacity*1000*(1+inflation_rate/100)^B$2,0))</f>
        <v>0</v>
      </c>
      <c r="D727" s="152">
        <f t="shared" si="404"/>
        <v>0</v>
      </c>
      <c r="E727" s="152">
        <f t="shared" si="404"/>
        <v>0</v>
      </c>
      <c r="F727" s="152">
        <f t="shared" si="404"/>
        <v>0</v>
      </c>
      <c r="G727" s="152">
        <f t="shared" si="404"/>
        <v>0</v>
      </c>
      <c r="H727" s="152">
        <f t="shared" si="404"/>
        <v>0</v>
      </c>
      <c r="I727" s="152">
        <f t="shared" si="404"/>
        <v>0</v>
      </c>
      <c r="J727" s="152">
        <f t="shared" si="404"/>
        <v>0</v>
      </c>
      <c r="K727" s="152">
        <f t="shared" si="404"/>
        <v>0</v>
      </c>
      <c r="L727" s="152">
        <f t="shared" si="404"/>
        <v>0</v>
      </c>
      <c r="M727" s="152">
        <f t="shared" si="404"/>
        <v>0</v>
      </c>
      <c r="N727" s="152">
        <f t="shared" si="404"/>
        <v>0</v>
      </c>
      <c r="O727" s="152">
        <f t="shared" si="404"/>
        <v>0</v>
      </c>
      <c r="P727" s="152">
        <f t="shared" si="404"/>
        <v>0</v>
      </c>
      <c r="Q727" s="152">
        <f t="shared" si="404"/>
        <v>0</v>
      </c>
      <c r="R727" s="152">
        <f t="shared" si="404"/>
        <v>0</v>
      </c>
      <c r="S727" s="152">
        <f t="shared" si="404"/>
        <v>0</v>
      </c>
      <c r="T727" s="152">
        <f t="shared" si="404"/>
        <v>0</v>
      </c>
      <c r="U727" s="152">
        <f t="shared" si="404"/>
        <v>0</v>
      </c>
      <c r="V727" s="152">
        <f t="shared" si="404"/>
        <v>0</v>
      </c>
      <c r="W727" s="152">
        <f t="shared" si="404"/>
        <v>0</v>
      </c>
      <c r="X727" s="152">
        <f t="shared" si="404"/>
        <v>0</v>
      </c>
      <c r="Y727" s="152">
        <f t="shared" si="404"/>
        <v>0</v>
      </c>
      <c r="Z727" s="152">
        <f t="shared" si="404"/>
        <v>0</v>
      </c>
      <c r="AA727" s="152">
        <f t="shared" si="404"/>
        <v>0</v>
      </c>
      <c r="AB727" s="152">
        <f t="shared" si="404"/>
        <v>0</v>
      </c>
      <c r="AC727" s="152">
        <f t="shared" si="404"/>
        <v>0</v>
      </c>
      <c r="AD727" s="152">
        <f t="shared" si="404"/>
        <v>0</v>
      </c>
      <c r="AE727" s="152">
        <f t="shared" si="404"/>
        <v>0</v>
      </c>
      <c r="AF727" s="152">
        <f t="shared" si="404"/>
        <v>0</v>
      </c>
      <c r="AG727" s="152">
        <f t="shared" si="404"/>
        <v>0</v>
      </c>
      <c r="AH727" s="152">
        <f t="shared" si="404"/>
        <v>0</v>
      </c>
      <c r="AI727" s="152">
        <f t="shared" si="404"/>
        <v>0</v>
      </c>
      <c r="AJ727" s="152">
        <f t="shared" si="404"/>
        <v>0</v>
      </c>
      <c r="AK727" s="152">
        <f t="shared" si="404"/>
        <v>0</v>
      </c>
      <c r="AL727" s="152">
        <f t="shared" si="404"/>
        <v>0</v>
      </c>
      <c r="AM727" s="152">
        <f t="shared" si="404"/>
        <v>0</v>
      </c>
      <c r="AN727" s="152">
        <f t="shared" si="404"/>
        <v>0</v>
      </c>
      <c r="AO727" s="152">
        <f t="shared" si="404"/>
        <v>0</v>
      </c>
      <c r="AP727" s="152">
        <f t="shared" si="404"/>
        <v>0</v>
      </c>
    </row>
    <row r="728" spans="1:42" x14ac:dyDescent="0.2">
      <c r="A728" s="4">
        <f t="shared" ref="A728:A735" si="405">A727+1</f>
        <v>3</v>
      </c>
      <c r="B728" s="170">
        <f t="shared" si="402"/>
        <v>0</v>
      </c>
      <c r="C728" s="152">
        <f t="shared" ref="C728:AP728" si="406">IF(C$2&gt;analysis_period,0,IF(C$2=equip2_reserve_freq*$A728,equip2_reserve_cost*system_capacity*1000*(1+inflation_rate/100)^B$2,0))</f>
        <v>0</v>
      </c>
      <c r="D728" s="152">
        <f t="shared" si="406"/>
        <v>0</v>
      </c>
      <c r="E728" s="152">
        <f t="shared" si="406"/>
        <v>0</v>
      </c>
      <c r="F728" s="152">
        <f t="shared" si="406"/>
        <v>0</v>
      </c>
      <c r="G728" s="152">
        <f t="shared" si="406"/>
        <v>0</v>
      </c>
      <c r="H728" s="152">
        <f t="shared" si="406"/>
        <v>0</v>
      </c>
      <c r="I728" s="152">
        <f t="shared" si="406"/>
        <v>0</v>
      </c>
      <c r="J728" s="152">
        <f t="shared" si="406"/>
        <v>0</v>
      </c>
      <c r="K728" s="152">
        <f t="shared" si="406"/>
        <v>0</v>
      </c>
      <c r="L728" s="152">
        <f t="shared" si="406"/>
        <v>0</v>
      </c>
      <c r="M728" s="152">
        <f t="shared" si="406"/>
        <v>0</v>
      </c>
      <c r="N728" s="152">
        <f t="shared" si="406"/>
        <v>0</v>
      </c>
      <c r="O728" s="152">
        <f t="shared" si="406"/>
        <v>0</v>
      </c>
      <c r="P728" s="152">
        <f t="shared" si="406"/>
        <v>0</v>
      </c>
      <c r="Q728" s="152">
        <f t="shared" si="406"/>
        <v>0</v>
      </c>
      <c r="R728" s="152">
        <f t="shared" si="406"/>
        <v>0</v>
      </c>
      <c r="S728" s="152">
        <f t="shared" si="406"/>
        <v>0</v>
      </c>
      <c r="T728" s="152">
        <f t="shared" si="406"/>
        <v>0</v>
      </c>
      <c r="U728" s="152">
        <f t="shared" si="406"/>
        <v>0</v>
      </c>
      <c r="V728" s="152">
        <f t="shared" si="406"/>
        <v>0</v>
      </c>
      <c r="W728" s="152">
        <f t="shared" si="406"/>
        <v>0</v>
      </c>
      <c r="X728" s="152">
        <f t="shared" si="406"/>
        <v>0</v>
      </c>
      <c r="Y728" s="152">
        <f t="shared" si="406"/>
        <v>0</v>
      </c>
      <c r="Z728" s="152">
        <f t="shared" si="406"/>
        <v>0</v>
      </c>
      <c r="AA728" s="152">
        <f t="shared" si="406"/>
        <v>0</v>
      </c>
      <c r="AB728" s="152">
        <f t="shared" si="406"/>
        <v>0</v>
      </c>
      <c r="AC728" s="152">
        <f t="shared" si="406"/>
        <v>0</v>
      </c>
      <c r="AD728" s="152">
        <f t="shared" si="406"/>
        <v>0</v>
      </c>
      <c r="AE728" s="152">
        <f t="shared" si="406"/>
        <v>0</v>
      </c>
      <c r="AF728" s="152">
        <f t="shared" si="406"/>
        <v>0</v>
      </c>
      <c r="AG728" s="152">
        <f t="shared" si="406"/>
        <v>0</v>
      </c>
      <c r="AH728" s="152">
        <f t="shared" si="406"/>
        <v>0</v>
      </c>
      <c r="AI728" s="152">
        <f t="shared" si="406"/>
        <v>0</v>
      </c>
      <c r="AJ728" s="152">
        <f t="shared" si="406"/>
        <v>0</v>
      </c>
      <c r="AK728" s="152">
        <f t="shared" si="406"/>
        <v>0</v>
      </c>
      <c r="AL728" s="152">
        <f t="shared" si="406"/>
        <v>0</v>
      </c>
      <c r="AM728" s="152">
        <f t="shared" si="406"/>
        <v>0</v>
      </c>
      <c r="AN728" s="152">
        <f t="shared" si="406"/>
        <v>0</v>
      </c>
      <c r="AO728" s="152">
        <f t="shared" si="406"/>
        <v>0</v>
      </c>
      <c r="AP728" s="152">
        <f t="shared" si="406"/>
        <v>0</v>
      </c>
    </row>
    <row r="729" spans="1:42" x14ac:dyDescent="0.2">
      <c r="A729" s="4">
        <f t="shared" si="405"/>
        <v>4</v>
      </c>
      <c r="B729" s="170">
        <f t="shared" si="402"/>
        <v>0</v>
      </c>
      <c r="C729" s="152">
        <f t="shared" ref="C729:AP729" si="407">IF(C$2&gt;analysis_period,0,IF(C$2=equip2_reserve_freq*$A729,equip2_reserve_cost*system_capacity*1000*(1+inflation_rate/100)^B$2,0))</f>
        <v>0</v>
      </c>
      <c r="D729" s="152">
        <f t="shared" si="407"/>
        <v>0</v>
      </c>
      <c r="E729" s="152">
        <f t="shared" si="407"/>
        <v>0</v>
      </c>
      <c r="F729" s="152">
        <f t="shared" si="407"/>
        <v>0</v>
      </c>
      <c r="G729" s="152">
        <f t="shared" si="407"/>
        <v>0</v>
      </c>
      <c r="H729" s="152">
        <f t="shared" si="407"/>
        <v>0</v>
      </c>
      <c r="I729" s="152">
        <f t="shared" si="407"/>
        <v>0</v>
      </c>
      <c r="J729" s="152">
        <f t="shared" si="407"/>
        <v>0</v>
      </c>
      <c r="K729" s="152">
        <f t="shared" si="407"/>
        <v>0</v>
      </c>
      <c r="L729" s="152">
        <f t="shared" si="407"/>
        <v>0</v>
      </c>
      <c r="M729" s="152">
        <f t="shared" si="407"/>
        <v>0</v>
      </c>
      <c r="N729" s="152">
        <f t="shared" si="407"/>
        <v>0</v>
      </c>
      <c r="O729" s="152">
        <f t="shared" si="407"/>
        <v>0</v>
      </c>
      <c r="P729" s="152">
        <f t="shared" si="407"/>
        <v>0</v>
      </c>
      <c r="Q729" s="152">
        <f t="shared" si="407"/>
        <v>0</v>
      </c>
      <c r="R729" s="152">
        <f t="shared" si="407"/>
        <v>0</v>
      </c>
      <c r="S729" s="152">
        <f t="shared" si="407"/>
        <v>0</v>
      </c>
      <c r="T729" s="152">
        <f t="shared" si="407"/>
        <v>0</v>
      </c>
      <c r="U729" s="152">
        <f t="shared" si="407"/>
        <v>0</v>
      </c>
      <c r="V729" s="152">
        <f t="shared" si="407"/>
        <v>0</v>
      </c>
      <c r="W729" s="152">
        <f t="shared" si="407"/>
        <v>0</v>
      </c>
      <c r="X729" s="152">
        <f t="shared" si="407"/>
        <v>0</v>
      </c>
      <c r="Y729" s="152">
        <f t="shared" si="407"/>
        <v>0</v>
      </c>
      <c r="Z729" s="152">
        <f t="shared" si="407"/>
        <v>0</v>
      </c>
      <c r="AA729" s="152">
        <f t="shared" si="407"/>
        <v>0</v>
      </c>
      <c r="AB729" s="152">
        <f t="shared" si="407"/>
        <v>0</v>
      </c>
      <c r="AC729" s="152">
        <f t="shared" si="407"/>
        <v>0</v>
      </c>
      <c r="AD729" s="152">
        <f t="shared" si="407"/>
        <v>0</v>
      </c>
      <c r="AE729" s="152">
        <f t="shared" si="407"/>
        <v>0</v>
      </c>
      <c r="AF729" s="152">
        <f t="shared" si="407"/>
        <v>0</v>
      </c>
      <c r="AG729" s="152">
        <f t="shared" si="407"/>
        <v>0</v>
      </c>
      <c r="AH729" s="152">
        <f t="shared" si="407"/>
        <v>0</v>
      </c>
      <c r="AI729" s="152">
        <f t="shared" si="407"/>
        <v>0</v>
      </c>
      <c r="AJ729" s="152">
        <f t="shared" si="407"/>
        <v>0</v>
      </c>
      <c r="AK729" s="152">
        <f t="shared" si="407"/>
        <v>0</v>
      </c>
      <c r="AL729" s="152">
        <f t="shared" si="407"/>
        <v>0</v>
      </c>
      <c r="AM729" s="152">
        <f t="shared" si="407"/>
        <v>0</v>
      </c>
      <c r="AN729" s="152">
        <f t="shared" si="407"/>
        <v>0</v>
      </c>
      <c r="AO729" s="152">
        <f t="shared" si="407"/>
        <v>0</v>
      </c>
      <c r="AP729" s="152">
        <f t="shared" si="407"/>
        <v>0</v>
      </c>
    </row>
    <row r="730" spans="1:42" x14ac:dyDescent="0.2">
      <c r="A730" s="4">
        <f t="shared" si="405"/>
        <v>5</v>
      </c>
      <c r="B730" s="170">
        <f t="shared" si="402"/>
        <v>0</v>
      </c>
      <c r="C730" s="152">
        <f t="shared" ref="C730:AP730" si="408">IF(C$2&gt;analysis_period,0,IF(C$2=equip2_reserve_freq*$A730,equip2_reserve_cost*system_capacity*1000*(1+inflation_rate/100)^B$2,0))</f>
        <v>0</v>
      </c>
      <c r="D730" s="152">
        <f t="shared" si="408"/>
        <v>0</v>
      </c>
      <c r="E730" s="152">
        <f t="shared" si="408"/>
        <v>0</v>
      </c>
      <c r="F730" s="152">
        <f t="shared" si="408"/>
        <v>0</v>
      </c>
      <c r="G730" s="152">
        <f t="shared" si="408"/>
        <v>0</v>
      </c>
      <c r="H730" s="152">
        <f t="shared" si="408"/>
        <v>0</v>
      </c>
      <c r="I730" s="152">
        <f t="shared" si="408"/>
        <v>0</v>
      </c>
      <c r="J730" s="152">
        <f t="shared" si="408"/>
        <v>0</v>
      </c>
      <c r="K730" s="152">
        <f t="shared" si="408"/>
        <v>0</v>
      </c>
      <c r="L730" s="152">
        <f t="shared" si="408"/>
        <v>0</v>
      </c>
      <c r="M730" s="152">
        <f t="shared" si="408"/>
        <v>0</v>
      </c>
      <c r="N730" s="152">
        <f t="shared" si="408"/>
        <v>0</v>
      </c>
      <c r="O730" s="152">
        <f t="shared" si="408"/>
        <v>0</v>
      </c>
      <c r="P730" s="152">
        <f t="shared" si="408"/>
        <v>0</v>
      </c>
      <c r="Q730" s="152">
        <f t="shared" si="408"/>
        <v>0</v>
      </c>
      <c r="R730" s="152">
        <f t="shared" si="408"/>
        <v>0</v>
      </c>
      <c r="S730" s="152">
        <f t="shared" si="408"/>
        <v>0</v>
      </c>
      <c r="T730" s="152">
        <f t="shared" si="408"/>
        <v>0</v>
      </c>
      <c r="U730" s="152">
        <f t="shared" si="408"/>
        <v>0</v>
      </c>
      <c r="V730" s="152">
        <f t="shared" si="408"/>
        <v>0</v>
      </c>
      <c r="W730" s="152">
        <f t="shared" si="408"/>
        <v>0</v>
      </c>
      <c r="X730" s="152">
        <f t="shared" si="408"/>
        <v>0</v>
      </c>
      <c r="Y730" s="152">
        <f t="shared" si="408"/>
        <v>0</v>
      </c>
      <c r="Z730" s="152">
        <f t="shared" si="408"/>
        <v>0</v>
      </c>
      <c r="AA730" s="152">
        <f t="shared" si="408"/>
        <v>0</v>
      </c>
      <c r="AB730" s="152">
        <f t="shared" si="408"/>
        <v>0</v>
      </c>
      <c r="AC730" s="152">
        <f t="shared" si="408"/>
        <v>0</v>
      </c>
      <c r="AD730" s="152">
        <f t="shared" si="408"/>
        <v>0</v>
      </c>
      <c r="AE730" s="152">
        <f t="shared" si="408"/>
        <v>0</v>
      </c>
      <c r="AF730" s="152">
        <f t="shared" si="408"/>
        <v>0</v>
      </c>
      <c r="AG730" s="152">
        <f t="shared" si="408"/>
        <v>0</v>
      </c>
      <c r="AH730" s="152">
        <f t="shared" si="408"/>
        <v>0</v>
      </c>
      <c r="AI730" s="152">
        <f t="shared" si="408"/>
        <v>0</v>
      </c>
      <c r="AJ730" s="152">
        <f t="shared" si="408"/>
        <v>0</v>
      </c>
      <c r="AK730" s="152">
        <f t="shared" si="408"/>
        <v>0</v>
      </c>
      <c r="AL730" s="152">
        <f t="shared" si="408"/>
        <v>0</v>
      </c>
      <c r="AM730" s="152">
        <f t="shared" si="408"/>
        <v>0</v>
      </c>
      <c r="AN730" s="152">
        <f t="shared" si="408"/>
        <v>0</v>
      </c>
      <c r="AO730" s="152">
        <f t="shared" si="408"/>
        <v>0</v>
      </c>
      <c r="AP730" s="152">
        <f t="shared" si="408"/>
        <v>0</v>
      </c>
    </row>
    <row r="731" spans="1:42" x14ac:dyDescent="0.2">
      <c r="A731" s="4">
        <f t="shared" si="405"/>
        <v>6</v>
      </c>
      <c r="B731" s="170">
        <f t="shared" si="402"/>
        <v>0</v>
      </c>
      <c r="C731" s="152">
        <f t="shared" ref="C731:AP731" si="409">IF(C$2&gt;analysis_period,0,IF(C$2=equip2_reserve_freq*$A731,equip2_reserve_cost*system_capacity*1000*(1+inflation_rate/100)^B$2,0))</f>
        <v>0</v>
      </c>
      <c r="D731" s="152">
        <f t="shared" si="409"/>
        <v>0</v>
      </c>
      <c r="E731" s="152">
        <f t="shared" si="409"/>
        <v>0</v>
      </c>
      <c r="F731" s="152">
        <f t="shared" si="409"/>
        <v>0</v>
      </c>
      <c r="G731" s="152">
        <f t="shared" si="409"/>
        <v>0</v>
      </c>
      <c r="H731" s="152">
        <f t="shared" si="409"/>
        <v>0</v>
      </c>
      <c r="I731" s="152">
        <f t="shared" si="409"/>
        <v>0</v>
      </c>
      <c r="J731" s="152">
        <f t="shared" si="409"/>
        <v>0</v>
      </c>
      <c r="K731" s="152">
        <f t="shared" si="409"/>
        <v>0</v>
      </c>
      <c r="L731" s="152">
        <f t="shared" si="409"/>
        <v>0</v>
      </c>
      <c r="M731" s="152">
        <f t="shared" si="409"/>
        <v>0</v>
      </c>
      <c r="N731" s="152">
        <f t="shared" si="409"/>
        <v>0</v>
      </c>
      <c r="O731" s="152">
        <f t="shared" si="409"/>
        <v>0</v>
      </c>
      <c r="P731" s="152">
        <f t="shared" si="409"/>
        <v>0</v>
      </c>
      <c r="Q731" s="152">
        <f t="shared" si="409"/>
        <v>0</v>
      </c>
      <c r="R731" s="152">
        <f t="shared" si="409"/>
        <v>0</v>
      </c>
      <c r="S731" s="152">
        <f t="shared" si="409"/>
        <v>0</v>
      </c>
      <c r="T731" s="152">
        <f t="shared" si="409"/>
        <v>0</v>
      </c>
      <c r="U731" s="152">
        <f t="shared" si="409"/>
        <v>0</v>
      </c>
      <c r="V731" s="152">
        <f t="shared" si="409"/>
        <v>0</v>
      </c>
      <c r="W731" s="152">
        <f t="shared" si="409"/>
        <v>0</v>
      </c>
      <c r="X731" s="152">
        <f t="shared" si="409"/>
        <v>0</v>
      </c>
      <c r="Y731" s="152">
        <f t="shared" si="409"/>
        <v>0</v>
      </c>
      <c r="Z731" s="152">
        <f t="shared" si="409"/>
        <v>0</v>
      </c>
      <c r="AA731" s="152">
        <f t="shared" si="409"/>
        <v>0</v>
      </c>
      <c r="AB731" s="152">
        <f t="shared" si="409"/>
        <v>0</v>
      </c>
      <c r="AC731" s="152">
        <f t="shared" si="409"/>
        <v>0</v>
      </c>
      <c r="AD731" s="152">
        <f t="shared" si="409"/>
        <v>0</v>
      </c>
      <c r="AE731" s="152">
        <f t="shared" si="409"/>
        <v>0</v>
      </c>
      <c r="AF731" s="152">
        <f t="shared" si="409"/>
        <v>0</v>
      </c>
      <c r="AG731" s="152">
        <f t="shared" si="409"/>
        <v>0</v>
      </c>
      <c r="AH731" s="152">
        <f t="shared" si="409"/>
        <v>0</v>
      </c>
      <c r="AI731" s="152">
        <f t="shared" si="409"/>
        <v>0</v>
      </c>
      <c r="AJ731" s="152">
        <f t="shared" si="409"/>
        <v>0</v>
      </c>
      <c r="AK731" s="152">
        <f t="shared" si="409"/>
        <v>0</v>
      </c>
      <c r="AL731" s="152">
        <f t="shared" si="409"/>
        <v>0</v>
      </c>
      <c r="AM731" s="152">
        <f t="shared" si="409"/>
        <v>0</v>
      </c>
      <c r="AN731" s="152">
        <f t="shared" si="409"/>
        <v>0</v>
      </c>
      <c r="AO731" s="152">
        <f t="shared" si="409"/>
        <v>0</v>
      </c>
      <c r="AP731" s="152">
        <f t="shared" si="409"/>
        <v>0</v>
      </c>
    </row>
    <row r="732" spans="1:42" x14ac:dyDescent="0.2">
      <c r="A732" s="4">
        <f t="shared" si="405"/>
        <v>7</v>
      </c>
      <c r="B732" s="170">
        <f t="shared" si="402"/>
        <v>0</v>
      </c>
      <c r="C732" s="152">
        <f t="shared" ref="C732:AP732" si="410">IF(C$2&gt;analysis_period,0,IF(C$2=equip2_reserve_freq*$A732,equip2_reserve_cost*system_capacity*1000*(1+inflation_rate/100)^B$2,0))</f>
        <v>0</v>
      </c>
      <c r="D732" s="152">
        <f t="shared" si="410"/>
        <v>0</v>
      </c>
      <c r="E732" s="152">
        <f t="shared" si="410"/>
        <v>0</v>
      </c>
      <c r="F732" s="152">
        <f t="shared" si="410"/>
        <v>0</v>
      </c>
      <c r="G732" s="152">
        <f t="shared" si="410"/>
        <v>0</v>
      </c>
      <c r="H732" s="152">
        <f t="shared" si="410"/>
        <v>0</v>
      </c>
      <c r="I732" s="152">
        <f t="shared" si="410"/>
        <v>0</v>
      </c>
      <c r="J732" s="152">
        <f t="shared" si="410"/>
        <v>0</v>
      </c>
      <c r="K732" s="152">
        <f t="shared" si="410"/>
        <v>0</v>
      </c>
      <c r="L732" s="152">
        <f t="shared" si="410"/>
        <v>0</v>
      </c>
      <c r="M732" s="152">
        <f t="shared" si="410"/>
        <v>0</v>
      </c>
      <c r="N732" s="152">
        <f t="shared" si="410"/>
        <v>0</v>
      </c>
      <c r="O732" s="152">
        <f t="shared" si="410"/>
        <v>0</v>
      </c>
      <c r="P732" s="152">
        <f t="shared" si="410"/>
        <v>0</v>
      </c>
      <c r="Q732" s="152">
        <f t="shared" si="410"/>
        <v>0</v>
      </c>
      <c r="R732" s="152">
        <f t="shared" si="410"/>
        <v>0</v>
      </c>
      <c r="S732" s="152">
        <f t="shared" si="410"/>
        <v>0</v>
      </c>
      <c r="T732" s="152">
        <f t="shared" si="410"/>
        <v>0</v>
      </c>
      <c r="U732" s="152">
        <f t="shared" si="410"/>
        <v>0</v>
      </c>
      <c r="V732" s="152">
        <f t="shared" si="410"/>
        <v>0</v>
      </c>
      <c r="W732" s="152">
        <f t="shared" si="410"/>
        <v>0</v>
      </c>
      <c r="X732" s="152">
        <f t="shared" si="410"/>
        <v>0</v>
      </c>
      <c r="Y732" s="152">
        <f t="shared" si="410"/>
        <v>0</v>
      </c>
      <c r="Z732" s="152">
        <f t="shared" si="410"/>
        <v>0</v>
      </c>
      <c r="AA732" s="152">
        <f t="shared" si="410"/>
        <v>0</v>
      </c>
      <c r="AB732" s="152">
        <f t="shared" si="410"/>
        <v>0</v>
      </c>
      <c r="AC732" s="152">
        <f t="shared" si="410"/>
        <v>0</v>
      </c>
      <c r="AD732" s="152">
        <f t="shared" si="410"/>
        <v>0</v>
      </c>
      <c r="AE732" s="152">
        <f t="shared" si="410"/>
        <v>0</v>
      </c>
      <c r="AF732" s="152">
        <f t="shared" si="410"/>
        <v>0</v>
      </c>
      <c r="AG732" s="152">
        <f t="shared" si="410"/>
        <v>0</v>
      </c>
      <c r="AH732" s="152">
        <f t="shared" si="410"/>
        <v>0</v>
      </c>
      <c r="AI732" s="152">
        <f t="shared" si="410"/>
        <v>0</v>
      </c>
      <c r="AJ732" s="152">
        <f t="shared" si="410"/>
        <v>0</v>
      </c>
      <c r="AK732" s="152">
        <f t="shared" si="410"/>
        <v>0</v>
      </c>
      <c r="AL732" s="152">
        <f t="shared" si="410"/>
        <v>0</v>
      </c>
      <c r="AM732" s="152">
        <f t="shared" si="410"/>
        <v>0</v>
      </c>
      <c r="AN732" s="152">
        <f t="shared" si="410"/>
        <v>0</v>
      </c>
      <c r="AO732" s="152">
        <f t="shared" si="410"/>
        <v>0</v>
      </c>
      <c r="AP732" s="152">
        <f t="shared" si="410"/>
        <v>0</v>
      </c>
    </row>
    <row r="733" spans="1:42" x14ac:dyDescent="0.2">
      <c r="A733" s="4">
        <f t="shared" si="405"/>
        <v>8</v>
      </c>
      <c r="B733" s="170">
        <f t="shared" si="402"/>
        <v>0</v>
      </c>
      <c r="C733" s="152">
        <f t="shared" ref="C733:AP733" si="411">IF(C$2&gt;analysis_period,0,IF(C$2=equip2_reserve_freq*$A733,equip2_reserve_cost*system_capacity*1000*(1+inflation_rate/100)^B$2,0))</f>
        <v>0</v>
      </c>
      <c r="D733" s="152">
        <f t="shared" si="411"/>
        <v>0</v>
      </c>
      <c r="E733" s="152">
        <f t="shared" si="411"/>
        <v>0</v>
      </c>
      <c r="F733" s="152">
        <f t="shared" si="411"/>
        <v>0</v>
      </c>
      <c r="G733" s="152">
        <f t="shared" si="411"/>
        <v>0</v>
      </c>
      <c r="H733" s="152">
        <f t="shared" si="411"/>
        <v>0</v>
      </c>
      <c r="I733" s="152">
        <f t="shared" si="411"/>
        <v>0</v>
      </c>
      <c r="J733" s="152">
        <f t="shared" si="411"/>
        <v>0</v>
      </c>
      <c r="K733" s="152">
        <f t="shared" si="411"/>
        <v>0</v>
      </c>
      <c r="L733" s="152">
        <f t="shared" si="411"/>
        <v>0</v>
      </c>
      <c r="M733" s="152">
        <f t="shared" si="411"/>
        <v>0</v>
      </c>
      <c r="N733" s="152">
        <f t="shared" si="411"/>
        <v>0</v>
      </c>
      <c r="O733" s="152">
        <f t="shared" si="411"/>
        <v>0</v>
      </c>
      <c r="P733" s="152">
        <f t="shared" si="411"/>
        <v>0</v>
      </c>
      <c r="Q733" s="152">
        <f t="shared" si="411"/>
        <v>0</v>
      </c>
      <c r="R733" s="152">
        <f t="shared" si="411"/>
        <v>0</v>
      </c>
      <c r="S733" s="152">
        <f t="shared" si="411"/>
        <v>0</v>
      </c>
      <c r="T733" s="152">
        <f t="shared" si="411"/>
        <v>0</v>
      </c>
      <c r="U733" s="152">
        <f t="shared" si="411"/>
        <v>0</v>
      </c>
      <c r="V733" s="152">
        <f t="shared" si="411"/>
        <v>0</v>
      </c>
      <c r="W733" s="152">
        <f t="shared" si="411"/>
        <v>0</v>
      </c>
      <c r="X733" s="152">
        <f t="shared" si="411"/>
        <v>0</v>
      </c>
      <c r="Y733" s="152">
        <f t="shared" si="411"/>
        <v>0</v>
      </c>
      <c r="Z733" s="152">
        <f t="shared" si="411"/>
        <v>0</v>
      </c>
      <c r="AA733" s="152">
        <f t="shared" si="411"/>
        <v>0</v>
      </c>
      <c r="AB733" s="152">
        <f t="shared" si="411"/>
        <v>0</v>
      </c>
      <c r="AC733" s="152">
        <f t="shared" si="411"/>
        <v>0</v>
      </c>
      <c r="AD733" s="152">
        <f t="shared" si="411"/>
        <v>0</v>
      </c>
      <c r="AE733" s="152">
        <f t="shared" si="411"/>
        <v>0</v>
      </c>
      <c r="AF733" s="152">
        <f t="shared" si="411"/>
        <v>0</v>
      </c>
      <c r="AG733" s="152">
        <f t="shared" si="411"/>
        <v>0</v>
      </c>
      <c r="AH733" s="152">
        <f t="shared" si="411"/>
        <v>0</v>
      </c>
      <c r="AI733" s="152">
        <f t="shared" si="411"/>
        <v>0</v>
      </c>
      <c r="AJ733" s="152">
        <f t="shared" si="411"/>
        <v>0</v>
      </c>
      <c r="AK733" s="152">
        <f t="shared" si="411"/>
        <v>0</v>
      </c>
      <c r="AL733" s="152">
        <f t="shared" si="411"/>
        <v>0</v>
      </c>
      <c r="AM733" s="152">
        <f t="shared" si="411"/>
        <v>0</v>
      </c>
      <c r="AN733" s="152">
        <f t="shared" si="411"/>
        <v>0</v>
      </c>
      <c r="AO733" s="152">
        <f t="shared" si="411"/>
        <v>0</v>
      </c>
      <c r="AP733" s="152">
        <f t="shared" si="411"/>
        <v>0</v>
      </c>
    </row>
    <row r="734" spans="1:42" x14ac:dyDescent="0.2">
      <c r="A734" s="4">
        <f>A733+1</f>
        <v>9</v>
      </c>
      <c r="B734" s="170">
        <f t="shared" si="402"/>
        <v>0</v>
      </c>
      <c r="C734" s="152">
        <f t="shared" ref="C734:AP734" si="412">IF(C$2&gt;analysis_period,0,IF(C$2=equip2_reserve_freq*$A734,equip2_reserve_cost*system_capacity*1000*(1+inflation_rate/100)^B$2,0))</f>
        <v>0</v>
      </c>
      <c r="D734" s="152">
        <f t="shared" si="412"/>
        <v>0</v>
      </c>
      <c r="E734" s="152">
        <f t="shared" si="412"/>
        <v>0</v>
      </c>
      <c r="F734" s="152">
        <f t="shared" si="412"/>
        <v>0</v>
      </c>
      <c r="G734" s="152">
        <f t="shared" si="412"/>
        <v>0</v>
      </c>
      <c r="H734" s="152">
        <f t="shared" si="412"/>
        <v>0</v>
      </c>
      <c r="I734" s="152">
        <f t="shared" si="412"/>
        <v>0</v>
      </c>
      <c r="J734" s="152">
        <f t="shared" si="412"/>
        <v>0</v>
      </c>
      <c r="K734" s="152">
        <f t="shared" si="412"/>
        <v>0</v>
      </c>
      <c r="L734" s="152">
        <f t="shared" si="412"/>
        <v>0</v>
      </c>
      <c r="M734" s="152">
        <f t="shared" si="412"/>
        <v>0</v>
      </c>
      <c r="N734" s="152">
        <f t="shared" si="412"/>
        <v>0</v>
      </c>
      <c r="O734" s="152">
        <f t="shared" si="412"/>
        <v>0</v>
      </c>
      <c r="P734" s="152">
        <f t="shared" si="412"/>
        <v>0</v>
      </c>
      <c r="Q734" s="152">
        <f t="shared" si="412"/>
        <v>0</v>
      </c>
      <c r="R734" s="152">
        <f t="shared" si="412"/>
        <v>0</v>
      </c>
      <c r="S734" s="152">
        <f t="shared" si="412"/>
        <v>0</v>
      </c>
      <c r="T734" s="152">
        <f t="shared" si="412"/>
        <v>0</v>
      </c>
      <c r="U734" s="152">
        <f t="shared" si="412"/>
        <v>0</v>
      </c>
      <c r="V734" s="152">
        <f t="shared" si="412"/>
        <v>0</v>
      </c>
      <c r="W734" s="152">
        <f t="shared" si="412"/>
        <v>0</v>
      </c>
      <c r="X734" s="152">
        <f t="shared" si="412"/>
        <v>0</v>
      </c>
      <c r="Y734" s="152">
        <f t="shared" si="412"/>
        <v>0</v>
      </c>
      <c r="Z734" s="152">
        <f t="shared" si="412"/>
        <v>0</v>
      </c>
      <c r="AA734" s="152">
        <f t="shared" si="412"/>
        <v>0</v>
      </c>
      <c r="AB734" s="152">
        <f t="shared" si="412"/>
        <v>0</v>
      </c>
      <c r="AC734" s="152">
        <f t="shared" si="412"/>
        <v>0</v>
      </c>
      <c r="AD734" s="152">
        <f t="shared" si="412"/>
        <v>0</v>
      </c>
      <c r="AE734" s="152">
        <f t="shared" si="412"/>
        <v>0</v>
      </c>
      <c r="AF734" s="152">
        <f t="shared" si="412"/>
        <v>0</v>
      </c>
      <c r="AG734" s="152">
        <f t="shared" si="412"/>
        <v>0</v>
      </c>
      <c r="AH734" s="152">
        <f t="shared" si="412"/>
        <v>0</v>
      </c>
      <c r="AI734" s="152">
        <f t="shared" si="412"/>
        <v>0</v>
      </c>
      <c r="AJ734" s="152">
        <f t="shared" si="412"/>
        <v>0</v>
      </c>
      <c r="AK734" s="152">
        <f t="shared" si="412"/>
        <v>0</v>
      </c>
      <c r="AL734" s="152">
        <f t="shared" si="412"/>
        <v>0</v>
      </c>
      <c r="AM734" s="152">
        <f t="shared" si="412"/>
        <v>0</v>
      </c>
      <c r="AN734" s="152">
        <f t="shared" si="412"/>
        <v>0</v>
      </c>
      <c r="AO734" s="152">
        <f t="shared" si="412"/>
        <v>0</v>
      </c>
      <c r="AP734" s="152">
        <f t="shared" si="412"/>
        <v>0</v>
      </c>
    </row>
    <row r="735" spans="1:42" x14ac:dyDescent="0.2">
      <c r="A735" s="4">
        <f t="shared" si="405"/>
        <v>10</v>
      </c>
      <c r="B735" s="170">
        <f t="shared" si="402"/>
        <v>0</v>
      </c>
      <c r="C735" s="152">
        <f t="shared" ref="C735:AP735" si="413">IF(C$2&gt;analysis_period,0,IF(C$2=equip2_reserve_freq*$A735,equip2_reserve_cost*system_capacity*1000*(1+inflation_rate/100)^B$2,0))</f>
        <v>0</v>
      </c>
      <c r="D735" s="152">
        <f t="shared" si="413"/>
        <v>0</v>
      </c>
      <c r="E735" s="152">
        <f t="shared" si="413"/>
        <v>0</v>
      </c>
      <c r="F735" s="152">
        <f t="shared" si="413"/>
        <v>0</v>
      </c>
      <c r="G735" s="152">
        <f t="shared" si="413"/>
        <v>0</v>
      </c>
      <c r="H735" s="152">
        <f t="shared" si="413"/>
        <v>0</v>
      </c>
      <c r="I735" s="152">
        <f t="shared" si="413"/>
        <v>0</v>
      </c>
      <c r="J735" s="152">
        <f t="shared" si="413"/>
        <v>0</v>
      </c>
      <c r="K735" s="152">
        <f t="shared" si="413"/>
        <v>0</v>
      </c>
      <c r="L735" s="152">
        <f t="shared" si="413"/>
        <v>0</v>
      </c>
      <c r="M735" s="152">
        <f t="shared" si="413"/>
        <v>0</v>
      </c>
      <c r="N735" s="152">
        <f t="shared" si="413"/>
        <v>0</v>
      </c>
      <c r="O735" s="152">
        <f t="shared" si="413"/>
        <v>0</v>
      </c>
      <c r="P735" s="152">
        <f t="shared" si="413"/>
        <v>0</v>
      </c>
      <c r="Q735" s="152">
        <f t="shared" si="413"/>
        <v>0</v>
      </c>
      <c r="R735" s="152">
        <f t="shared" si="413"/>
        <v>0</v>
      </c>
      <c r="S735" s="152">
        <f t="shared" si="413"/>
        <v>0</v>
      </c>
      <c r="T735" s="152">
        <f t="shared" si="413"/>
        <v>0</v>
      </c>
      <c r="U735" s="152">
        <f t="shared" si="413"/>
        <v>0</v>
      </c>
      <c r="V735" s="152">
        <f t="shared" si="413"/>
        <v>0</v>
      </c>
      <c r="W735" s="152">
        <f t="shared" si="413"/>
        <v>0</v>
      </c>
      <c r="X735" s="152">
        <f t="shared" si="413"/>
        <v>0</v>
      </c>
      <c r="Y735" s="152">
        <f t="shared" si="413"/>
        <v>0</v>
      </c>
      <c r="Z735" s="152">
        <f t="shared" si="413"/>
        <v>0</v>
      </c>
      <c r="AA735" s="152">
        <f t="shared" si="413"/>
        <v>0</v>
      </c>
      <c r="AB735" s="152">
        <f t="shared" si="413"/>
        <v>0</v>
      </c>
      <c r="AC735" s="152">
        <f t="shared" si="413"/>
        <v>0</v>
      </c>
      <c r="AD735" s="152">
        <f t="shared" si="413"/>
        <v>0</v>
      </c>
      <c r="AE735" s="152">
        <f t="shared" si="413"/>
        <v>0</v>
      </c>
      <c r="AF735" s="152">
        <f t="shared" si="413"/>
        <v>0</v>
      </c>
      <c r="AG735" s="152">
        <f t="shared" si="413"/>
        <v>0</v>
      </c>
      <c r="AH735" s="152">
        <f t="shared" si="413"/>
        <v>0</v>
      </c>
      <c r="AI735" s="152">
        <f t="shared" si="413"/>
        <v>0</v>
      </c>
      <c r="AJ735" s="152">
        <f t="shared" si="413"/>
        <v>0</v>
      </c>
      <c r="AK735" s="152">
        <f t="shared" si="413"/>
        <v>0</v>
      </c>
      <c r="AL735" s="152">
        <f t="shared" si="413"/>
        <v>0</v>
      </c>
      <c r="AM735" s="152">
        <f t="shared" si="413"/>
        <v>0</v>
      </c>
      <c r="AN735" s="152">
        <f t="shared" si="413"/>
        <v>0</v>
      </c>
      <c r="AO735" s="152">
        <f t="shared" si="413"/>
        <v>0</v>
      </c>
      <c r="AP735" s="152">
        <f t="shared" si="413"/>
        <v>0</v>
      </c>
    </row>
    <row r="736" spans="1:42" x14ac:dyDescent="0.2">
      <c r="A736" s="24" t="s">
        <v>13</v>
      </c>
      <c r="B736" s="14"/>
      <c r="C736" s="152">
        <f>SUM(C726:C735)</f>
        <v>0</v>
      </c>
      <c r="D736" s="152">
        <f t="shared" ref="D736:AP736" si="414">SUM(D726:D735)</f>
        <v>0</v>
      </c>
      <c r="E736" s="152">
        <f t="shared" si="414"/>
        <v>0</v>
      </c>
      <c r="F736" s="152">
        <f t="shared" si="414"/>
        <v>0</v>
      </c>
      <c r="G736" s="152">
        <f t="shared" si="414"/>
        <v>0</v>
      </c>
      <c r="H736" s="152">
        <f t="shared" si="414"/>
        <v>0</v>
      </c>
      <c r="I736" s="152">
        <f t="shared" si="414"/>
        <v>0</v>
      </c>
      <c r="J736" s="152">
        <f t="shared" si="414"/>
        <v>0</v>
      </c>
      <c r="K736" s="152">
        <f t="shared" si="414"/>
        <v>0</v>
      </c>
      <c r="L736" s="152">
        <f t="shared" si="414"/>
        <v>0</v>
      </c>
      <c r="M736" s="152">
        <f t="shared" si="414"/>
        <v>0</v>
      </c>
      <c r="N736" s="152">
        <f t="shared" si="414"/>
        <v>0</v>
      </c>
      <c r="O736" s="152">
        <f t="shared" si="414"/>
        <v>0</v>
      </c>
      <c r="P736" s="152">
        <f t="shared" si="414"/>
        <v>0</v>
      </c>
      <c r="Q736" s="152">
        <f t="shared" si="414"/>
        <v>0</v>
      </c>
      <c r="R736" s="152">
        <f t="shared" si="414"/>
        <v>0</v>
      </c>
      <c r="S736" s="152">
        <f t="shared" si="414"/>
        <v>0</v>
      </c>
      <c r="T736" s="152">
        <f t="shared" si="414"/>
        <v>0</v>
      </c>
      <c r="U736" s="152">
        <f t="shared" si="414"/>
        <v>0</v>
      </c>
      <c r="V736" s="152">
        <f t="shared" si="414"/>
        <v>0</v>
      </c>
      <c r="W736" s="152">
        <f t="shared" si="414"/>
        <v>0</v>
      </c>
      <c r="X736" s="152">
        <f t="shared" si="414"/>
        <v>0</v>
      </c>
      <c r="Y736" s="152">
        <f t="shared" si="414"/>
        <v>0</v>
      </c>
      <c r="Z736" s="152">
        <f t="shared" si="414"/>
        <v>0</v>
      </c>
      <c r="AA736" s="152">
        <f t="shared" si="414"/>
        <v>0</v>
      </c>
      <c r="AB736" s="152">
        <f t="shared" si="414"/>
        <v>0</v>
      </c>
      <c r="AC736" s="152">
        <f t="shared" si="414"/>
        <v>0</v>
      </c>
      <c r="AD736" s="152">
        <f t="shared" si="414"/>
        <v>0</v>
      </c>
      <c r="AE736" s="152">
        <f t="shared" si="414"/>
        <v>0</v>
      </c>
      <c r="AF736" s="152">
        <f t="shared" si="414"/>
        <v>0</v>
      </c>
      <c r="AG736" s="152">
        <f t="shared" si="414"/>
        <v>0</v>
      </c>
      <c r="AH736" s="152">
        <f t="shared" si="414"/>
        <v>0</v>
      </c>
      <c r="AI736" s="152">
        <f t="shared" si="414"/>
        <v>0</v>
      </c>
      <c r="AJ736" s="152">
        <f t="shared" si="414"/>
        <v>0</v>
      </c>
      <c r="AK736" s="152">
        <f t="shared" si="414"/>
        <v>0</v>
      </c>
      <c r="AL736" s="152">
        <f t="shared" si="414"/>
        <v>0</v>
      </c>
      <c r="AM736" s="152">
        <f t="shared" si="414"/>
        <v>0</v>
      </c>
      <c r="AN736" s="152">
        <f t="shared" si="414"/>
        <v>0</v>
      </c>
      <c r="AO736" s="152">
        <f t="shared" si="414"/>
        <v>0</v>
      </c>
      <c r="AP736" s="152">
        <f t="shared" si="414"/>
        <v>0</v>
      </c>
    </row>
    <row r="737" spans="1:42" x14ac:dyDescent="0.2">
      <c r="A737" s="4" t="s">
        <v>281</v>
      </c>
    </row>
    <row r="738" spans="1:42" x14ac:dyDescent="0.2">
      <c r="A738" s="4">
        <v>1</v>
      </c>
      <c r="B738" s="175">
        <f t="shared" ref="B738:B747" si="415">SUM(C738:AP738)</f>
        <v>0</v>
      </c>
      <c r="C738" s="152">
        <f t="shared" ref="C738:AP738" si="416">IF(C$2&lt;=equip2_reserve_freq*$A$726,$B$726/(equip2_reserve_freq),0)</f>
        <v>0</v>
      </c>
      <c r="D738" s="152">
        <f t="shared" si="416"/>
        <v>0</v>
      </c>
      <c r="E738" s="152">
        <f t="shared" si="416"/>
        <v>0</v>
      </c>
      <c r="F738" s="152">
        <f t="shared" si="416"/>
        <v>0</v>
      </c>
      <c r="G738" s="152">
        <f t="shared" si="416"/>
        <v>0</v>
      </c>
      <c r="H738" s="152">
        <f t="shared" si="416"/>
        <v>0</v>
      </c>
      <c r="I738" s="152">
        <f t="shared" si="416"/>
        <v>0</v>
      </c>
      <c r="J738" s="152">
        <f t="shared" si="416"/>
        <v>0</v>
      </c>
      <c r="K738" s="152">
        <f t="shared" si="416"/>
        <v>0</v>
      </c>
      <c r="L738" s="152">
        <f t="shared" si="416"/>
        <v>0</v>
      </c>
      <c r="M738" s="152">
        <f t="shared" si="416"/>
        <v>0</v>
      </c>
      <c r="N738" s="152">
        <f t="shared" si="416"/>
        <v>0</v>
      </c>
      <c r="O738" s="152">
        <f t="shared" si="416"/>
        <v>0</v>
      </c>
      <c r="P738" s="152">
        <f t="shared" si="416"/>
        <v>0</v>
      </c>
      <c r="Q738" s="152">
        <f t="shared" si="416"/>
        <v>0</v>
      </c>
      <c r="R738" s="152">
        <f t="shared" si="416"/>
        <v>0</v>
      </c>
      <c r="S738" s="152">
        <f t="shared" si="416"/>
        <v>0</v>
      </c>
      <c r="T738" s="152">
        <f t="shared" si="416"/>
        <v>0</v>
      </c>
      <c r="U738" s="152">
        <f t="shared" si="416"/>
        <v>0</v>
      </c>
      <c r="V738" s="152">
        <f t="shared" si="416"/>
        <v>0</v>
      </c>
      <c r="W738" s="152">
        <f t="shared" si="416"/>
        <v>0</v>
      </c>
      <c r="X738" s="152">
        <f t="shared" si="416"/>
        <v>0</v>
      </c>
      <c r="Y738" s="152">
        <f t="shared" si="416"/>
        <v>0</v>
      </c>
      <c r="Z738" s="152">
        <f t="shared" si="416"/>
        <v>0</v>
      </c>
      <c r="AA738" s="152">
        <f t="shared" si="416"/>
        <v>0</v>
      </c>
      <c r="AB738" s="152">
        <f t="shared" si="416"/>
        <v>0</v>
      </c>
      <c r="AC738" s="152">
        <f t="shared" si="416"/>
        <v>0</v>
      </c>
      <c r="AD738" s="152">
        <f t="shared" si="416"/>
        <v>0</v>
      </c>
      <c r="AE738" s="152">
        <f t="shared" si="416"/>
        <v>0</v>
      </c>
      <c r="AF738" s="152">
        <f t="shared" si="416"/>
        <v>0</v>
      </c>
      <c r="AG738" s="152">
        <f t="shared" si="416"/>
        <v>0</v>
      </c>
      <c r="AH738" s="152">
        <f t="shared" si="416"/>
        <v>0</v>
      </c>
      <c r="AI738" s="152">
        <f t="shared" si="416"/>
        <v>0</v>
      </c>
      <c r="AJ738" s="152">
        <f t="shared" si="416"/>
        <v>0</v>
      </c>
      <c r="AK738" s="152">
        <f t="shared" si="416"/>
        <v>0</v>
      </c>
      <c r="AL738" s="152">
        <f t="shared" si="416"/>
        <v>0</v>
      </c>
      <c r="AM738" s="152">
        <f t="shared" si="416"/>
        <v>0</v>
      </c>
      <c r="AN738" s="152">
        <f t="shared" si="416"/>
        <v>0</v>
      </c>
      <c r="AO738" s="152">
        <f t="shared" si="416"/>
        <v>0</v>
      </c>
      <c r="AP738" s="152">
        <f t="shared" si="416"/>
        <v>0</v>
      </c>
    </row>
    <row r="739" spans="1:42" x14ac:dyDescent="0.2">
      <c r="A739" s="4">
        <f>A738+1</f>
        <v>2</v>
      </c>
      <c r="B739" s="175">
        <f t="shared" si="415"/>
        <v>0</v>
      </c>
      <c r="C739" s="152">
        <f t="shared" ref="C739:AP739" si="417">IF(AND(C$2&gt;equip2_reserve_freq*$A726,C$2&lt;=equip2_reserve_freq*$A727),$B727/(equip2_reserve_freq),0)</f>
        <v>0</v>
      </c>
      <c r="D739" s="152">
        <f t="shared" si="417"/>
        <v>0</v>
      </c>
      <c r="E739" s="152">
        <f t="shared" si="417"/>
        <v>0</v>
      </c>
      <c r="F739" s="152">
        <f t="shared" si="417"/>
        <v>0</v>
      </c>
      <c r="G739" s="152">
        <f t="shared" si="417"/>
        <v>0</v>
      </c>
      <c r="H739" s="152">
        <f t="shared" si="417"/>
        <v>0</v>
      </c>
      <c r="I739" s="152">
        <f t="shared" si="417"/>
        <v>0</v>
      </c>
      <c r="J739" s="152">
        <f t="shared" si="417"/>
        <v>0</v>
      </c>
      <c r="K739" s="152">
        <f t="shared" si="417"/>
        <v>0</v>
      </c>
      <c r="L739" s="152">
        <f t="shared" si="417"/>
        <v>0</v>
      </c>
      <c r="M739" s="152">
        <f t="shared" si="417"/>
        <v>0</v>
      </c>
      <c r="N739" s="152">
        <f t="shared" si="417"/>
        <v>0</v>
      </c>
      <c r="O739" s="152">
        <f t="shared" si="417"/>
        <v>0</v>
      </c>
      <c r="P739" s="152">
        <f t="shared" si="417"/>
        <v>0</v>
      </c>
      <c r="Q739" s="152">
        <f t="shared" si="417"/>
        <v>0</v>
      </c>
      <c r="R739" s="152">
        <f t="shared" si="417"/>
        <v>0</v>
      </c>
      <c r="S739" s="152">
        <f t="shared" si="417"/>
        <v>0</v>
      </c>
      <c r="T739" s="152">
        <f t="shared" si="417"/>
        <v>0</v>
      </c>
      <c r="U739" s="152">
        <f t="shared" si="417"/>
        <v>0</v>
      </c>
      <c r="V739" s="152">
        <f t="shared" si="417"/>
        <v>0</v>
      </c>
      <c r="W739" s="152">
        <f t="shared" si="417"/>
        <v>0</v>
      </c>
      <c r="X739" s="152">
        <f t="shared" si="417"/>
        <v>0</v>
      </c>
      <c r="Y739" s="152">
        <f t="shared" si="417"/>
        <v>0</v>
      </c>
      <c r="Z739" s="152">
        <f t="shared" si="417"/>
        <v>0</v>
      </c>
      <c r="AA739" s="152">
        <f t="shared" si="417"/>
        <v>0</v>
      </c>
      <c r="AB739" s="152">
        <f t="shared" si="417"/>
        <v>0</v>
      </c>
      <c r="AC739" s="152">
        <f t="shared" si="417"/>
        <v>0</v>
      </c>
      <c r="AD739" s="152">
        <f t="shared" si="417"/>
        <v>0</v>
      </c>
      <c r="AE739" s="152">
        <f t="shared" si="417"/>
        <v>0</v>
      </c>
      <c r="AF739" s="152">
        <f t="shared" si="417"/>
        <v>0</v>
      </c>
      <c r="AG739" s="152">
        <f t="shared" si="417"/>
        <v>0</v>
      </c>
      <c r="AH739" s="152">
        <f t="shared" si="417"/>
        <v>0</v>
      </c>
      <c r="AI739" s="152">
        <f t="shared" si="417"/>
        <v>0</v>
      </c>
      <c r="AJ739" s="152">
        <f t="shared" si="417"/>
        <v>0</v>
      </c>
      <c r="AK739" s="152">
        <f t="shared" si="417"/>
        <v>0</v>
      </c>
      <c r="AL739" s="152">
        <f t="shared" si="417"/>
        <v>0</v>
      </c>
      <c r="AM739" s="152">
        <f t="shared" si="417"/>
        <v>0</v>
      </c>
      <c r="AN739" s="152">
        <f t="shared" si="417"/>
        <v>0</v>
      </c>
      <c r="AO739" s="152">
        <f t="shared" si="417"/>
        <v>0</v>
      </c>
      <c r="AP739" s="152">
        <f t="shared" si="417"/>
        <v>0</v>
      </c>
    </row>
    <row r="740" spans="1:42" x14ac:dyDescent="0.2">
      <c r="A740" s="4">
        <f t="shared" ref="A740:A745" si="418">A739+1</f>
        <v>3</v>
      </c>
      <c r="B740" s="175">
        <f t="shared" si="415"/>
        <v>0</v>
      </c>
      <c r="C740" s="152">
        <f t="shared" ref="C740:AP740" si="419">IF(AND(C$2&gt;equip2_reserve_freq*$A727,C$2&lt;=equip2_reserve_freq*$A728),$B728/(equip2_reserve_freq),0)</f>
        <v>0</v>
      </c>
      <c r="D740" s="152">
        <f t="shared" si="419"/>
        <v>0</v>
      </c>
      <c r="E740" s="152">
        <f t="shared" si="419"/>
        <v>0</v>
      </c>
      <c r="F740" s="152">
        <f t="shared" si="419"/>
        <v>0</v>
      </c>
      <c r="G740" s="152">
        <f t="shared" si="419"/>
        <v>0</v>
      </c>
      <c r="H740" s="152">
        <f t="shared" si="419"/>
        <v>0</v>
      </c>
      <c r="I740" s="152">
        <f t="shared" si="419"/>
        <v>0</v>
      </c>
      <c r="J740" s="152">
        <f t="shared" si="419"/>
        <v>0</v>
      </c>
      <c r="K740" s="152">
        <f t="shared" si="419"/>
        <v>0</v>
      </c>
      <c r="L740" s="152">
        <f t="shared" si="419"/>
        <v>0</v>
      </c>
      <c r="M740" s="152">
        <f t="shared" si="419"/>
        <v>0</v>
      </c>
      <c r="N740" s="152">
        <f t="shared" si="419"/>
        <v>0</v>
      </c>
      <c r="O740" s="152">
        <f t="shared" si="419"/>
        <v>0</v>
      </c>
      <c r="P740" s="152">
        <f t="shared" si="419"/>
        <v>0</v>
      </c>
      <c r="Q740" s="152">
        <f t="shared" si="419"/>
        <v>0</v>
      </c>
      <c r="R740" s="152">
        <f t="shared" si="419"/>
        <v>0</v>
      </c>
      <c r="S740" s="152">
        <f t="shared" si="419"/>
        <v>0</v>
      </c>
      <c r="T740" s="152">
        <f t="shared" si="419"/>
        <v>0</v>
      </c>
      <c r="U740" s="152">
        <f t="shared" si="419"/>
        <v>0</v>
      </c>
      <c r="V740" s="152">
        <f t="shared" si="419"/>
        <v>0</v>
      </c>
      <c r="W740" s="152">
        <f t="shared" si="419"/>
        <v>0</v>
      </c>
      <c r="X740" s="152">
        <f t="shared" si="419"/>
        <v>0</v>
      </c>
      <c r="Y740" s="152">
        <f t="shared" si="419"/>
        <v>0</v>
      </c>
      <c r="Z740" s="152">
        <f t="shared" si="419"/>
        <v>0</v>
      </c>
      <c r="AA740" s="152">
        <f t="shared" si="419"/>
        <v>0</v>
      </c>
      <c r="AB740" s="152">
        <f t="shared" si="419"/>
        <v>0</v>
      </c>
      <c r="AC740" s="152">
        <f t="shared" si="419"/>
        <v>0</v>
      </c>
      <c r="AD740" s="152">
        <f t="shared" si="419"/>
        <v>0</v>
      </c>
      <c r="AE740" s="152">
        <f t="shared" si="419"/>
        <v>0</v>
      </c>
      <c r="AF740" s="152">
        <f t="shared" si="419"/>
        <v>0</v>
      </c>
      <c r="AG740" s="152">
        <f t="shared" si="419"/>
        <v>0</v>
      </c>
      <c r="AH740" s="152">
        <f t="shared" si="419"/>
        <v>0</v>
      </c>
      <c r="AI740" s="152">
        <f t="shared" si="419"/>
        <v>0</v>
      </c>
      <c r="AJ740" s="152">
        <f t="shared" si="419"/>
        <v>0</v>
      </c>
      <c r="AK740" s="152">
        <f t="shared" si="419"/>
        <v>0</v>
      </c>
      <c r="AL740" s="152">
        <f t="shared" si="419"/>
        <v>0</v>
      </c>
      <c r="AM740" s="152">
        <f t="shared" si="419"/>
        <v>0</v>
      </c>
      <c r="AN740" s="152">
        <f t="shared" si="419"/>
        <v>0</v>
      </c>
      <c r="AO740" s="152">
        <f t="shared" si="419"/>
        <v>0</v>
      </c>
      <c r="AP740" s="152">
        <f t="shared" si="419"/>
        <v>0</v>
      </c>
    </row>
    <row r="741" spans="1:42" x14ac:dyDescent="0.2">
      <c r="A741" s="4">
        <f t="shared" si="418"/>
        <v>4</v>
      </c>
      <c r="B741" s="175">
        <f t="shared" si="415"/>
        <v>0</v>
      </c>
      <c r="C741" s="152">
        <f t="shared" ref="C741:AP741" si="420">IF(AND(C$2&gt;equip2_reserve_freq*$A728,C$2&lt;=equip2_reserve_freq*$A729),$B729/(equip2_reserve_freq),0)</f>
        <v>0</v>
      </c>
      <c r="D741" s="152">
        <f t="shared" si="420"/>
        <v>0</v>
      </c>
      <c r="E741" s="152">
        <f t="shared" si="420"/>
        <v>0</v>
      </c>
      <c r="F741" s="152">
        <f t="shared" si="420"/>
        <v>0</v>
      </c>
      <c r="G741" s="152">
        <f t="shared" si="420"/>
        <v>0</v>
      </c>
      <c r="H741" s="152">
        <f t="shared" si="420"/>
        <v>0</v>
      </c>
      <c r="I741" s="152">
        <f t="shared" si="420"/>
        <v>0</v>
      </c>
      <c r="J741" s="152">
        <f t="shared" si="420"/>
        <v>0</v>
      </c>
      <c r="K741" s="152">
        <f t="shared" si="420"/>
        <v>0</v>
      </c>
      <c r="L741" s="152">
        <f t="shared" si="420"/>
        <v>0</v>
      </c>
      <c r="M741" s="152">
        <f t="shared" si="420"/>
        <v>0</v>
      </c>
      <c r="N741" s="152">
        <f t="shared" si="420"/>
        <v>0</v>
      </c>
      <c r="O741" s="152">
        <f t="shared" si="420"/>
        <v>0</v>
      </c>
      <c r="P741" s="152">
        <f t="shared" si="420"/>
        <v>0</v>
      </c>
      <c r="Q741" s="152">
        <f t="shared" si="420"/>
        <v>0</v>
      </c>
      <c r="R741" s="152">
        <f t="shared" si="420"/>
        <v>0</v>
      </c>
      <c r="S741" s="152">
        <f t="shared" si="420"/>
        <v>0</v>
      </c>
      <c r="T741" s="152">
        <f t="shared" si="420"/>
        <v>0</v>
      </c>
      <c r="U741" s="152">
        <f t="shared" si="420"/>
        <v>0</v>
      </c>
      <c r="V741" s="152">
        <f t="shared" si="420"/>
        <v>0</v>
      </c>
      <c r="W741" s="152">
        <f t="shared" si="420"/>
        <v>0</v>
      </c>
      <c r="X741" s="152">
        <f t="shared" si="420"/>
        <v>0</v>
      </c>
      <c r="Y741" s="152">
        <f t="shared" si="420"/>
        <v>0</v>
      </c>
      <c r="Z741" s="152">
        <f t="shared" si="420"/>
        <v>0</v>
      </c>
      <c r="AA741" s="152">
        <f t="shared" si="420"/>
        <v>0</v>
      </c>
      <c r="AB741" s="152">
        <f t="shared" si="420"/>
        <v>0</v>
      </c>
      <c r="AC741" s="152">
        <f t="shared" si="420"/>
        <v>0</v>
      </c>
      <c r="AD741" s="152">
        <f t="shared" si="420"/>
        <v>0</v>
      </c>
      <c r="AE741" s="152">
        <f t="shared" si="420"/>
        <v>0</v>
      </c>
      <c r="AF741" s="152">
        <f t="shared" si="420"/>
        <v>0</v>
      </c>
      <c r="AG741" s="152">
        <f t="shared" si="420"/>
        <v>0</v>
      </c>
      <c r="AH741" s="152">
        <f t="shared" si="420"/>
        <v>0</v>
      </c>
      <c r="AI741" s="152">
        <f t="shared" si="420"/>
        <v>0</v>
      </c>
      <c r="AJ741" s="152">
        <f t="shared" si="420"/>
        <v>0</v>
      </c>
      <c r="AK741" s="152">
        <f t="shared" si="420"/>
        <v>0</v>
      </c>
      <c r="AL741" s="152">
        <f t="shared" si="420"/>
        <v>0</v>
      </c>
      <c r="AM741" s="152">
        <f t="shared" si="420"/>
        <v>0</v>
      </c>
      <c r="AN741" s="152">
        <f t="shared" si="420"/>
        <v>0</v>
      </c>
      <c r="AO741" s="152">
        <f t="shared" si="420"/>
        <v>0</v>
      </c>
      <c r="AP741" s="152">
        <f t="shared" si="420"/>
        <v>0</v>
      </c>
    </row>
    <row r="742" spans="1:42" x14ac:dyDescent="0.2">
      <c r="A742" s="4">
        <f t="shared" si="418"/>
        <v>5</v>
      </c>
      <c r="B742" s="175">
        <f t="shared" si="415"/>
        <v>0</v>
      </c>
      <c r="C742" s="152">
        <f t="shared" ref="C742:AP742" si="421">IF(AND(C$2&gt;equip2_reserve_freq*$A729,C$2&lt;=equip2_reserve_freq*$A730),$B730/(equip2_reserve_freq),0)</f>
        <v>0</v>
      </c>
      <c r="D742" s="152">
        <f t="shared" si="421"/>
        <v>0</v>
      </c>
      <c r="E742" s="152">
        <f t="shared" si="421"/>
        <v>0</v>
      </c>
      <c r="F742" s="152">
        <f t="shared" si="421"/>
        <v>0</v>
      </c>
      <c r="G742" s="152">
        <f t="shared" si="421"/>
        <v>0</v>
      </c>
      <c r="H742" s="152">
        <f t="shared" si="421"/>
        <v>0</v>
      </c>
      <c r="I742" s="152">
        <f t="shared" si="421"/>
        <v>0</v>
      </c>
      <c r="J742" s="152">
        <f t="shared" si="421"/>
        <v>0</v>
      </c>
      <c r="K742" s="152">
        <f t="shared" si="421"/>
        <v>0</v>
      </c>
      <c r="L742" s="152">
        <f t="shared" si="421"/>
        <v>0</v>
      </c>
      <c r="M742" s="152">
        <f t="shared" si="421"/>
        <v>0</v>
      </c>
      <c r="N742" s="152">
        <f t="shared" si="421"/>
        <v>0</v>
      </c>
      <c r="O742" s="152">
        <f t="shared" si="421"/>
        <v>0</v>
      </c>
      <c r="P742" s="152">
        <f t="shared" si="421"/>
        <v>0</v>
      </c>
      <c r="Q742" s="152">
        <f t="shared" si="421"/>
        <v>0</v>
      </c>
      <c r="R742" s="152">
        <f t="shared" si="421"/>
        <v>0</v>
      </c>
      <c r="S742" s="152">
        <f t="shared" si="421"/>
        <v>0</v>
      </c>
      <c r="T742" s="152">
        <f t="shared" si="421"/>
        <v>0</v>
      </c>
      <c r="U742" s="152">
        <f t="shared" si="421"/>
        <v>0</v>
      </c>
      <c r="V742" s="152">
        <f t="shared" si="421"/>
        <v>0</v>
      </c>
      <c r="W742" s="152">
        <f t="shared" si="421"/>
        <v>0</v>
      </c>
      <c r="X742" s="152">
        <f t="shared" si="421"/>
        <v>0</v>
      </c>
      <c r="Y742" s="152">
        <f t="shared" si="421"/>
        <v>0</v>
      </c>
      <c r="Z742" s="152">
        <f t="shared" si="421"/>
        <v>0</v>
      </c>
      <c r="AA742" s="152">
        <f t="shared" si="421"/>
        <v>0</v>
      </c>
      <c r="AB742" s="152">
        <f t="shared" si="421"/>
        <v>0</v>
      </c>
      <c r="AC742" s="152">
        <f t="shared" si="421"/>
        <v>0</v>
      </c>
      <c r="AD742" s="152">
        <f t="shared" si="421"/>
        <v>0</v>
      </c>
      <c r="AE742" s="152">
        <f t="shared" si="421"/>
        <v>0</v>
      </c>
      <c r="AF742" s="152">
        <f t="shared" si="421"/>
        <v>0</v>
      </c>
      <c r="AG742" s="152">
        <f t="shared" si="421"/>
        <v>0</v>
      </c>
      <c r="AH742" s="152">
        <f t="shared" si="421"/>
        <v>0</v>
      </c>
      <c r="AI742" s="152">
        <f t="shared" si="421"/>
        <v>0</v>
      </c>
      <c r="AJ742" s="152">
        <f t="shared" si="421"/>
        <v>0</v>
      </c>
      <c r="AK742" s="152">
        <f t="shared" si="421"/>
        <v>0</v>
      </c>
      <c r="AL742" s="152">
        <f t="shared" si="421"/>
        <v>0</v>
      </c>
      <c r="AM742" s="152">
        <f t="shared" si="421"/>
        <v>0</v>
      </c>
      <c r="AN742" s="152">
        <f t="shared" si="421"/>
        <v>0</v>
      </c>
      <c r="AO742" s="152">
        <f t="shared" si="421"/>
        <v>0</v>
      </c>
      <c r="AP742" s="152">
        <f t="shared" si="421"/>
        <v>0</v>
      </c>
    </row>
    <row r="743" spans="1:42" x14ac:dyDescent="0.2">
      <c r="A743" s="4">
        <f t="shared" si="418"/>
        <v>6</v>
      </c>
      <c r="B743" s="175">
        <f t="shared" si="415"/>
        <v>0</v>
      </c>
      <c r="C743" s="152">
        <f t="shared" ref="C743:AP743" si="422">IF(AND(C$2&gt;equip2_reserve_freq*$A730,C$2&lt;=equip2_reserve_freq*$A731),$B731/(equip2_reserve_freq),0)</f>
        <v>0</v>
      </c>
      <c r="D743" s="152">
        <f t="shared" si="422"/>
        <v>0</v>
      </c>
      <c r="E743" s="152">
        <f t="shared" si="422"/>
        <v>0</v>
      </c>
      <c r="F743" s="152">
        <f t="shared" si="422"/>
        <v>0</v>
      </c>
      <c r="G743" s="152">
        <f t="shared" si="422"/>
        <v>0</v>
      </c>
      <c r="H743" s="152">
        <f t="shared" si="422"/>
        <v>0</v>
      </c>
      <c r="I743" s="152">
        <f t="shared" si="422"/>
        <v>0</v>
      </c>
      <c r="J743" s="152">
        <f t="shared" si="422"/>
        <v>0</v>
      </c>
      <c r="K743" s="152">
        <f t="shared" si="422"/>
        <v>0</v>
      </c>
      <c r="L743" s="152">
        <f t="shared" si="422"/>
        <v>0</v>
      </c>
      <c r="M743" s="152">
        <f t="shared" si="422"/>
        <v>0</v>
      </c>
      <c r="N743" s="152">
        <f t="shared" si="422"/>
        <v>0</v>
      </c>
      <c r="O743" s="152">
        <f t="shared" si="422"/>
        <v>0</v>
      </c>
      <c r="P743" s="152">
        <f t="shared" si="422"/>
        <v>0</v>
      </c>
      <c r="Q743" s="152">
        <f t="shared" si="422"/>
        <v>0</v>
      </c>
      <c r="R743" s="152">
        <f t="shared" si="422"/>
        <v>0</v>
      </c>
      <c r="S743" s="152">
        <f t="shared" si="422"/>
        <v>0</v>
      </c>
      <c r="T743" s="152">
        <f t="shared" si="422"/>
        <v>0</v>
      </c>
      <c r="U743" s="152">
        <f t="shared" si="422"/>
        <v>0</v>
      </c>
      <c r="V743" s="152">
        <f t="shared" si="422"/>
        <v>0</v>
      </c>
      <c r="W743" s="152">
        <f t="shared" si="422"/>
        <v>0</v>
      </c>
      <c r="X743" s="152">
        <f t="shared" si="422"/>
        <v>0</v>
      </c>
      <c r="Y743" s="152">
        <f t="shared" si="422"/>
        <v>0</v>
      </c>
      <c r="Z743" s="152">
        <f t="shared" si="422"/>
        <v>0</v>
      </c>
      <c r="AA743" s="152">
        <f t="shared" si="422"/>
        <v>0</v>
      </c>
      <c r="AB743" s="152">
        <f t="shared" si="422"/>
        <v>0</v>
      </c>
      <c r="AC743" s="152">
        <f t="shared" si="422"/>
        <v>0</v>
      </c>
      <c r="AD743" s="152">
        <f t="shared" si="422"/>
        <v>0</v>
      </c>
      <c r="AE743" s="152">
        <f t="shared" si="422"/>
        <v>0</v>
      </c>
      <c r="AF743" s="152">
        <f t="shared" si="422"/>
        <v>0</v>
      </c>
      <c r="AG743" s="152">
        <f t="shared" si="422"/>
        <v>0</v>
      </c>
      <c r="AH743" s="152">
        <f t="shared" si="422"/>
        <v>0</v>
      </c>
      <c r="AI743" s="152">
        <f t="shared" si="422"/>
        <v>0</v>
      </c>
      <c r="AJ743" s="152">
        <f t="shared" si="422"/>
        <v>0</v>
      </c>
      <c r="AK743" s="152">
        <f t="shared" si="422"/>
        <v>0</v>
      </c>
      <c r="AL743" s="152">
        <f t="shared" si="422"/>
        <v>0</v>
      </c>
      <c r="AM743" s="152">
        <f t="shared" si="422"/>
        <v>0</v>
      </c>
      <c r="AN743" s="152">
        <f t="shared" si="422"/>
        <v>0</v>
      </c>
      <c r="AO743" s="152">
        <f t="shared" si="422"/>
        <v>0</v>
      </c>
      <c r="AP743" s="152">
        <f t="shared" si="422"/>
        <v>0</v>
      </c>
    </row>
    <row r="744" spans="1:42" x14ac:dyDescent="0.2">
      <c r="A744" s="4">
        <f t="shared" si="418"/>
        <v>7</v>
      </c>
      <c r="B744" s="175">
        <f t="shared" si="415"/>
        <v>0</v>
      </c>
      <c r="C744" s="152">
        <f t="shared" ref="C744:AP744" si="423">IF(AND(C$2&gt;equip2_reserve_freq*$A731,C$2&lt;=equip2_reserve_freq*$A732),$B732/(equip2_reserve_freq),0)</f>
        <v>0</v>
      </c>
      <c r="D744" s="152">
        <f t="shared" si="423"/>
        <v>0</v>
      </c>
      <c r="E744" s="152">
        <f t="shared" si="423"/>
        <v>0</v>
      </c>
      <c r="F744" s="152">
        <f t="shared" si="423"/>
        <v>0</v>
      </c>
      <c r="G744" s="152">
        <f t="shared" si="423"/>
        <v>0</v>
      </c>
      <c r="H744" s="152">
        <f t="shared" si="423"/>
        <v>0</v>
      </c>
      <c r="I744" s="152">
        <f t="shared" si="423"/>
        <v>0</v>
      </c>
      <c r="J744" s="152">
        <f t="shared" si="423"/>
        <v>0</v>
      </c>
      <c r="K744" s="152">
        <f t="shared" si="423"/>
        <v>0</v>
      </c>
      <c r="L744" s="152">
        <f t="shared" si="423"/>
        <v>0</v>
      </c>
      <c r="M744" s="152">
        <f t="shared" si="423"/>
        <v>0</v>
      </c>
      <c r="N744" s="152">
        <f t="shared" si="423"/>
        <v>0</v>
      </c>
      <c r="O744" s="152">
        <f t="shared" si="423"/>
        <v>0</v>
      </c>
      <c r="P744" s="152">
        <f t="shared" si="423"/>
        <v>0</v>
      </c>
      <c r="Q744" s="152">
        <f t="shared" si="423"/>
        <v>0</v>
      </c>
      <c r="R744" s="152">
        <f t="shared" si="423"/>
        <v>0</v>
      </c>
      <c r="S744" s="152">
        <f t="shared" si="423"/>
        <v>0</v>
      </c>
      <c r="T744" s="152">
        <f t="shared" si="423"/>
        <v>0</v>
      </c>
      <c r="U744" s="152">
        <f t="shared" si="423"/>
        <v>0</v>
      </c>
      <c r="V744" s="152">
        <f t="shared" si="423"/>
        <v>0</v>
      </c>
      <c r="W744" s="152">
        <f t="shared" si="423"/>
        <v>0</v>
      </c>
      <c r="X744" s="152">
        <f t="shared" si="423"/>
        <v>0</v>
      </c>
      <c r="Y744" s="152">
        <f t="shared" si="423"/>
        <v>0</v>
      </c>
      <c r="Z744" s="152">
        <f t="shared" si="423"/>
        <v>0</v>
      </c>
      <c r="AA744" s="152">
        <f t="shared" si="423"/>
        <v>0</v>
      </c>
      <c r="AB744" s="152">
        <f t="shared" si="423"/>
        <v>0</v>
      </c>
      <c r="AC744" s="152">
        <f t="shared" si="423"/>
        <v>0</v>
      </c>
      <c r="AD744" s="152">
        <f t="shared" si="423"/>
        <v>0</v>
      </c>
      <c r="AE744" s="152">
        <f t="shared" si="423"/>
        <v>0</v>
      </c>
      <c r="AF744" s="152">
        <f t="shared" si="423"/>
        <v>0</v>
      </c>
      <c r="AG744" s="152">
        <f t="shared" si="423"/>
        <v>0</v>
      </c>
      <c r="AH744" s="152">
        <f t="shared" si="423"/>
        <v>0</v>
      </c>
      <c r="AI744" s="152">
        <f t="shared" si="423"/>
        <v>0</v>
      </c>
      <c r="AJ744" s="152">
        <f t="shared" si="423"/>
        <v>0</v>
      </c>
      <c r="AK744" s="152">
        <f t="shared" si="423"/>
        <v>0</v>
      </c>
      <c r="AL744" s="152">
        <f t="shared" si="423"/>
        <v>0</v>
      </c>
      <c r="AM744" s="152">
        <f t="shared" si="423"/>
        <v>0</v>
      </c>
      <c r="AN744" s="152">
        <f t="shared" si="423"/>
        <v>0</v>
      </c>
      <c r="AO744" s="152">
        <f t="shared" si="423"/>
        <v>0</v>
      </c>
      <c r="AP744" s="152">
        <f t="shared" si="423"/>
        <v>0</v>
      </c>
    </row>
    <row r="745" spans="1:42" x14ac:dyDescent="0.2">
      <c r="A745" s="4">
        <f t="shared" si="418"/>
        <v>8</v>
      </c>
      <c r="B745" s="175">
        <f t="shared" si="415"/>
        <v>0</v>
      </c>
      <c r="C745" s="152">
        <f t="shared" ref="C745:AP745" si="424">IF(AND(C$2&gt;equip2_reserve_freq*$A732,C$2&lt;=equip2_reserve_freq*$A733),$B733/(equip2_reserve_freq),0)</f>
        <v>0</v>
      </c>
      <c r="D745" s="152">
        <f t="shared" si="424"/>
        <v>0</v>
      </c>
      <c r="E745" s="152">
        <f t="shared" si="424"/>
        <v>0</v>
      </c>
      <c r="F745" s="152">
        <f t="shared" si="424"/>
        <v>0</v>
      </c>
      <c r="G745" s="152">
        <f t="shared" si="424"/>
        <v>0</v>
      </c>
      <c r="H745" s="152">
        <f t="shared" si="424"/>
        <v>0</v>
      </c>
      <c r="I745" s="152">
        <f t="shared" si="424"/>
        <v>0</v>
      </c>
      <c r="J745" s="152">
        <f t="shared" si="424"/>
        <v>0</v>
      </c>
      <c r="K745" s="152">
        <f t="shared" si="424"/>
        <v>0</v>
      </c>
      <c r="L745" s="152">
        <f t="shared" si="424"/>
        <v>0</v>
      </c>
      <c r="M745" s="152">
        <f t="shared" si="424"/>
        <v>0</v>
      </c>
      <c r="N745" s="152">
        <f t="shared" si="424"/>
        <v>0</v>
      </c>
      <c r="O745" s="152">
        <f t="shared" si="424"/>
        <v>0</v>
      </c>
      <c r="P745" s="152">
        <f t="shared" si="424"/>
        <v>0</v>
      </c>
      <c r="Q745" s="152">
        <f t="shared" si="424"/>
        <v>0</v>
      </c>
      <c r="R745" s="152">
        <f t="shared" si="424"/>
        <v>0</v>
      </c>
      <c r="S745" s="152">
        <f t="shared" si="424"/>
        <v>0</v>
      </c>
      <c r="T745" s="152">
        <f t="shared" si="424"/>
        <v>0</v>
      </c>
      <c r="U745" s="152">
        <f t="shared" si="424"/>
        <v>0</v>
      </c>
      <c r="V745" s="152">
        <f t="shared" si="424"/>
        <v>0</v>
      </c>
      <c r="W745" s="152">
        <f t="shared" si="424"/>
        <v>0</v>
      </c>
      <c r="X745" s="152">
        <f t="shared" si="424"/>
        <v>0</v>
      </c>
      <c r="Y745" s="152">
        <f t="shared" si="424"/>
        <v>0</v>
      </c>
      <c r="Z745" s="152">
        <f t="shared" si="424"/>
        <v>0</v>
      </c>
      <c r="AA745" s="152">
        <f t="shared" si="424"/>
        <v>0</v>
      </c>
      <c r="AB745" s="152">
        <f t="shared" si="424"/>
        <v>0</v>
      </c>
      <c r="AC745" s="152">
        <f t="shared" si="424"/>
        <v>0</v>
      </c>
      <c r="AD745" s="152">
        <f t="shared" si="424"/>
        <v>0</v>
      </c>
      <c r="AE745" s="152">
        <f t="shared" si="424"/>
        <v>0</v>
      </c>
      <c r="AF745" s="152">
        <f t="shared" si="424"/>
        <v>0</v>
      </c>
      <c r="AG745" s="152">
        <f t="shared" si="424"/>
        <v>0</v>
      </c>
      <c r="AH745" s="152">
        <f t="shared" si="424"/>
        <v>0</v>
      </c>
      <c r="AI745" s="152">
        <f t="shared" si="424"/>
        <v>0</v>
      </c>
      <c r="AJ745" s="152">
        <f t="shared" si="424"/>
        <v>0</v>
      </c>
      <c r="AK745" s="152">
        <f t="shared" si="424"/>
        <v>0</v>
      </c>
      <c r="AL745" s="152">
        <f t="shared" si="424"/>
        <v>0</v>
      </c>
      <c r="AM745" s="152">
        <f t="shared" si="424"/>
        <v>0</v>
      </c>
      <c r="AN745" s="152">
        <f t="shared" si="424"/>
        <v>0</v>
      </c>
      <c r="AO745" s="152">
        <f t="shared" si="424"/>
        <v>0</v>
      </c>
      <c r="AP745" s="152">
        <f t="shared" si="424"/>
        <v>0</v>
      </c>
    </row>
    <row r="746" spans="1:42" x14ac:dyDescent="0.2">
      <c r="A746" s="4">
        <f>A745+1</f>
        <v>9</v>
      </c>
      <c r="B746" s="175">
        <f t="shared" si="415"/>
        <v>0</v>
      </c>
      <c r="C746" s="152">
        <f t="shared" ref="C746:AP746" si="425">IF(AND(C$2&gt;equip2_reserve_freq*$A733,C$2&lt;=equip2_reserve_freq*$A734),$B734/(equip2_reserve_freq),0)</f>
        <v>0</v>
      </c>
      <c r="D746" s="152">
        <f t="shared" si="425"/>
        <v>0</v>
      </c>
      <c r="E746" s="152">
        <f t="shared" si="425"/>
        <v>0</v>
      </c>
      <c r="F746" s="152">
        <f t="shared" si="425"/>
        <v>0</v>
      </c>
      <c r="G746" s="152">
        <f t="shared" si="425"/>
        <v>0</v>
      </c>
      <c r="H746" s="152">
        <f t="shared" si="425"/>
        <v>0</v>
      </c>
      <c r="I746" s="152">
        <f t="shared" si="425"/>
        <v>0</v>
      </c>
      <c r="J746" s="152">
        <f t="shared" si="425"/>
        <v>0</v>
      </c>
      <c r="K746" s="152">
        <f t="shared" si="425"/>
        <v>0</v>
      </c>
      <c r="L746" s="152">
        <f t="shared" si="425"/>
        <v>0</v>
      </c>
      <c r="M746" s="152">
        <f t="shared" si="425"/>
        <v>0</v>
      </c>
      <c r="N746" s="152">
        <f t="shared" si="425"/>
        <v>0</v>
      </c>
      <c r="O746" s="152">
        <f t="shared" si="425"/>
        <v>0</v>
      </c>
      <c r="P746" s="152">
        <f t="shared" si="425"/>
        <v>0</v>
      </c>
      <c r="Q746" s="152">
        <f t="shared" si="425"/>
        <v>0</v>
      </c>
      <c r="R746" s="152">
        <f t="shared" si="425"/>
        <v>0</v>
      </c>
      <c r="S746" s="152">
        <f t="shared" si="425"/>
        <v>0</v>
      </c>
      <c r="T746" s="152">
        <f t="shared" si="425"/>
        <v>0</v>
      </c>
      <c r="U746" s="152">
        <f t="shared" si="425"/>
        <v>0</v>
      </c>
      <c r="V746" s="152">
        <f t="shared" si="425"/>
        <v>0</v>
      </c>
      <c r="W746" s="152">
        <f t="shared" si="425"/>
        <v>0</v>
      </c>
      <c r="X746" s="152">
        <f t="shared" si="425"/>
        <v>0</v>
      </c>
      <c r="Y746" s="152">
        <f t="shared" si="425"/>
        <v>0</v>
      </c>
      <c r="Z746" s="152">
        <f t="shared" si="425"/>
        <v>0</v>
      </c>
      <c r="AA746" s="152">
        <f t="shared" si="425"/>
        <v>0</v>
      </c>
      <c r="AB746" s="152">
        <f t="shared" si="425"/>
        <v>0</v>
      </c>
      <c r="AC746" s="152">
        <f t="shared" si="425"/>
        <v>0</v>
      </c>
      <c r="AD746" s="152">
        <f t="shared" si="425"/>
        <v>0</v>
      </c>
      <c r="AE746" s="152">
        <f t="shared" si="425"/>
        <v>0</v>
      </c>
      <c r="AF746" s="152">
        <f t="shared" si="425"/>
        <v>0</v>
      </c>
      <c r="AG746" s="152">
        <f t="shared" si="425"/>
        <v>0</v>
      </c>
      <c r="AH746" s="152">
        <f t="shared" si="425"/>
        <v>0</v>
      </c>
      <c r="AI746" s="152">
        <f t="shared" si="425"/>
        <v>0</v>
      </c>
      <c r="AJ746" s="152">
        <f t="shared" si="425"/>
        <v>0</v>
      </c>
      <c r="AK746" s="152">
        <f t="shared" si="425"/>
        <v>0</v>
      </c>
      <c r="AL746" s="152">
        <f t="shared" si="425"/>
        <v>0</v>
      </c>
      <c r="AM746" s="152">
        <f t="shared" si="425"/>
        <v>0</v>
      </c>
      <c r="AN746" s="152">
        <f t="shared" si="425"/>
        <v>0</v>
      </c>
      <c r="AO746" s="152">
        <f t="shared" si="425"/>
        <v>0</v>
      </c>
      <c r="AP746" s="152">
        <f t="shared" si="425"/>
        <v>0</v>
      </c>
    </row>
    <row r="747" spans="1:42" x14ac:dyDescent="0.2">
      <c r="A747" s="4">
        <f t="shared" ref="A747" si="426">A746+1</f>
        <v>10</v>
      </c>
      <c r="B747" s="175">
        <f t="shared" si="415"/>
        <v>0</v>
      </c>
      <c r="C747" s="153">
        <f t="shared" ref="C747:AP747" si="427">IF(AND(C$2&gt;equip2_reserve_freq*$A734,C$2&lt;=equip2_reserve_freq*$A735),$B735/(equip2_reserve_freq),0)</f>
        <v>0</v>
      </c>
      <c r="D747" s="153">
        <f t="shared" si="427"/>
        <v>0</v>
      </c>
      <c r="E747" s="153">
        <f t="shared" si="427"/>
        <v>0</v>
      </c>
      <c r="F747" s="153">
        <f t="shared" si="427"/>
        <v>0</v>
      </c>
      <c r="G747" s="153">
        <f t="shared" si="427"/>
        <v>0</v>
      </c>
      <c r="H747" s="153">
        <f t="shared" si="427"/>
        <v>0</v>
      </c>
      <c r="I747" s="153">
        <f t="shared" si="427"/>
        <v>0</v>
      </c>
      <c r="J747" s="153">
        <f t="shared" si="427"/>
        <v>0</v>
      </c>
      <c r="K747" s="153">
        <f t="shared" si="427"/>
        <v>0</v>
      </c>
      <c r="L747" s="153">
        <f t="shared" si="427"/>
        <v>0</v>
      </c>
      <c r="M747" s="153">
        <f t="shared" si="427"/>
        <v>0</v>
      </c>
      <c r="N747" s="153">
        <f t="shared" si="427"/>
        <v>0</v>
      </c>
      <c r="O747" s="153">
        <f t="shared" si="427"/>
        <v>0</v>
      </c>
      <c r="P747" s="153">
        <f t="shared" si="427"/>
        <v>0</v>
      </c>
      <c r="Q747" s="153">
        <f t="shared" si="427"/>
        <v>0</v>
      </c>
      <c r="R747" s="153">
        <f t="shared" si="427"/>
        <v>0</v>
      </c>
      <c r="S747" s="153">
        <f t="shared" si="427"/>
        <v>0</v>
      </c>
      <c r="T747" s="153">
        <f t="shared" si="427"/>
        <v>0</v>
      </c>
      <c r="U747" s="153">
        <f t="shared" si="427"/>
        <v>0</v>
      </c>
      <c r="V747" s="153">
        <f t="shared" si="427"/>
        <v>0</v>
      </c>
      <c r="W747" s="153">
        <f t="shared" si="427"/>
        <v>0</v>
      </c>
      <c r="X747" s="153">
        <f t="shared" si="427"/>
        <v>0</v>
      </c>
      <c r="Y747" s="153">
        <f t="shared" si="427"/>
        <v>0</v>
      </c>
      <c r="Z747" s="153">
        <f t="shared" si="427"/>
        <v>0</v>
      </c>
      <c r="AA747" s="153">
        <f t="shared" si="427"/>
        <v>0</v>
      </c>
      <c r="AB747" s="153">
        <f t="shared" si="427"/>
        <v>0</v>
      </c>
      <c r="AC747" s="153">
        <f t="shared" si="427"/>
        <v>0</v>
      </c>
      <c r="AD747" s="153">
        <f t="shared" si="427"/>
        <v>0</v>
      </c>
      <c r="AE747" s="153">
        <f t="shared" si="427"/>
        <v>0</v>
      </c>
      <c r="AF747" s="153">
        <f t="shared" si="427"/>
        <v>0</v>
      </c>
      <c r="AG747" s="153">
        <f t="shared" si="427"/>
        <v>0</v>
      </c>
      <c r="AH747" s="153">
        <f t="shared" si="427"/>
        <v>0</v>
      </c>
      <c r="AI747" s="153">
        <f t="shared" si="427"/>
        <v>0</v>
      </c>
      <c r="AJ747" s="153">
        <f t="shared" si="427"/>
        <v>0</v>
      </c>
      <c r="AK747" s="153">
        <f t="shared" si="427"/>
        <v>0</v>
      </c>
      <c r="AL747" s="153">
        <f t="shared" si="427"/>
        <v>0</v>
      </c>
      <c r="AM747" s="153">
        <f t="shared" si="427"/>
        <v>0</v>
      </c>
      <c r="AN747" s="153">
        <f t="shared" si="427"/>
        <v>0</v>
      </c>
      <c r="AO747" s="153">
        <f t="shared" si="427"/>
        <v>0</v>
      </c>
      <c r="AP747" s="153">
        <f t="shared" si="427"/>
        <v>0</v>
      </c>
    </row>
    <row r="748" spans="1:42" x14ac:dyDescent="0.2">
      <c r="A748" s="24" t="s">
        <v>13</v>
      </c>
      <c r="B748" s="14"/>
      <c r="C748" s="152">
        <f>SUM(C738:C747)</f>
        <v>0</v>
      </c>
      <c r="D748" s="152">
        <f t="shared" ref="D748:AP748" si="428">SUM(D738:D747)</f>
        <v>0</v>
      </c>
      <c r="E748" s="152">
        <f t="shared" si="428"/>
        <v>0</v>
      </c>
      <c r="F748" s="152">
        <f t="shared" si="428"/>
        <v>0</v>
      </c>
      <c r="G748" s="152">
        <f t="shared" si="428"/>
        <v>0</v>
      </c>
      <c r="H748" s="152">
        <f t="shared" si="428"/>
        <v>0</v>
      </c>
      <c r="I748" s="152">
        <f t="shared" si="428"/>
        <v>0</v>
      </c>
      <c r="J748" s="152">
        <f t="shared" si="428"/>
        <v>0</v>
      </c>
      <c r="K748" s="152">
        <f t="shared" si="428"/>
        <v>0</v>
      </c>
      <c r="L748" s="152">
        <f t="shared" si="428"/>
        <v>0</v>
      </c>
      <c r="M748" s="152">
        <f t="shared" si="428"/>
        <v>0</v>
      </c>
      <c r="N748" s="152">
        <f t="shared" si="428"/>
        <v>0</v>
      </c>
      <c r="O748" s="152">
        <f t="shared" si="428"/>
        <v>0</v>
      </c>
      <c r="P748" s="152">
        <f t="shared" si="428"/>
        <v>0</v>
      </c>
      <c r="Q748" s="152">
        <f t="shared" si="428"/>
        <v>0</v>
      </c>
      <c r="R748" s="152">
        <f t="shared" si="428"/>
        <v>0</v>
      </c>
      <c r="S748" s="152">
        <f t="shared" si="428"/>
        <v>0</v>
      </c>
      <c r="T748" s="152">
        <f t="shared" si="428"/>
        <v>0</v>
      </c>
      <c r="U748" s="152">
        <f t="shared" si="428"/>
        <v>0</v>
      </c>
      <c r="V748" s="152">
        <f t="shared" si="428"/>
        <v>0</v>
      </c>
      <c r="W748" s="152">
        <f t="shared" si="428"/>
        <v>0</v>
      </c>
      <c r="X748" s="152">
        <f t="shared" si="428"/>
        <v>0</v>
      </c>
      <c r="Y748" s="152">
        <f t="shared" si="428"/>
        <v>0</v>
      </c>
      <c r="Z748" s="152">
        <f t="shared" si="428"/>
        <v>0</v>
      </c>
      <c r="AA748" s="152">
        <f t="shared" si="428"/>
        <v>0</v>
      </c>
      <c r="AB748" s="152">
        <f t="shared" si="428"/>
        <v>0</v>
      </c>
      <c r="AC748" s="152">
        <f t="shared" si="428"/>
        <v>0</v>
      </c>
      <c r="AD748" s="152">
        <f t="shared" si="428"/>
        <v>0</v>
      </c>
      <c r="AE748" s="152">
        <f t="shared" si="428"/>
        <v>0</v>
      </c>
      <c r="AF748" s="152">
        <f t="shared" si="428"/>
        <v>0</v>
      </c>
      <c r="AG748" s="152">
        <f t="shared" si="428"/>
        <v>0</v>
      </c>
      <c r="AH748" s="152">
        <f t="shared" si="428"/>
        <v>0</v>
      </c>
      <c r="AI748" s="152">
        <f t="shared" si="428"/>
        <v>0</v>
      </c>
      <c r="AJ748" s="152">
        <f t="shared" si="428"/>
        <v>0</v>
      </c>
      <c r="AK748" s="152">
        <f t="shared" si="428"/>
        <v>0</v>
      </c>
      <c r="AL748" s="152">
        <f t="shared" si="428"/>
        <v>0</v>
      </c>
      <c r="AM748" s="152">
        <f t="shared" si="428"/>
        <v>0</v>
      </c>
      <c r="AN748" s="152">
        <f t="shared" si="428"/>
        <v>0</v>
      </c>
      <c r="AO748" s="152">
        <f t="shared" si="428"/>
        <v>0</v>
      </c>
      <c r="AP748" s="152">
        <f t="shared" si="428"/>
        <v>0</v>
      </c>
    </row>
    <row r="750" spans="1:42" x14ac:dyDescent="0.2">
      <c r="A750" s="19" t="s">
        <v>285</v>
      </c>
    </row>
    <row r="751" spans="1:42" x14ac:dyDescent="0.2">
      <c r="A751" s="4" t="s">
        <v>276</v>
      </c>
      <c r="B751" s="152">
        <v>0</v>
      </c>
      <c r="C751" s="152">
        <f>B754</f>
        <v>0</v>
      </c>
      <c r="D751" s="152">
        <f t="shared" ref="D751:AP751" si="429">C754</f>
        <v>0</v>
      </c>
      <c r="E751" s="152">
        <f t="shared" si="429"/>
        <v>0</v>
      </c>
      <c r="F751" s="152">
        <f t="shared" si="429"/>
        <v>0</v>
      </c>
      <c r="G751" s="152">
        <f t="shared" si="429"/>
        <v>0</v>
      </c>
      <c r="H751" s="152">
        <f t="shared" si="429"/>
        <v>0</v>
      </c>
      <c r="I751" s="152">
        <f t="shared" si="429"/>
        <v>0</v>
      </c>
      <c r="J751" s="152">
        <f t="shared" si="429"/>
        <v>0</v>
      </c>
      <c r="K751" s="152">
        <f t="shared" si="429"/>
        <v>0</v>
      </c>
      <c r="L751" s="152">
        <f t="shared" si="429"/>
        <v>0</v>
      </c>
      <c r="M751" s="152">
        <f t="shared" si="429"/>
        <v>0</v>
      </c>
      <c r="N751" s="152">
        <f t="shared" si="429"/>
        <v>0</v>
      </c>
      <c r="O751" s="152">
        <f t="shared" si="429"/>
        <v>0</v>
      </c>
      <c r="P751" s="152">
        <f t="shared" si="429"/>
        <v>0</v>
      </c>
      <c r="Q751" s="152">
        <f t="shared" si="429"/>
        <v>0</v>
      </c>
      <c r="R751" s="152">
        <f t="shared" si="429"/>
        <v>0</v>
      </c>
      <c r="S751" s="152">
        <f t="shared" si="429"/>
        <v>0</v>
      </c>
      <c r="T751" s="152">
        <f t="shared" si="429"/>
        <v>0</v>
      </c>
      <c r="U751" s="152">
        <f t="shared" si="429"/>
        <v>0</v>
      </c>
      <c r="V751" s="152">
        <f t="shared" si="429"/>
        <v>0</v>
      </c>
      <c r="W751" s="152">
        <f t="shared" si="429"/>
        <v>0</v>
      </c>
      <c r="X751" s="152">
        <f t="shared" si="429"/>
        <v>0</v>
      </c>
      <c r="Y751" s="152">
        <f t="shared" si="429"/>
        <v>0</v>
      </c>
      <c r="Z751" s="152">
        <f t="shared" si="429"/>
        <v>0</v>
      </c>
      <c r="AA751" s="152">
        <f t="shared" si="429"/>
        <v>0</v>
      </c>
      <c r="AB751" s="152">
        <f t="shared" si="429"/>
        <v>0</v>
      </c>
      <c r="AC751" s="152">
        <f t="shared" si="429"/>
        <v>0</v>
      </c>
      <c r="AD751" s="152">
        <f t="shared" si="429"/>
        <v>0</v>
      </c>
      <c r="AE751" s="152">
        <f t="shared" si="429"/>
        <v>0</v>
      </c>
      <c r="AF751" s="152">
        <f t="shared" si="429"/>
        <v>0</v>
      </c>
      <c r="AG751" s="152">
        <f t="shared" si="429"/>
        <v>0</v>
      </c>
      <c r="AH751" s="152">
        <f t="shared" si="429"/>
        <v>0</v>
      </c>
      <c r="AI751" s="152">
        <f t="shared" si="429"/>
        <v>0</v>
      </c>
      <c r="AJ751" s="152">
        <f t="shared" si="429"/>
        <v>0</v>
      </c>
      <c r="AK751" s="152">
        <f t="shared" si="429"/>
        <v>0</v>
      </c>
      <c r="AL751" s="152">
        <f t="shared" si="429"/>
        <v>0</v>
      </c>
      <c r="AM751" s="152">
        <f t="shared" si="429"/>
        <v>0</v>
      </c>
      <c r="AN751" s="152">
        <f t="shared" si="429"/>
        <v>0</v>
      </c>
      <c r="AO751" s="152">
        <f t="shared" si="429"/>
        <v>0</v>
      </c>
      <c r="AP751" s="152">
        <f t="shared" si="429"/>
        <v>0</v>
      </c>
    </row>
    <row r="752" spans="1:42" x14ac:dyDescent="0.2">
      <c r="A752" s="4" t="s">
        <v>61</v>
      </c>
      <c r="B752" s="152">
        <v>0</v>
      </c>
      <c r="C752" s="152">
        <f>C780</f>
        <v>0</v>
      </c>
      <c r="D752" s="152">
        <f t="shared" ref="D752:AP752" si="430">D780</f>
        <v>0</v>
      </c>
      <c r="E752" s="152">
        <f t="shared" si="430"/>
        <v>0</v>
      </c>
      <c r="F752" s="152">
        <f t="shared" si="430"/>
        <v>0</v>
      </c>
      <c r="G752" s="152">
        <f t="shared" si="430"/>
        <v>0</v>
      </c>
      <c r="H752" s="152">
        <f t="shared" si="430"/>
        <v>0</v>
      </c>
      <c r="I752" s="152">
        <f t="shared" si="430"/>
        <v>0</v>
      </c>
      <c r="J752" s="152">
        <f t="shared" si="430"/>
        <v>0</v>
      </c>
      <c r="K752" s="152">
        <f t="shared" si="430"/>
        <v>0</v>
      </c>
      <c r="L752" s="152">
        <f t="shared" si="430"/>
        <v>0</v>
      </c>
      <c r="M752" s="152">
        <f t="shared" si="430"/>
        <v>0</v>
      </c>
      <c r="N752" s="152">
        <f t="shared" si="430"/>
        <v>0</v>
      </c>
      <c r="O752" s="152">
        <f t="shared" si="430"/>
        <v>0</v>
      </c>
      <c r="P752" s="152">
        <f t="shared" si="430"/>
        <v>0</v>
      </c>
      <c r="Q752" s="152">
        <f t="shared" si="430"/>
        <v>0</v>
      </c>
      <c r="R752" s="152">
        <f t="shared" si="430"/>
        <v>0</v>
      </c>
      <c r="S752" s="152">
        <f t="shared" si="430"/>
        <v>0</v>
      </c>
      <c r="T752" s="152">
        <f t="shared" si="430"/>
        <v>0</v>
      </c>
      <c r="U752" s="152">
        <f t="shared" si="430"/>
        <v>0</v>
      </c>
      <c r="V752" s="152">
        <f t="shared" si="430"/>
        <v>0</v>
      </c>
      <c r="W752" s="152">
        <f t="shared" si="430"/>
        <v>0</v>
      </c>
      <c r="X752" s="152">
        <f t="shared" si="430"/>
        <v>0</v>
      </c>
      <c r="Y752" s="152">
        <f t="shared" si="430"/>
        <v>0</v>
      </c>
      <c r="Z752" s="152">
        <f t="shared" si="430"/>
        <v>0</v>
      </c>
      <c r="AA752" s="152">
        <f t="shared" si="430"/>
        <v>0</v>
      </c>
      <c r="AB752" s="152">
        <f t="shared" si="430"/>
        <v>0</v>
      </c>
      <c r="AC752" s="152">
        <f t="shared" si="430"/>
        <v>0</v>
      </c>
      <c r="AD752" s="152">
        <f t="shared" si="430"/>
        <v>0</v>
      </c>
      <c r="AE752" s="152">
        <f t="shared" si="430"/>
        <v>0</v>
      </c>
      <c r="AF752" s="152">
        <f t="shared" si="430"/>
        <v>0</v>
      </c>
      <c r="AG752" s="152">
        <f t="shared" si="430"/>
        <v>0</v>
      </c>
      <c r="AH752" s="152">
        <f t="shared" si="430"/>
        <v>0</v>
      </c>
      <c r="AI752" s="152">
        <f t="shared" si="430"/>
        <v>0</v>
      </c>
      <c r="AJ752" s="152">
        <f t="shared" si="430"/>
        <v>0</v>
      </c>
      <c r="AK752" s="152">
        <f t="shared" si="430"/>
        <v>0</v>
      </c>
      <c r="AL752" s="152">
        <f t="shared" si="430"/>
        <v>0</v>
      </c>
      <c r="AM752" s="152">
        <f t="shared" si="430"/>
        <v>0</v>
      </c>
      <c r="AN752" s="152">
        <f t="shared" si="430"/>
        <v>0</v>
      </c>
      <c r="AO752" s="152">
        <f t="shared" si="430"/>
        <v>0</v>
      </c>
      <c r="AP752" s="152">
        <f t="shared" si="430"/>
        <v>0</v>
      </c>
    </row>
    <row r="753" spans="1:42" x14ac:dyDescent="0.2">
      <c r="A753" s="4" t="s">
        <v>277</v>
      </c>
      <c r="B753" s="153">
        <v>0</v>
      </c>
      <c r="C753" s="153">
        <f>-C768</f>
        <v>0</v>
      </c>
      <c r="D753" s="153">
        <f t="shared" ref="D753:AP753" si="431">-D768</f>
        <v>0</v>
      </c>
      <c r="E753" s="153">
        <f t="shared" si="431"/>
        <v>0</v>
      </c>
      <c r="F753" s="153">
        <f t="shared" si="431"/>
        <v>0</v>
      </c>
      <c r="G753" s="153">
        <f t="shared" si="431"/>
        <v>0</v>
      </c>
      <c r="H753" s="153">
        <f t="shared" si="431"/>
        <v>0</v>
      </c>
      <c r="I753" s="153">
        <f t="shared" si="431"/>
        <v>0</v>
      </c>
      <c r="J753" s="153">
        <f t="shared" si="431"/>
        <v>0</v>
      </c>
      <c r="K753" s="153">
        <f t="shared" si="431"/>
        <v>0</v>
      </c>
      <c r="L753" s="153">
        <f t="shared" si="431"/>
        <v>0</v>
      </c>
      <c r="M753" s="153">
        <f t="shared" si="431"/>
        <v>0</v>
      </c>
      <c r="N753" s="153">
        <f t="shared" si="431"/>
        <v>0</v>
      </c>
      <c r="O753" s="153">
        <f t="shared" si="431"/>
        <v>0</v>
      </c>
      <c r="P753" s="153">
        <f t="shared" si="431"/>
        <v>0</v>
      </c>
      <c r="Q753" s="153">
        <f t="shared" si="431"/>
        <v>0</v>
      </c>
      <c r="R753" s="153">
        <f t="shared" si="431"/>
        <v>0</v>
      </c>
      <c r="S753" s="153">
        <f t="shared" si="431"/>
        <v>0</v>
      </c>
      <c r="T753" s="153">
        <f t="shared" si="431"/>
        <v>0</v>
      </c>
      <c r="U753" s="153">
        <f t="shared" si="431"/>
        <v>0</v>
      </c>
      <c r="V753" s="153">
        <f t="shared" si="431"/>
        <v>0</v>
      </c>
      <c r="W753" s="153">
        <f t="shared" si="431"/>
        <v>0</v>
      </c>
      <c r="X753" s="153">
        <f t="shared" si="431"/>
        <v>0</v>
      </c>
      <c r="Y753" s="153">
        <f t="shared" si="431"/>
        <v>0</v>
      </c>
      <c r="Z753" s="153">
        <f t="shared" si="431"/>
        <v>0</v>
      </c>
      <c r="AA753" s="153">
        <f t="shared" si="431"/>
        <v>0</v>
      </c>
      <c r="AB753" s="153">
        <f t="shared" si="431"/>
        <v>0</v>
      </c>
      <c r="AC753" s="153">
        <f t="shared" si="431"/>
        <v>0</v>
      </c>
      <c r="AD753" s="153">
        <f t="shared" si="431"/>
        <v>0</v>
      </c>
      <c r="AE753" s="153">
        <f t="shared" si="431"/>
        <v>0</v>
      </c>
      <c r="AF753" s="153">
        <f t="shared" si="431"/>
        <v>0</v>
      </c>
      <c r="AG753" s="153">
        <f t="shared" si="431"/>
        <v>0</v>
      </c>
      <c r="AH753" s="153">
        <f t="shared" si="431"/>
        <v>0</v>
      </c>
      <c r="AI753" s="153">
        <f t="shared" si="431"/>
        <v>0</v>
      </c>
      <c r="AJ753" s="153">
        <f t="shared" si="431"/>
        <v>0</v>
      </c>
      <c r="AK753" s="153">
        <f t="shared" si="431"/>
        <v>0</v>
      </c>
      <c r="AL753" s="153">
        <f t="shared" si="431"/>
        <v>0</v>
      </c>
      <c r="AM753" s="153">
        <f t="shared" si="431"/>
        <v>0</v>
      </c>
      <c r="AN753" s="153">
        <f t="shared" si="431"/>
        <v>0</v>
      </c>
      <c r="AO753" s="153">
        <f t="shared" si="431"/>
        <v>0</v>
      </c>
      <c r="AP753" s="153">
        <f t="shared" si="431"/>
        <v>0</v>
      </c>
    </row>
    <row r="754" spans="1:42" x14ac:dyDescent="0.2">
      <c r="A754" s="4" t="s">
        <v>236</v>
      </c>
      <c r="B754" s="152">
        <f>SUM(B751:B753)</f>
        <v>0</v>
      </c>
      <c r="C754" s="152">
        <f>SUM(C751:C753)</f>
        <v>0</v>
      </c>
      <c r="D754" s="152">
        <f t="shared" ref="D754:AP754" si="432">SUM(D751:D753)</f>
        <v>0</v>
      </c>
      <c r="E754" s="152">
        <f t="shared" si="432"/>
        <v>0</v>
      </c>
      <c r="F754" s="152">
        <f t="shared" si="432"/>
        <v>0</v>
      </c>
      <c r="G754" s="152">
        <f t="shared" si="432"/>
        <v>0</v>
      </c>
      <c r="H754" s="152">
        <f t="shared" si="432"/>
        <v>0</v>
      </c>
      <c r="I754" s="152">
        <f t="shared" si="432"/>
        <v>0</v>
      </c>
      <c r="J754" s="152">
        <f t="shared" si="432"/>
        <v>0</v>
      </c>
      <c r="K754" s="152">
        <f t="shared" si="432"/>
        <v>0</v>
      </c>
      <c r="L754" s="152">
        <f t="shared" si="432"/>
        <v>0</v>
      </c>
      <c r="M754" s="152">
        <f t="shared" si="432"/>
        <v>0</v>
      </c>
      <c r="N754" s="152">
        <f t="shared" si="432"/>
        <v>0</v>
      </c>
      <c r="O754" s="152">
        <f t="shared" si="432"/>
        <v>0</v>
      </c>
      <c r="P754" s="152">
        <f t="shared" si="432"/>
        <v>0</v>
      </c>
      <c r="Q754" s="152">
        <f t="shared" si="432"/>
        <v>0</v>
      </c>
      <c r="R754" s="152">
        <f t="shared" si="432"/>
        <v>0</v>
      </c>
      <c r="S754" s="152">
        <f t="shared" si="432"/>
        <v>0</v>
      </c>
      <c r="T754" s="152">
        <f t="shared" si="432"/>
        <v>0</v>
      </c>
      <c r="U754" s="152">
        <f t="shared" si="432"/>
        <v>0</v>
      </c>
      <c r="V754" s="152">
        <f t="shared" si="432"/>
        <v>0</v>
      </c>
      <c r="W754" s="152">
        <f t="shared" si="432"/>
        <v>0</v>
      </c>
      <c r="X754" s="152">
        <f t="shared" si="432"/>
        <v>0</v>
      </c>
      <c r="Y754" s="152">
        <f t="shared" si="432"/>
        <v>0</v>
      </c>
      <c r="Z754" s="152">
        <f t="shared" si="432"/>
        <v>0</v>
      </c>
      <c r="AA754" s="152">
        <f t="shared" si="432"/>
        <v>0</v>
      </c>
      <c r="AB754" s="152">
        <f t="shared" si="432"/>
        <v>0</v>
      </c>
      <c r="AC754" s="152">
        <f t="shared" si="432"/>
        <v>0</v>
      </c>
      <c r="AD754" s="152">
        <f t="shared" si="432"/>
        <v>0</v>
      </c>
      <c r="AE754" s="152">
        <f t="shared" si="432"/>
        <v>0</v>
      </c>
      <c r="AF754" s="152">
        <f t="shared" si="432"/>
        <v>0</v>
      </c>
      <c r="AG754" s="152">
        <f t="shared" si="432"/>
        <v>0</v>
      </c>
      <c r="AH754" s="152">
        <f t="shared" si="432"/>
        <v>0</v>
      </c>
      <c r="AI754" s="152">
        <f t="shared" si="432"/>
        <v>0</v>
      </c>
      <c r="AJ754" s="152">
        <f t="shared" si="432"/>
        <v>0</v>
      </c>
      <c r="AK754" s="152">
        <f t="shared" si="432"/>
        <v>0</v>
      </c>
      <c r="AL754" s="152">
        <f t="shared" si="432"/>
        <v>0</v>
      </c>
      <c r="AM754" s="152">
        <f t="shared" si="432"/>
        <v>0</v>
      </c>
      <c r="AN754" s="152">
        <f t="shared" si="432"/>
        <v>0</v>
      </c>
      <c r="AO754" s="152">
        <f t="shared" si="432"/>
        <v>0</v>
      </c>
      <c r="AP754" s="152">
        <f t="shared" si="432"/>
        <v>0</v>
      </c>
    </row>
    <row r="756" spans="1:42" x14ac:dyDescent="0.2">
      <c r="A756" s="4" t="s">
        <v>279</v>
      </c>
    </row>
    <row r="757" spans="1:42" x14ac:dyDescent="0.2">
      <c r="A757" s="4" t="s">
        <v>280</v>
      </c>
    </row>
    <row r="758" spans="1:42" x14ac:dyDescent="0.2">
      <c r="A758" s="4">
        <v>1</v>
      </c>
      <c r="B758" s="175">
        <f t="shared" ref="B758:B767" si="433">SUM(C758:AP758)</f>
        <v>0</v>
      </c>
      <c r="C758" s="152">
        <f t="shared" ref="C758:AP758" si="434">IF(C$2&gt;analysis_period,0,IF(C$2=equip3_reserve_freq*$A758,equip3_reserve_cost*system_capacity*1000*(1+inflation_rate/100)^B$2,0))</f>
        <v>0</v>
      </c>
      <c r="D758" s="152">
        <f t="shared" si="434"/>
        <v>0</v>
      </c>
      <c r="E758" s="152">
        <f t="shared" si="434"/>
        <v>0</v>
      </c>
      <c r="F758" s="152">
        <f t="shared" si="434"/>
        <v>0</v>
      </c>
      <c r="G758" s="152">
        <f t="shared" si="434"/>
        <v>0</v>
      </c>
      <c r="H758" s="152">
        <f t="shared" si="434"/>
        <v>0</v>
      </c>
      <c r="I758" s="152">
        <f t="shared" si="434"/>
        <v>0</v>
      </c>
      <c r="J758" s="152">
        <f t="shared" si="434"/>
        <v>0</v>
      </c>
      <c r="K758" s="152">
        <f t="shared" si="434"/>
        <v>0</v>
      </c>
      <c r="L758" s="152">
        <f t="shared" si="434"/>
        <v>0</v>
      </c>
      <c r="M758" s="152">
        <f t="shared" si="434"/>
        <v>0</v>
      </c>
      <c r="N758" s="152">
        <f t="shared" si="434"/>
        <v>0</v>
      </c>
      <c r="O758" s="152">
        <f t="shared" si="434"/>
        <v>0</v>
      </c>
      <c r="P758" s="152">
        <f t="shared" si="434"/>
        <v>0</v>
      </c>
      <c r="Q758" s="152">
        <f t="shared" si="434"/>
        <v>0</v>
      </c>
      <c r="R758" s="152">
        <f t="shared" si="434"/>
        <v>0</v>
      </c>
      <c r="S758" s="152">
        <f t="shared" si="434"/>
        <v>0</v>
      </c>
      <c r="T758" s="152">
        <f t="shared" si="434"/>
        <v>0</v>
      </c>
      <c r="U758" s="152">
        <f t="shared" si="434"/>
        <v>0</v>
      </c>
      <c r="V758" s="152">
        <f t="shared" si="434"/>
        <v>0</v>
      </c>
      <c r="W758" s="152">
        <f t="shared" si="434"/>
        <v>0</v>
      </c>
      <c r="X758" s="152">
        <f t="shared" si="434"/>
        <v>0</v>
      </c>
      <c r="Y758" s="152">
        <f t="shared" si="434"/>
        <v>0</v>
      </c>
      <c r="Z758" s="152">
        <f t="shared" si="434"/>
        <v>0</v>
      </c>
      <c r="AA758" s="152">
        <f t="shared" si="434"/>
        <v>0</v>
      </c>
      <c r="AB758" s="152">
        <f t="shared" si="434"/>
        <v>0</v>
      </c>
      <c r="AC758" s="152">
        <f t="shared" si="434"/>
        <v>0</v>
      </c>
      <c r="AD758" s="152">
        <f t="shared" si="434"/>
        <v>0</v>
      </c>
      <c r="AE758" s="152">
        <f t="shared" si="434"/>
        <v>0</v>
      </c>
      <c r="AF758" s="152">
        <f t="shared" si="434"/>
        <v>0</v>
      </c>
      <c r="AG758" s="152">
        <f t="shared" si="434"/>
        <v>0</v>
      </c>
      <c r="AH758" s="152">
        <f t="shared" si="434"/>
        <v>0</v>
      </c>
      <c r="AI758" s="152">
        <f t="shared" si="434"/>
        <v>0</v>
      </c>
      <c r="AJ758" s="152">
        <f t="shared" si="434"/>
        <v>0</v>
      </c>
      <c r="AK758" s="152">
        <f t="shared" si="434"/>
        <v>0</v>
      </c>
      <c r="AL758" s="152">
        <f t="shared" si="434"/>
        <v>0</v>
      </c>
      <c r="AM758" s="152">
        <f t="shared" si="434"/>
        <v>0</v>
      </c>
      <c r="AN758" s="152">
        <f t="shared" si="434"/>
        <v>0</v>
      </c>
      <c r="AO758" s="152">
        <f t="shared" si="434"/>
        <v>0</v>
      </c>
      <c r="AP758" s="152">
        <f t="shared" si="434"/>
        <v>0</v>
      </c>
    </row>
    <row r="759" spans="1:42" x14ac:dyDescent="0.2">
      <c r="A759" s="4">
        <f>A758+1</f>
        <v>2</v>
      </c>
      <c r="B759" s="175">
        <f t="shared" si="433"/>
        <v>0</v>
      </c>
      <c r="C759" s="152">
        <f t="shared" ref="C759:AP759" si="435">IF(C$2&gt;analysis_period,0,IF(C$2=equip3_reserve_freq*$A759,equip3_reserve_cost*system_capacity*1000*(1+inflation_rate/100)^B$2,0))</f>
        <v>0</v>
      </c>
      <c r="D759" s="152">
        <f t="shared" si="435"/>
        <v>0</v>
      </c>
      <c r="E759" s="152">
        <f t="shared" si="435"/>
        <v>0</v>
      </c>
      <c r="F759" s="152">
        <f t="shared" si="435"/>
        <v>0</v>
      </c>
      <c r="G759" s="152">
        <f t="shared" si="435"/>
        <v>0</v>
      </c>
      <c r="H759" s="152">
        <f t="shared" si="435"/>
        <v>0</v>
      </c>
      <c r="I759" s="152">
        <f t="shared" si="435"/>
        <v>0</v>
      </c>
      <c r="J759" s="152">
        <f t="shared" si="435"/>
        <v>0</v>
      </c>
      <c r="K759" s="152">
        <f t="shared" si="435"/>
        <v>0</v>
      </c>
      <c r="L759" s="152">
        <f t="shared" si="435"/>
        <v>0</v>
      </c>
      <c r="M759" s="152">
        <f t="shared" si="435"/>
        <v>0</v>
      </c>
      <c r="N759" s="152">
        <f t="shared" si="435"/>
        <v>0</v>
      </c>
      <c r="O759" s="152">
        <f t="shared" si="435"/>
        <v>0</v>
      </c>
      <c r="P759" s="152">
        <f t="shared" si="435"/>
        <v>0</v>
      </c>
      <c r="Q759" s="152">
        <f t="shared" si="435"/>
        <v>0</v>
      </c>
      <c r="R759" s="152">
        <f t="shared" si="435"/>
        <v>0</v>
      </c>
      <c r="S759" s="152">
        <f t="shared" si="435"/>
        <v>0</v>
      </c>
      <c r="T759" s="152">
        <f t="shared" si="435"/>
        <v>0</v>
      </c>
      <c r="U759" s="152">
        <f t="shared" si="435"/>
        <v>0</v>
      </c>
      <c r="V759" s="152">
        <f t="shared" si="435"/>
        <v>0</v>
      </c>
      <c r="W759" s="152">
        <f t="shared" si="435"/>
        <v>0</v>
      </c>
      <c r="X759" s="152">
        <f t="shared" si="435"/>
        <v>0</v>
      </c>
      <c r="Y759" s="152">
        <f t="shared" si="435"/>
        <v>0</v>
      </c>
      <c r="Z759" s="152">
        <f t="shared" si="435"/>
        <v>0</v>
      </c>
      <c r="AA759" s="152">
        <f t="shared" si="435"/>
        <v>0</v>
      </c>
      <c r="AB759" s="152">
        <f t="shared" si="435"/>
        <v>0</v>
      </c>
      <c r="AC759" s="152">
        <f t="shared" si="435"/>
        <v>0</v>
      </c>
      <c r="AD759" s="152">
        <f t="shared" si="435"/>
        <v>0</v>
      </c>
      <c r="AE759" s="152">
        <f t="shared" si="435"/>
        <v>0</v>
      </c>
      <c r="AF759" s="152">
        <f t="shared" si="435"/>
        <v>0</v>
      </c>
      <c r="AG759" s="152">
        <f t="shared" si="435"/>
        <v>0</v>
      </c>
      <c r="AH759" s="152">
        <f t="shared" si="435"/>
        <v>0</v>
      </c>
      <c r="AI759" s="152">
        <f t="shared" si="435"/>
        <v>0</v>
      </c>
      <c r="AJ759" s="152">
        <f t="shared" si="435"/>
        <v>0</v>
      </c>
      <c r="AK759" s="152">
        <f t="shared" si="435"/>
        <v>0</v>
      </c>
      <c r="AL759" s="152">
        <f t="shared" si="435"/>
        <v>0</v>
      </c>
      <c r="AM759" s="152">
        <f t="shared" si="435"/>
        <v>0</v>
      </c>
      <c r="AN759" s="152">
        <f t="shared" si="435"/>
        <v>0</v>
      </c>
      <c r="AO759" s="152">
        <f t="shared" si="435"/>
        <v>0</v>
      </c>
      <c r="AP759" s="152">
        <f t="shared" si="435"/>
        <v>0</v>
      </c>
    </row>
    <row r="760" spans="1:42" x14ac:dyDescent="0.2">
      <c r="A760" s="4">
        <f t="shared" ref="A760:A767" si="436">A759+1</f>
        <v>3</v>
      </c>
      <c r="B760" s="175">
        <f t="shared" si="433"/>
        <v>0</v>
      </c>
      <c r="C760" s="152">
        <f t="shared" ref="C760:AP760" si="437">IF(C$2&gt;analysis_period,0,IF(C$2=equip3_reserve_freq*$A760,equip3_reserve_cost*system_capacity*1000*(1+inflation_rate/100)^B$2,0))</f>
        <v>0</v>
      </c>
      <c r="D760" s="152">
        <f t="shared" si="437"/>
        <v>0</v>
      </c>
      <c r="E760" s="152">
        <f t="shared" si="437"/>
        <v>0</v>
      </c>
      <c r="F760" s="152">
        <f t="shared" si="437"/>
        <v>0</v>
      </c>
      <c r="G760" s="152">
        <f t="shared" si="437"/>
        <v>0</v>
      </c>
      <c r="H760" s="152">
        <f t="shared" si="437"/>
        <v>0</v>
      </c>
      <c r="I760" s="152">
        <f t="shared" si="437"/>
        <v>0</v>
      </c>
      <c r="J760" s="152">
        <f t="shared" si="437"/>
        <v>0</v>
      </c>
      <c r="K760" s="152">
        <f t="shared" si="437"/>
        <v>0</v>
      </c>
      <c r="L760" s="152">
        <f t="shared" si="437"/>
        <v>0</v>
      </c>
      <c r="M760" s="152">
        <f t="shared" si="437"/>
        <v>0</v>
      </c>
      <c r="N760" s="152">
        <f t="shared" si="437"/>
        <v>0</v>
      </c>
      <c r="O760" s="152">
        <f t="shared" si="437"/>
        <v>0</v>
      </c>
      <c r="P760" s="152">
        <f t="shared" si="437"/>
        <v>0</v>
      </c>
      <c r="Q760" s="152">
        <f t="shared" si="437"/>
        <v>0</v>
      </c>
      <c r="R760" s="152">
        <f t="shared" si="437"/>
        <v>0</v>
      </c>
      <c r="S760" s="152">
        <f t="shared" si="437"/>
        <v>0</v>
      </c>
      <c r="T760" s="152">
        <f t="shared" si="437"/>
        <v>0</v>
      </c>
      <c r="U760" s="152">
        <f t="shared" si="437"/>
        <v>0</v>
      </c>
      <c r="V760" s="152">
        <f t="shared" si="437"/>
        <v>0</v>
      </c>
      <c r="W760" s="152">
        <f t="shared" si="437"/>
        <v>0</v>
      </c>
      <c r="X760" s="152">
        <f t="shared" si="437"/>
        <v>0</v>
      </c>
      <c r="Y760" s="152">
        <f t="shared" si="437"/>
        <v>0</v>
      </c>
      <c r="Z760" s="152">
        <f t="shared" si="437"/>
        <v>0</v>
      </c>
      <c r="AA760" s="152">
        <f t="shared" si="437"/>
        <v>0</v>
      </c>
      <c r="AB760" s="152">
        <f t="shared" si="437"/>
        <v>0</v>
      </c>
      <c r="AC760" s="152">
        <f t="shared" si="437"/>
        <v>0</v>
      </c>
      <c r="AD760" s="152">
        <f t="shared" si="437"/>
        <v>0</v>
      </c>
      <c r="AE760" s="152">
        <f t="shared" si="437"/>
        <v>0</v>
      </c>
      <c r="AF760" s="152">
        <f t="shared" si="437"/>
        <v>0</v>
      </c>
      <c r="AG760" s="152">
        <f t="shared" si="437"/>
        <v>0</v>
      </c>
      <c r="AH760" s="152">
        <f t="shared" si="437"/>
        <v>0</v>
      </c>
      <c r="AI760" s="152">
        <f t="shared" si="437"/>
        <v>0</v>
      </c>
      <c r="AJ760" s="152">
        <f t="shared" si="437"/>
        <v>0</v>
      </c>
      <c r="AK760" s="152">
        <f t="shared" si="437"/>
        <v>0</v>
      </c>
      <c r="AL760" s="152">
        <f t="shared" si="437"/>
        <v>0</v>
      </c>
      <c r="AM760" s="152">
        <f t="shared" si="437"/>
        <v>0</v>
      </c>
      <c r="AN760" s="152">
        <f t="shared" si="437"/>
        <v>0</v>
      </c>
      <c r="AO760" s="152">
        <f t="shared" si="437"/>
        <v>0</v>
      </c>
      <c r="AP760" s="152">
        <f t="shared" si="437"/>
        <v>0</v>
      </c>
    </row>
    <row r="761" spans="1:42" x14ac:dyDescent="0.2">
      <c r="A761" s="4">
        <f t="shared" si="436"/>
        <v>4</v>
      </c>
      <c r="B761" s="175">
        <f t="shared" si="433"/>
        <v>0</v>
      </c>
      <c r="C761" s="152">
        <f t="shared" ref="C761:AP761" si="438">IF(C$2&gt;analysis_period,0,IF(C$2=equip3_reserve_freq*$A761,equip3_reserve_cost*system_capacity*1000*(1+inflation_rate/100)^B$2,0))</f>
        <v>0</v>
      </c>
      <c r="D761" s="152">
        <f t="shared" si="438"/>
        <v>0</v>
      </c>
      <c r="E761" s="152">
        <f t="shared" si="438"/>
        <v>0</v>
      </c>
      <c r="F761" s="152">
        <f t="shared" si="438"/>
        <v>0</v>
      </c>
      <c r="G761" s="152">
        <f t="shared" si="438"/>
        <v>0</v>
      </c>
      <c r="H761" s="152">
        <f t="shared" si="438"/>
        <v>0</v>
      </c>
      <c r="I761" s="152">
        <f t="shared" si="438"/>
        <v>0</v>
      </c>
      <c r="J761" s="152">
        <f t="shared" si="438"/>
        <v>0</v>
      </c>
      <c r="K761" s="152">
        <f t="shared" si="438"/>
        <v>0</v>
      </c>
      <c r="L761" s="152">
        <f t="shared" si="438"/>
        <v>0</v>
      </c>
      <c r="M761" s="152">
        <f t="shared" si="438"/>
        <v>0</v>
      </c>
      <c r="N761" s="152">
        <f t="shared" si="438"/>
        <v>0</v>
      </c>
      <c r="O761" s="152">
        <f t="shared" si="438"/>
        <v>0</v>
      </c>
      <c r="P761" s="152">
        <f t="shared" si="438"/>
        <v>0</v>
      </c>
      <c r="Q761" s="152">
        <f t="shared" si="438"/>
        <v>0</v>
      </c>
      <c r="R761" s="152">
        <f t="shared" si="438"/>
        <v>0</v>
      </c>
      <c r="S761" s="152">
        <f t="shared" si="438"/>
        <v>0</v>
      </c>
      <c r="T761" s="152">
        <f t="shared" si="438"/>
        <v>0</v>
      </c>
      <c r="U761" s="152">
        <f t="shared" si="438"/>
        <v>0</v>
      </c>
      <c r="V761" s="152">
        <f t="shared" si="438"/>
        <v>0</v>
      </c>
      <c r="W761" s="152">
        <f t="shared" si="438"/>
        <v>0</v>
      </c>
      <c r="X761" s="152">
        <f t="shared" si="438"/>
        <v>0</v>
      </c>
      <c r="Y761" s="152">
        <f t="shared" si="438"/>
        <v>0</v>
      </c>
      <c r="Z761" s="152">
        <f t="shared" si="438"/>
        <v>0</v>
      </c>
      <c r="AA761" s="152">
        <f t="shared" si="438"/>
        <v>0</v>
      </c>
      <c r="AB761" s="152">
        <f t="shared" si="438"/>
        <v>0</v>
      </c>
      <c r="AC761" s="152">
        <f t="shared" si="438"/>
        <v>0</v>
      </c>
      <c r="AD761" s="152">
        <f t="shared" si="438"/>
        <v>0</v>
      </c>
      <c r="AE761" s="152">
        <f t="shared" si="438"/>
        <v>0</v>
      </c>
      <c r="AF761" s="152">
        <f t="shared" si="438"/>
        <v>0</v>
      </c>
      <c r="AG761" s="152">
        <f t="shared" si="438"/>
        <v>0</v>
      </c>
      <c r="AH761" s="152">
        <f t="shared" si="438"/>
        <v>0</v>
      </c>
      <c r="AI761" s="152">
        <f t="shared" si="438"/>
        <v>0</v>
      </c>
      <c r="AJ761" s="152">
        <f t="shared" si="438"/>
        <v>0</v>
      </c>
      <c r="AK761" s="152">
        <f t="shared" si="438"/>
        <v>0</v>
      </c>
      <c r="AL761" s="152">
        <f t="shared" si="438"/>
        <v>0</v>
      </c>
      <c r="AM761" s="152">
        <f t="shared" si="438"/>
        <v>0</v>
      </c>
      <c r="AN761" s="152">
        <f t="shared" si="438"/>
        <v>0</v>
      </c>
      <c r="AO761" s="152">
        <f t="shared" si="438"/>
        <v>0</v>
      </c>
      <c r="AP761" s="152">
        <f t="shared" si="438"/>
        <v>0</v>
      </c>
    </row>
    <row r="762" spans="1:42" x14ac:dyDescent="0.2">
      <c r="A762" s="4">
        <f t="shared" si="436"/>
        <v>5</v>
      </c>
      <c r="B762" s="175">
        <f t="shared" si="433"/>
        <v>0</v>
      </c>
      <c r="C762" s="152">
        <f t="shared" ref="C762:AP762" si="439">IF(C$2&gt;analysis_period,0,IF(C$2=equip3_reserve_freq*$A762,equip3_reserve_cost*system_capacity*1000*(1+inflation_rate/100)^B$2,0))</f>
        <v>0</v>
      </c>
      <c r="D762" s="152">
        <f t="shared" si="439"/>
        <v>0</v>
      </c>
      <c r="E762" s="152">
        <f t="shared" si="439"/>
        <v>0</v>
      </c>
      <c r="F762" s="152">
        <f t="shared" si="439"/>
        <v>0</v>
      </c>
      <c r="G762" s="152">
        <f t="shared" si="439"/>
        <v>0</v>
      </c>
      <c r="H762" s="152">
        <f t="shared" si="439"/>
        <v>0</v>
      </c>
      <c r="I762" s="152">
        <f t="shared" si="439"/>
        <v>0</v>
      </c>
      <c r="J762" s="152">
        <f t="shared" si="439"/>
        <v>0</v>
      </c>
      <c r="K762" s="152">
        <f t="shared" si="439"/>
        <v>0</v>
      </c>
      <c r="L762" s="152">
        <f t="shared" si="439"/>
        <v>0</v>
      </c>
      <c r="M762" s="152">
        <f t="shared" si="439"/>
        <v>0</v>
      </c>
      <c r="N762" s="152">
        <f t="shared" si="439"/>
        <v>0</v>
      </c>
      <c r="O762" s="152">
        <f t="shared" si="439"/>
        <v>0</v>
      </c>
      <c r="P762" s="152">
        <f t="shared" si="439"/>
        <v>0</v>
      </c>
      <c r="Q762" s="152">
        <f t="shared" si="439"/>
        <v>0</v>
      </c>
      <c r="R762" s="152">
        <f t="shared" si="439"/>
        <v>0</v>
      </c>
      <c r="S762" s="152">
        <f t="shared" si="439"/>
        <v>0</v>
      </c>
      <c r="T762" s="152">
        <f t="shared" si="439"/>
        <v>0</v>
      </c>
      <c r="U762" s="152">
        <f t="shared" si="439"/>
        <v>0</v>
      </c>
      <c r="V762" s="152">
        <f t="shared" si="439"/>
        <v>0</v>
      </c>
      <c r="W762" s="152">
        <f t="shared" si="439"/>
        <v>0</v>
      </c>
      <c r="X762" s="152">
        <f t="shared" si="439"/>
        <v>0</v>
      </c>
      <c r="Y762" s="152">
        <f t="shared" si="439"/>
        <v>0</v>
      </c>
      <c r="Z762" s="152">
        <f t="shared" si="439"/>
        <v>0</v>
      </c>
      <c r="AA762" s="152">
        <f t="shared" si="439"/>
        <v>0</v>
      </c>
      <c r="AB762" s="152">
        <f t="shared" si="439"/>
        <v>0</v>
      </c>
      <c r="AC762" s="152">
        <f t="shared" si="439"/>
        <v>0</v>
      </c>
      <c r="AD762" s="152">
        <f t="shared" si="439"/>
        <v>0</v>
      </c>
      <c r="AE762" s="152">
        <f t="shared" si="439"/>
        <v>0</v>
      </c>
      <c r="AF762" s="152">
        <f t="shared" si="439"/>
        <v>0</v>
      </c>
      <c r="AG762" s="152">
        <f t="shared" si="439"/>
        <v>0</v>
      </c>
      <c r="AH762" s="152">
        <f t="shared" si="439"/>
        <v>0</v>
      </c>
      <c r="AI762" s="152">
        <f t="shared" si="439"/>
        <v>0</v>
      </c>
      <c r="AJ762" s="152">
        <f t="shared" si="439"/>
        <v>0</v>
      </c>
      <c r="AK762" s="152">
        <f t="shared" si="439"/>
        <v>0</v>
      </c>
      <c r="AL762" s="152">
        <f t="shared" si="439"/>
        <v>0</v>
      </c>
      <c r="AM762" s="152">
        <f t="shared" si="439"/>
        <v>0</v>
      </c>
      <c r="AN762" s="152">
        <f t="shared" si="439"/>
        <v>0</v>
      </c>
      <c r="AO762" s="152">
        <f t="shared" si="439"/>
        <v>0</v>
      </c>
      <c r="AP762" s="152">
        <f t="shared" si="439"/>
        <v>0</v>
      </c>
    </row>
    <row r="763" spans="1:42" x14ac:dyDescent="0.2">
      <c r="A763" s="4">
        <f t="shared" si="436"/>
        <v>6</v>
      </c>
      <c r="B763" s="175">
        <f t="shared" si="433"/>
        <v>0</v>
      </c>
      <c r="C763" s="152">
        <f t="shared" ref="C763:AP763" si="440">IF(C$2&gt;analysis_period,0,IF(C$2=equip3_reserve_freq*$A763,equip3_reserve_cost*system_capacity*1000*(1+inflation_rate/100)^B$2,0))</f>
        <v>0</v>
      </c>
      <c r="D763" s="152">
        <f t="shared" si="440"/>
        <v>0</v>
      </c>
      <c r="E763" s="152">
        <f t="shared" si="440"/>
        <v>0</v>
      </c>
      <c r="F763" s="152">
        <f t="shared" si="440"/>
        <v>0</v>
      </c>
      <c r="G763" s="152">
        <f t="shared" si="440"/>
        <v>0</v>
      </c>
      <c r="H763" s="152">
        <f t="shared" si="440"/>
        <v>0</v>
      </c>
      <c r="I763" s="152">
        <f t="shared" si="440"/>
        <v>0</v>
      </c>
      <c r="J763" s="152">
        <f t="shared" si="440"/>
        <v>0</v>
      </c>
      <c r="K763" s="152">
        <f t="shared" si="440"/>
        <v>0</v>
      </c>
      <c r="L763" s="152">
        <f t="shared" si="440"/>
        <v>0</v>
      </c>
      <c r="M763" s="152">
        <f t="shared" si="440"/>
        <v>0</v>
      </c>
      <c r="N763" s="152">
        <f t="shared" si="440"/>
        <v>0</v>
      </c>
      <c r="O763" s="152">
        <f t="shared" si="440"/>
        <v>0</v>
      </c>
      <c r="P763" s="152">
        <f t="shared" si="440"/>
        <v>0</v>
      </c>
      <c r="Q763" s="152">
        <f t="shared" si="440"/>
        <v>0</v>
      </c>
      <c r="R763" s="152">
        <f t="shared" si="440"/>
        <v>0</v>
      </c>
      <c r="S763" s="152">
        <f t="shared" si="440"/>
        <v>0</v>
      </c>
      <c r="T763" s="152">
        <f t="shared" si="440"/>
        <v>0</v>
      </c>
      <c r="U763" s="152">
        <f t="shared" si="440"/>
        <v>0</v>
      </c>
      <c r="V763" s="152">
        <f t="shared" si="440"/>
        <v>0</v>
      </c>
      <c r="W763" s="152">
        <f t="shared" si="440"/>
        <v>0</v>
      </c>
      <c r="X763" s="152">
        <f t="shared" si="440"/>
        <v>0</v>
      </c>
      <c r="Y763" s="152">
        <f t="shared" si="440"/>
        <v>0</v>
      </c>
      <c r="Z763" s="152">
        <f t="shared" si="440"/>
        <v>0</v>
      </c>
      <c r="AA763" s="152">
        <f t="shared" si="440"/>
        <v>0</v>
      </c>
      <c r="AB763" s="152">
        <f t="shared" si="440"/>
        <v>0</v>
      </c>
      <c r="AC763" s="152">
        <f t="shared" si="440"/>
        <v>0</v>
      </c>
      <c r="AD763" s="152">
        <f t="shared" si="440"/>
        <v>0</v>
      </c>
      <c r="AE763" s="152">
        <f t="shared" si="440"/>
        <v>0</v>
      </c>
      <c r="AF763" s="152">
        <f t="shared" si="440"/>
        <v>0</v>
      </c>
      <c r="AG763" s="152">
        <f t="shared" si="440"/>
        <v>0</v>
      </c>
      <c r="AH763" s="152">
        <f t="shared" si="440"/>
        <v>0</v>
      </c>
      <c r="AI763" s="152">
        <f t="shared" si="440"/>
        <v>0</v>
      </c>
      <c r="AJ763" s="152">
        <f t="shared" si="440"/>
        <v>0</v>
      </c>
      <c r="AK763" s="152">
        <f t="shared" si="440"/>
        <v>0</v>
      </c>
      <c r="AL763" s="152">
        <f t="shared" si="440"/>
        <v>0</v>
      </c>
      <c r="AM763" s="152">
        <f t="shared" si="440"/>
        <v>0</v>
      </c>
      <c r="AN763" s="152">
        <f t="shared" si="440"/>
        <v>0</v>
      </c>
      <c r="AO763" s="152">
        <f t="shared" si="440"/>
        <v>0</v>
      </c>
      <c r="AP763" s="152">
        <f t="shared" si="440"/>
        <v>0</v>
      </c>
    </row>
    <row r="764" spans="1:42" x14ac:dyDescent="0.2">
      <c r="A764" s="4">
        <f t="shared" si="436"/>
        <v>7</v>
      </c>
      <c r="B764" s="175">
        <f t="shared" si="433"/>
        <v>0</v>
      </c>
      <c r="C764" s="152">
        <f t="shared" ref="C764:AP764" si="441">IF(C$2&gt;analysis_period,0,IF(C$2=equip3_reserve_freq*$A764,equip3_reserve_cost*system_capacity*1000*(1+inflation_rate/100)^B$2,0))</f>
        <v>0</v>
      </c>
      <c r="D764" s="152">
        <f t="shared" si="441"/>
        <v>0</v>
      </c>
      <c r="E764" s="152">
        <f t="shared" si="441"/>
        <v>0</v>
      </c>
      <c r="F764" s="152">
        <f t="shared" si="441"/>
        <v>0</v>
      </c>
      <c r="G764" s="152">
        <f t="shared" si="441"/>
        <v>0</v>
      </c>
      <c r="H764" s="152">
        <f t="shared" si="441"/>
        <v>0</v>
      </c>
      <c r="I764" s="152">
        <f t="shared" si="441"/>
        <v>0</v>
      </c>
      <c r="J764" s="152">
        <f t="shared" si="441"/>
        <v>0</v>
      </c>
      <c r="K764" s="152">
        <f t="shared" si="441"/>
        <v>0</v>
      </c>
      <c r="L764" s="152">
        <f t="shared" si="441"/>
        <v>0</v>
      </c>
      <c r="M764" s="152">
        <f t="shared" si="441"/>
        <v>0</v>
      </c>
      <c r="N764" s="152">
        <f t="shared" si="441"/>
        <v>0</v>
      </c>
      <c r="O764" s="152">
        <f t="shared" si="441"/>
        <v>0</v>
      </c>
      <c r="P764" s="152">
        <f t="shared" si="441"/>
        <v>0</v>
      </c>
      <c r="Q764" s="152">
        <f t="shared" si="441"/>
        <v>0</v>
      </c>
      <c r="R764" s="152">
        <f t="shared" si="441"/>
        <v>0</v>
      </c>
      <c r="S764" s="152">
        <f t="shared" si="441"/>
        <v>0</v>
      </c>
      <c r="T764" s="152">
        <f t="shared" si="441"/>
        <v>0</v>
      </c>
      <c r="U764" s="152">
        <f t="shared" si="441"/>
        <v>0</v>
      </c>
      <c r="V764" s="152">
        <f t="shared" si="441"/>
        <v>0</v>
      </c>
      <c r="W764" s="152">
        <f t="shared" si="441"/>
        <v>0</v>
      </c>
      <c r="X764" s="152">
        <f t="shared" si="441"/>
        <v>0</v>
      </c>
      <c r="Y764" s="152">
        <f t="shared" si="441"/>
        <v>0</v>
      </c>
      <c r="Z764" s="152">
        <f t="shared" si="441"/>
        <v>0</v>
      </c>
      <c r="AA764" s="152">
        <f t="shared" si="441"/>
        <v>0</v>
      </c>
      <c r="AB764" s="152">
        <f t="shared" si="441"/>
        <v>0</v>
      </c>
      <c r="AC764" s="152">
        <f t="shared" si="441"/>
        <v>0</v>
      </c>
      <c r="AD764" s="152">
        <f t="shared" si="441"/>
        <v>0</v>
      </c>
      <c r="AE764" s="152">
        <f t="shared" si="441"/>
        <v>0</v>
      </c>
      <c r="AF764" s="152">
        <f t="shared" si="441"/>
        <v>0</v>
      </c>
      <c r="AG764" s="152">
        <f t="shared" si="441"/>
        <v>0</v>
      </c>
      <c r="AH764" s="152">
        <f t="shared" si="441"/>
        <v>0</v>
      </c>
      <c r="AI764" s="152">
        <f t="shared" si="441"/>
        <v>0</v>
      </c>
      <c r="AJ764" s="152">
        <f t="shared" si="441"/>
        <v>0</v>
      </c>
      <c r="AK764" s="152">
        <f t="shared" si="441"/>
        <v>0</v>
      </c>
      <c r="AL764" s="152">
        <f t="shared" si="441"/>
        <v>0</v>
      </c>
      <c r="AM764" s="152">
        <f t="shared" si="441"/>
        <v>0</v>
      </c>
      <c r="AN764" s="152">
        <f t="shared" si="441"/>
        <v>0</v>
      </c>
      <c r="AO764" s="152">
        <f t="shared" si="441"/>
        <v>0</v>
      </c>
      <c r="AP764" s="152">
        <f t="shared" si="441"/>
        <v>0</v>
      </c>
    </row>
    <row r="765" spans="1:42" x14ac:dyDescent="0.2">
      <c r="A765" s="4">
        <f t="shared" si="436"/>
        <v>8</v>
      </c>
      <c r="B765" s="175">
        <f t="shared" si="433"/>
        <v>0</v>
      </c>
      <c r="C765" s="152">
        <f t="shared" ref="C765:AP765" si="442">IF(C$2&gt;analysis_period,0,IF(C$2=equip3_reserve_freq*$A765,equip3_reserve_cost*system_capacity*1000*(1+inflation_rate/100)^B$2,0))</f>
        <v>0</v>
      </c>
      <c r="D765" s="152">
        <f t="shared" si="442"/>
        <v>0</v>
      </c>
      <c r="E765" s="152">
        <f t="shared" si="442"/>
        <v>0</v>
      </c>
      <c r="F765" s="152">
        <f t="shared" si="442"/>
        <v>0</v>
      </c>
      <c r="G765" s="152">
        <f t="shared" si="442"/>
        <v>0</v>
      </c>
      <c r="H765" s="152">
        <f t="shared" si="442"/>
        <v>0</v>
      </c>
      <c r="I765" s="152">
        <f t="shared" si="442"/>
        <v>0</v>
      </c>
      <c r="J765" s="152">
        <f t="shared" si="442"/>
        <v>0</v>
      </c>
      <c r="K765" s="152">
        <f t="shared" si="442"/>
        <v>0</v>
      </c>
      <c r="L765" s="152">
        <f t="shared" si="442"/>
        <v>0</v>
      </c>
      <c r="M765" s="152">
        <f t="shared" si="442"/>
        <v>0</v>
      </c>
      <c r="N765" s="152">
        <f t="shared" si="442"/>
        <v>0</v>
      </c>
      <c r="O765" s="152">
        <f t="shared" si="442"/>
        <v>0</v>
      </c>
      <c r="P765" s="152">
        <f t="shared" si="442"/>
        <v>0</v>
      </c>
      <c r="Q765" s="152">
        <f t="shared" si="442"/>
        <v>0</v>
      </c>
      <c r="R765" s="152">
        <f t="shared" si="442"/>
        <v>0</v>
      </c>
      <c r="S765" s="152">
        <f t="shared" si="442"/>
        <v>0</v>
      </c>
      <c r="T765" s="152">
        <f t="shared" si="442"/>
        <v>0</v>
      </c>
      <c r="U765" s="152">
        <f t="shared" si="442"/>
        <v>0</v>
      </c>
      <c r="V765" s="152">
        <f t="shared" si="442"/>
        <v>0</v>
      </c>
      <c r="W765" s="152">
        <f t="shared" si="442"/>
        <v>0</v>
      </c>
      <c r="X765" s="152">
        <f t="shared" si="442"/>
        <v>0</v>
      </c>
      <c r="Y765" s="152">
        <f t="shared" si="442"/>
        <v>0</v>
      </c>
      <c r="Z765" s="152">
        <f t="shared" si="442"/>
        <v>0</v>
      </c>
      <c r="AA765" s="152">
        <f t="shared" si="442"/>
        <v>0</v>
      </c>
      <c r="AB765" s="152">
        <f t="shared" si="442"/>
        <v>0</v>
      </c>
      <c r="AC765" s="152">
        <f t="shared" si="442"/>
        <v>0</v>
      </c>
      <c r="AD765" s="152">
        <f t="shared" si="442"/>
        <v>0</v>
      </c>
      <c r="AE765" s="152">
        <f t="shared" si="442"/>
        <v>0</v>
      </c>
      <c r="AF765" s="152">
        <f t="shared" si="442"/>
        <v>0</v>
      </c>
      <c r="AG765" s="152">
        <f t="shared" si="442"/>
        <v>0</v>
      </c>
      <c r="AH765" s="152">
        <f t="shared" si="442"/>
        <v>0</v>
      </c>
      <c r="AI765" s="152">
        <f t="shared" si="442"/>
        <v>0</v>
      </c>
      <c r="AJ765" s="152">
        <f t="shared" si="442"/>
        <v>0</v>
      </c>
      <c r="AK765" s="152">
        <f t="shared" si="442"/>
        <v>0</v>
      </c>
      <c r="AL765" s="152">
        <f t="shared" si="442"/>
        <v>0</v>
      </c>
      <c r="AM765" s="152">
        <f t="shared" si="442"/>
        <v>0</v>
      </c>
      <c r="AN765" s="152">
        <f t="shared" si="442"/>
        <v>0</v>
      </c>
      <c r="AO765" s="152">
        <f t="shared" si="442"/>
        <v>0</v>
      </c>
      <c r="AP765" s="152">
        <f t="shared" si="442"/>
        <v>0</v>
      </c>
    </row>
    <row r="766" spans="1:42" x14ac:dyDescent="0.2">
      <c r="A766" s="4">
        <f>A765+1</f>
        <v>9</v>
      </c>
      <c r="B766" s="175">
        <f t="shared" si="433"/>
        <v>0</v>
      </c>
      <c r="C766" s="152">
        <f t="shared" ref="C766:AP766" si="443">IF(C$2&gt;analysis_period,0,IF(C$2=equip3_reserve_freq*$A766,equip3_reserve_cost*system_capacity*1000*(1+inflation_rate/100)^B$2,0))</f>
        <v>0</v>
      </c>
      <c r="D766" s="152">
        <f t="shared" si="443"/>
        <v>0</v>
      </c>
      <c r="E766" s="152">
        <f t="shared" si="443"/>
        <v>0</v>
      </c>
      <c r="F766" s="152">
        <f t="shared" si="443"/>
        <v>0</v>
      </c>
      <c r="G766" s="152">
        <f t="shared" si="443"/>
        <v>0</v>
      </c>
      <c r="H766" s="152">
        <f t="shared" si="443"/>
        <v>0</v>
      </c>
      <c r="I766" s="152">
        <f t="shared" si="443"/>
        <v>0</v>
      </c>
      <c r="J766" s="152">
        <f t="shared" si="443"/>
        <v>0</v>
      </c>
      <c r="K766" s="152">
        <f t="shared" si="443"/>
        <v>0</v>
      </c>
      <c r="L766" s="152">
        <f t="shared" si="443"/>
        <v>0</v>
      </c>
      <c r="M766" s="152">
        <f t="shared" si="443"/>
        <v>0</v>
      </c>
      <c r="N766" s="152">
        <f t="shared" si="443"/>
        <v>0</v>
      </c>
      <c r="O766" s="152">
        <f t="shared" si="443"/>
        <v>0</v>
      </c>
      <c r="P766" s="152">
        <f t="shared" si="443"/>
        <v>0</v>
      </c>
      <c r="Q766" s="152">
        <f t="shared" si="443"/>
        <v>0</v>
      </c>
      <c r="R766" s="152">
        <f t="shared" si="443"/>
        <v>0</v>
      </c>
      <c r="S766" s="152">
        <f t="shared" si="443"/>
        <v>0</v>
      </c>
      <c r="T766" s="152">
        <f t="shared" si="443"/>
        <v>0</v>
      </c>
      <c r="U766" s="152">
        <f t="shared" si="443"/>
        <v>0</v>
      </c>
      <c r="V766" s="152">
        <f t="shared" si="443"/>
        <v>0</v>
      </c>
      <c r="W766" s="152">
        <f t="shared" si="443"/>
        <v>0</v>
      </c>
      <c r="X766" s="152">
        <f t="shared" si="443"/>
        <v>0</v>
      </c>
      <c r="Y766" s="152">
        <f t="shared" si="443"/>
        <v>0</v>
      </c>
      <c r="Z766" s="152">
        <f t="shared" si="443"/>
        <v>0</v>
      </c>
      <c r="AA766" s="152">
        <f t="shared" si="443"/>
        <v>0</v>
      </c>
      <c r="AB766" s="152">
        <f t="shared" si="443"/>
        <v>0</v>
      </c>
      <c r="AC766" s="152">
        <f t="shared" si="443"/>
        <v>0</v>
      </c>
      <c r="AD766" s="152">
        <f t="shared" si="443"/>
        <v>0</v>
      </c>
      <c r="AE766" s="152">
        <f t="shared" si="443"/>
        <v>0</v>
      </c>
      <c r="AF766" s="152">
        <f t="shared" si="443"/>
        <v>0</v>
      </c>
      <c r="AG766" s="152">
        <f t="shared" si="443"/>
        <v>0</v>
      </c>
      <c r="AH766" s="152">
        <f t="shared" si="443"/>
        <v>0</v>
      </c>
      <c r="AI766" s="152">
        <f t="shared" si="443"/>
        <v>0</v>
      </c>
      <c r="AJ766" s="152">
        <f t="shared" si="443"/>
        <v>0</v>
      </c>
      <c r="AK766" s="152">
        <f t="shared" si="443"/>
        <v>0</v>
      </c>
      <c r="AL766" s="152">
        <f t="shared" si="443"/>
        <v>0</v>
      </c>
      <c r="AM766" s="152">
        <f t="shared" si="443"/>
        <v>0</v>
      </c>
      <c r="AN766" s="152">
        <f t="shared" si="443"/>
        <v>0</v>
      </c>
      <c r="AO766" s="152">
        <f t="shared" si="443"/>
        <v>0</v>
      </c>
      <c r="AP766" s="152">
        <f t="shared" si="443"/>
        <v>0</v>
      </c>
    </row>
    <row r="767" spans="1:42" x14ac:dyDescent="0.2">
      <c r="A767" s="4">
        <f t="shared" si="436"/>
        <v>10</v>
      </c>
      <c r="B767" s="175">
        <f t="shared" si="433"/>
        <v>0</v>
      </c>
      <c r="C767" s="152">
        <f t="shared" ref="C767:AP767" si="444">IF(C$2&gt;analysis_period,0,IF(C$2=equip3_reserve_freq*$A767,equip3_reserve_cost*system_capacity*1000*(1+inflation_rate/100)^B$2,0))</f>
        <v>0</v>
      </c>
      <c r="D767" s="152">
        <f t="shared" si="444"/>
        <v>0</v>
      </c>
      <c r="E767" s="152">
        <f t="shared" si="444"/>
        <v>0</v>
      </c>
      <c r="F767" s="152">
        <f t="shared" si="444"/>
        <v>0</v>
      </c>
      <c r="G767" s="152">
        <f t="shared" si="444"/>
        <v>0</v>
      </c>
      <c r="H767" s="152">
        <f t="shared" si="444"/>
        <v>0</v>
      </c>
      <c r="I767" s="152">
        <f t="shared" si="444"/>
        <v>0</v>
      </c>
      <c r="J767" s="152">
        <f t="shared" si="444"/>
        <v>0</v>
      </c>
      <c r="K767" s="152">
        <f t="shared" si="444"/>
        <v>0</v>
      </c>
      <c r="L767" s="152">
        <f t="shared" si="444"/>
        <v>0</v>
      </c>
      <c r="M767" s="152">
        <f t="shared" si="444"/>
        <v>0</v>
      </c>
      <c r="N767" s="152">
        <f t="shared" si="444"/>
        <v>0</v>
      </c>
      <c r="O767" s="152">
        <f t="shared" si="444"/>
        <v>0</v>
      </c>
      <c r="P767" s="152">
        <f t="shared" si="444"/>
        <v>0</v>
      </c>
      <c r="Q767" s="152">
        <f t="shared" si="444"/>
        <v>0</v>
      </c>
      <c r="R767" s="152">
        <f t="shared" si="444"/>
        <v>0</v>
      </c>
      <c r="S767" s="152">
        <f t="shared" si="444"/>
        <v>0</v>
      </c>
      <c r="T767" s="152">
        <f t="shared" si="444"/>
        <v>0</v>
      </c>
      <c r="U767" s="152">
        <f t="shared" si="444"/>
        <v>0</v>
      </c>
      <c r="V767" s="152">
        <f t="shared" si="444"/>
        <v>0</v>
      </c>
      <c r="W767" s="152">
        <f t="shared" si="444"/>
        <v>0</v>
      </c>
      <c r="X767" s="152">
        <f t="shared" si="444"/>
        <v>0</v>
      </c>
      <c r="Y767" s="152">
        <f t="shared" si="444"/>
        <v>0</v>
      </c>
      <c r="Z767" s="152">
        <f t="shared" si="444"/>
        <v>0</v>
      </c>
      <c r="AA767" s="152">
        <f t="shared" si="444"/>
        <v>0</v>
      </c>
      <c r="AB767" s="152">
        <f t="shared" si="444"/>
        <v>0</v>
      </c>
      <c r="AC767" s="152">
        <f t="shared" si="444"/>
        <v>0</v>
      </c>
      <c r="AD767" s="152">
        <f t="shared" si="444"/>
        <v>0</v>
      </c>
      <c r="AE767" s="152">
        <f t="shared" si="444"/>
        <v>0</v>
      </c>
      <c r="AF767" s="152">
        <f t="shared" si="444"/>
        <v>0</v>
      </c>
      <c r="AG767" s="152">
        <f t="shared" si="444"/>
        <v>0</v>
      </c>
      <c r="AH767" s="152">
        <f t="shared" si="444"/>
        <v>0</v>
      </c>
      <c r="AI767" s="152">
        <f t="shared" si="444"/>
        <v>0</v>
      </c>
      <c r="AJ767" s="152">
        <f t="shared" si="444"/>
        <v>0</v>
      </c>
      <c r="AK767" s="152">
        <f t="shared" si="444"/>
        <v>0</v>
      </c>
      <c r="AL767" s="152">
        <f t="shared" si="444"/>
        <v>0</v>
      </c>
      <c r="AM767" s="152">
        <f t="shared" si="444"/>
        <v>0</v>
      </c>
      <c r="AN767" s="152">
        <f t="shared" si="444"/>
        <v>0</v>
      </c>
      <c r="AO767" s="152">
        <f t="shared" si="444"/>
        <v>0</v>
      </c>
      <c r="AP767" s="152">
        <f t="shared" si="444"/>
        <v>0</v>
      </c>
    </row>
    <row r="768" spans="1:42" x14ac:dyDescent="0.2">
      <c r="A768" s="24" t="s">
        <v>13</v>
      </c>
      <c r="B768" s="14"/>
      <c r="C768" s="152">
        <f>SUM(C758:C767)</f>
        <v>0</v>
      </c>
      <c r="D768" s="152">
        <f t="shared" ref="D768:AP768" si="445">SUM(D758:D767)</f>
        <v>0</v>
      </c>
      <c r="E768" s="152">
        <f t="shared" si="445"/>
        <v>0</v>
      </c>
      <c r="F768" s="152">
        <f t="shared" si="445"/>
        <v>0</v>
      </c>
      <c r="G768" s="152">
        <f t="shared" si="445"/>
        <v>0</v>
      </c>
      <c r="H768" s="152">
        <f t="shared" si="445"/>
        <v>0</v>
      </c>
      <c r="I768" s="152">
        <f t="shared" si="445"/>
        <v>0</v>
      </c>
      <c r="J768" s="152">
        <f t="shared" si="445"/>
        <v>0</v>
      </c>
      <c r="K768" s="152">
        <f t="shared" si="445"/>
        <v>0</v>
      </c>
      <c r="L768" s="152">
        <f t="shared" si="445"/>
        <v>0</v>
      </c>
      <c r="M768" s="152">
        <f t="shared" si="445"/>
        <v>0</v>
      </c>
      <c r="N768" s="152">
        <f t="shared" si="445"/>
        <v>0</v>
      </c>
      <c r="O768" s="152">
        <f t="shared" si="445"/>
        <v>0</v>
      </c>
      <c r="P768" s="152">
        <f t="shared" si="445"/>
        <v>0</v>
      </c>
      <c r="Q768" s="152">
        <f t="shared" si="445"/>
        <v>0</v>
      </c>
      <c r="R768" s="152">
        <f t="shared" si="445"/>
        <v>0</v>
      </c>
      <c r="S768" s="152">
        <f t="shared" si="445"/>
        <v>0</v>
      </c>
      <c r="T768" s="152">
        <f t="shared" si="445"/>
        <v>0</v>
      </c>
      <c r="U768" s="152">
        <f t="shared" si="445"/>
        <v>0</v>
      </c>
      <c r="V768" s="152">
        <f t="shared" si="445"/>
        <v>0</v>
      </c>
      <c r="W768" s="152">
        <f t="shared" si="445"/>
        <v>0</v>
      </c>
      <c r="X768" s="152">
        <f t="shared" si="445"/>
        <v>0</v>
      </c>
      <c r="Y768" s="152">
        <f t="shared" si="445"/>
        <v>0</v>
      </c>
      <c r="Z768" s="152">
        <f t="shared" si="445"/>
        <v>0</v>
      </c>
      <c r="AA768" s="152">
        <f t="shared" si="445"/>
        <v>0</v>
      </c>
      <c r="AB768" s="152">
        <f t="shared" si="445"/>
        <v>0</v>
      </c>
      <c r="AC768" s="152">
        <f t="shared" si="445"/>
        <v>0</v>
      </c>
      <c r="AD768" s="152">
        <f t="shared" si="445"/>
        <v>0</v>
      </c>
      <c r="AE768" s="152">
        <f t="shared" si="445"/>
        <v>0</v>
      </c>
      <c r="AF768" s="152">
        <f t="shared" si="445"/>
        <v>0</v>
      </c>
      <c r="AG768" s="152">
        <f t="shared" si="445"/>
        <v>0</v>
      </c>
      <c r="AH768" s="152">
        <f t="shared" si="445"/>
        <v>0</v>
      </c>
      <c r="AI768" s="152">
        <f t="shared" si="445"/>
        <v>0</v>
      </c>
      <c r="AJ768" s="152">
        <f t="shared" si="445"/>
        <v>0</v>
      </c>
      <c r="AK768" s="152">
        <f t="shared" si="445"/>
        <v>0</v>
      </c>
      <c r="AL768" s="152">
        <f t="shared" si="445"/>
        <v>0</v>
      </c>
      <c r="AM768" s="152">
        <f t="shared" si="445"/>
        <v>0</v>
      </c>
      <c r="AN768" s="152">
        <f t="shared" si="445"/>
        <v>0</v>
      </c>
      <c r="AO768" s="152">
        <f t="shared" si="445"/>
        <v>0</v>
      </c>
      <c r="AP768" s="152">
        <f t="shared" si="445"/>
        <v>0</v>
      </c>
    </row>
    <row r="769" spans="1:42" x14ac:dyDescent="0.2">
      <c r="A769" s="4" t="s">
        <v>281</v>
      </c>
    </row>
    <row r="770" spans="1:42" x14ac:dyDescent="0.2">
      <c r="A770" s="4">
        <v>1</v>
      </c>
      <c r="B770" s="175">
        <f t="shared" ref="B770:B779" si="446">SUM(C770:AP770)</f>
        <v>0</v>
      </c>
      <c r="C770" s="152">
        <f t="shared" ref="C770:AP770" si="447">IF(C$2&lt;=equip3_reserve_freq*$A$758,$B$758/(equip3_reserve_freq),0)</f>
        <v>0</v>
      </c>
      <c r="D770" s="152">
        <f t="shared" si="447"/>
        <v>0</v>
      </c>
      <c r="E770" s="152">
        <f t="shared" si="447"/>
        <v>0</v>
      </c>
      <c r="F770" s="152">
        <f t="shared" si="447"/>
        <v>0</v>
      </c>
      <c r="G770" s="152">
        <f t="shared" si="447"/>
        <v>0</v>
      </c>
      <c r="H770" s="152">
        <f t="shared" si="447"/>
        <v>0</v>
      </c>
      <c r="I770" s="152">
        <f t="shared" si="447"/>
        <v>0</v>
      </c>
      <c r="J770" s="152">
        <f t="shared" si="447"/>
        <v>0</v>
      </c>
      <c r="K770" s="152">
        <f t="shared" si="447"/>
        <v>0</v>
      </c>
      <c r="L770" s="152">
        <f t="shared" si="447"/>
        <v>0</v>
      </c>
      <c r="M770" s="152">
        <f t="shared" si="447"/>
        <v>0</v>
      </c>
      <c r="N770" s="152">
        <f t="shared" si="447"/>
        <v>0</v>
      </c>
      <c r="O770" s="152">
        <f t="shared" si="447"/>
        <v>0</v>
      </c>
      <c r="P770" s="152">
        <f t="shared" si="447"/>
        <v>0</v>
      </c>
      <c r="Q770" s="152">
        <f t="shared" si="447"/>
        <v>0</v>
      </c>
      <c r="R770" s="152">
        <f t="shared" si="447"/>
        <v>0</v>
      </c>
      <c r="S770" s="152">
        <f t="shared" si="447"/>
        <v>0</v>
      </c>
      <c r="T770" s="152">
        <f t="shared" si="447"/>
        <v>0</v>
      </c>
      <c r="U770" s="152">
        <f t="shared" si="447"/>
        <v>0</v>
      </c>
      <c r="V770" s="152">
        <f t="shared" si="447"/>
        <v>0</v>
      </c>
      <c r="W770" s="152">
        <f t="shared" si="447"/>
        <v>0</v>
      </c>
      <c r="X770" s="152">
        <f t="shared" si="447"/>
        <v>0</v>
      </c>
      <c r="Y770" s="152">
        <f t="shared" si="447"/>
        <v>0</v>
      </c>
      <c r="Z770" s="152">
        <f t="shared" si="447"/>
        <v>0</v>
      </c>
      <c r="AA770" s="152">
        <f t="shared" si="447"/>
        <v>0</v>
      </c>
      <c r="AB770" s="152">
        <f t="shared" si="447"/>
        <v>0</v>
      </c>
      <c r="AC770" s="152">
        <f t="shared" si="447"/>
        <v>0</v>
      </c>
      <c r="AD770" s="152">
        <f t="shared" si="447"/>
        <v>0</v>
      </c>
      <c r="AE770" s="152">
        <f t="shared" si="447"/>
        <v>0</v>
      </c>
      <c r="AF770" s="152">
        <f t="shared" si="447"/>
        <v>0</v>
      </c>
      <c r="AG770" s="152">
        <f t="shared" si="447"/>
        <v>0</v>
      </c>
      <c r="AH770" s="152">
        <f t="shared" si="447"/>
        <v>0</v>
      </c>
      <c r="AI770" s="152">
        <f t="shared" si="447"/>
        <v>0</v>
      </c>
      <c r="AJ770" s="152">
        <f t="shared" si="447"/>
        <v>0</v>
      </c>
      <c r="AK770" s="152">
        <f t="shared" si="447"/>
        <v>0</v>
      </c>
      <c r="AL770" s="152">
        <f t="shared" si="447"/>
        <v>0</v>
      </c>
      <c r="AM770" s="152">
        <f t="shared" si="447"/>
        <v>0</v>
      </c>
      <c r="AN770" s="152">
        <f t="shared" si="447"/>
        <v>0</v>
      </c>
      <c r="AO770" s="152">
        <f t="shared" si="447"/>
        <v>0</v>
      </c>
      <c r="AP770" s="152">
        <f t="shared" si="447"/>
        <v>0</v>
      </c>
    </row>
    <row r="771" spans="1:42" x14ac:dyDescent="0.2">
      <c r="A771" s="4">
        <f>A770+1</f>
        <v>2</v>
      </c>
      <c r="B771" s="175">
        <f t="shared" si="446"/>
        <v>0</v>
      </c>
      <c r="C771" s="152">
        <f t="shared" ref="C771:AP771" si="448">IF(AND(C$2&gt;equip3_reserve_freq*$A758,C$2&lt;=equip3_reserve_freq*$A759),$B759/(equip3_reserve_freq),0)</f>
        <v>0</v>
      </c>
      <c r="D771" s="152">
        <f t="shared" si="448"/>
        <v>0</v>
      </c>
      <c r="E771" s="152">
        <f t="shared" si="448"/>
        <v>0</v>
      </c>
      <c r="F771" s="152">
        <f t="shared" si="448"/>
        <v>0</v>
      </c>
      <c r="G771" s="152">
        <f t="shared" si="448"/>
        <v>0</v>
      </c>
      <c r="H771" s="152">
        <f t="shared" si="448"/>
        <v>0</v>
      </c>
      <c r="I771" s="152">
        <f t="shared" si="448"/>
        <v>0</v>
      </c>
      <c r="J771" s="152">
        <f t="shared" si="448"/>
        <v>0</v>
      </c>
      <c r="K771" s="152">
        <f t="shared" si="448"/>
        <v>0</v>
      </c>
      <c r="L771" s="152">
        <f t="shared" si="448"/>
        <v>0</v>
      </c>
      <c r="M771" s="152">
        <f t="shared" si="448"/>
        <v>0</v>
      </c>
      <c r="N771" s="152">
        <f t="shared" si="448"/>
        <v>0</v>
      </c>
      <c r="O771" s="152">
        <f t="shared" si="448"/>
        <v>0</v>
      </c>
      <c r="P771" s="152">
        <f t="shared" si="448"/>
        <v>0</v>
      </c>
      <c r="Q771" s="152">
        <f t="shared" si="448"/>
        <v>0</v>
      </c>
      <c r="R771" s="152">
        <f t="shared" si="448"/>
        <v>0</v>
      </c>
      <c r="S771" s="152">
        <f t="shared" si="448"/>
        <v>0</v>
      </c>
      <c r="T771" s="152">
        <f t="shared" si="448"/>
        <v>0</v>
      </c>
      <c r="U771" s="152">
        <f t="shared" si="448"/>
        <v>0</v>
      </c>
      <c r="V771" s="152">
        <f t="shared" si="448"/>
        <v>0</v>
      </c>
      <c r="W771" s="152">
        <f t="shared" si="448"/>
        <v>0</v>
      </c>
      <c r="X771" s="152">
        <f t="shared" si="448"/>
        <v>0</v>
      </c>
      <c r="Y771" s="152">
        <f t="shared" si="448"/>
        <v>0</v>
      </c>
      <c r="Z771" s="152">
        <f t="shared" si="448"/>
        <v>0</v>
      </c>
      <c r="AA771" s="152">
        <f t="shared" si="448"/>
        <v>0</v>
      </c>
      <c r="AB771" s="152">
        <f t="shared" si="448"/>
        <v>0</v>
      </c>
      <c r="AC771" s="152">
        <f t="shared" si="448"/>
        <v>0</v>
      </c>
      <c r="AD771" s="152">
        <f t="shared" si="448"/>
        <v>0</v>
      </c>
      <c r="AE771" s="152">
        <f t="shared" si="448"/>
        <v>0</v>
      </c>
      <c r="AF771" s="152">
        <f t="shared" si="448"/>
        <v>0</v>
      </c>
      <c r="AG771" s="152">
        <f t="shared" si="448"/>
        <v>0</v>
      </c>
      <c r="AH771" s="152">
        <f t="shared" si="448"/>
        <v>0</v>
      </c>
      <c r="AI771" s="152">
        <f t="shared" si="448"/>
        <v>0</v>
      </c>
      <c r="AJ771" s="152">
        <f t="shared" si="448"/>
        <v>0</v>
      </c>
      <c r="AK771" s="152">
        <f t="shared" si="448"/>
        <v>0</v>
      </c>
      <c r="AL771" s="152">
        <f t="shared" si="448"/>
        <v>0</v>
      </c>
      <c r="AM771" s="152">
        <f t="shared" si="448"/>
        <v>0</v>
      </c>
      <c r="AN771" s="152">
        <f t="shared" si="448"/>
        <v>0</v>
      </c>
      <c r="AO771" s="152">
        <f t="shared" si="448"/>
        <v>0</v>
      </c>
      <c r="AP771" s="152">
        <f t="shared" si="448"/>
        <v>0</v>
      </c>
    </row>
    <row r="772" spans="1:42" x14ac:dyDescent="0.2">
      <c r="A772" s="4">
        <f t="shared" ref="A772:A777" si="449">A771+1</f>
        <v>3</v>
      </c>
      <c r="B772" s="175">
        <f t="shared" si="446"/>
        <v>0</v>
      </c>
      <c r="C772" s="152">
        <f t="shared" ref="C772:AP772" si="450">IF(AND(C$2&gt;equip3_reserve_freq*$A759,C$2&lt;=equip3_reserve_freq*$A760),$B760/(equip3_reserve_freq),0)</f>
        <v>0</v>
      </c>
      <c r="D772" s="152">
        <f t="shared" si="450"/>
        <v>0</v>
      </c>
      <c r="E772" s="152">
        <f t="shared" si="450"/>
        <v>0</v>
      </c>
      <c r="F772" s="152">
        <f t="shared" si="450"/>
        <v>0</v>
      </c>
      <c r="G772" s="152">
        <f t="shared" si="450"/>
        <v>0</v>
      </c>
      <c r="H772" s="152">
        <f t="shared" si="450"/>
        <v>0</v>
      </c>
      <c r="I772" s="152">
        <f t="shared" si="450"/>
        <v>0</v>
      </c>
      <c r="J772" s="152">
        <f t="shared" si="450"/>
        <v>0</v>
      </c>
      <c r="K772" s="152">
        <f t="shared" si="450"/>
        <v>0</v>
      </c>
      <c r="L772" s="152">
        <f t="shared" si="450"/>
        <v>0</v>
      </c>
      <c r="M772" s="152">
        <f t="shared" si="450"/>
        <v>0</v>
      </c>
      <c r="N772" s="152">
        <f t="shared" si="450"/>
        <v>0</v>
      </c>
      <c r="O772" s="152">
        <f t="shared" si="450"/>
        <v>0</v>
      </c>
      <c r="P772" s="152">
        <f t="shared" si="450"/>
        <v>0</v>
      </c>
      <c r="Q772" s="152">
        <f t="shared" si="450"/>
        <v>0</v>
      </c>
      <c r="R772" s="152">
        <f t="shared" si="450"/>
        <v>0</v>
      </c>
      <c r="S772" s="152">
        <f t="shared" si="450"/>
        <v>0</v>
      </c>
      <c r="T772" s="152">
        <f t="shared" si="450"/>
        <v>0</v>
      </c>
      <c r="U772" s="152">
        <f t="shared" si="450"/>
        <v>0</v>
      </c>
      <c r="V772" s="152">
        <f t="shared" si="450"/>
        <v>0</v>
      </c>
      <c r="W772" s="152">
        <f t="shared" si="450"/>
        <v>0</v>
      </c>
      <c r="X772" s="152">
        <f t="shared" si="450"/>
        <v>0</v>
      </c>
      <c r="Y772" s="152">
        <f t="shared" si="450"/>
        <v>0</v>
      </c>
      <c r="Z772" s="152">
        <f t="shared" si="450"/>
        <v>0</v>
      </c>
      <c r="AA772" s="152">
        <f t="shared" si="450"/>
        <v>0</v>
      </c>
      <c r="AB772" s="152">
        <f t="shared" si="450"/>
        <v>0</v>
      </c>
      <c r="AC772" s="152">
        <f t="shared" si="450"/>
        <v>0</v>
      </c>
      <c r="AD772" s="152">
        <f t="shared" si="450"/>
        <v>0</v>
      </c>
      <c r="AE772" s="152">
        <f t="shared" si="450"/>
        <v>0</v>
      </c>
      <c r="AF772" s="152">
        <f t="shared" si="450"/>
        <v>0</v>
      </c>
      <c r="AG772" s="152">
        <f t="shared" si="450"/>
        <v>0</v>
      </c>
      <c r="AH772" s="152">
        <f t="shared" si="450"/>
        <v>0</v>
      </c>
      <c r="AI772" s="152">
        <f t="shared" si="450"/>
        <v>0</v>
      </c>
      <c r="AJ772" s="152">
        <f t="shared" si="450"/>
        <v>0</v>
      </c>
      <c r="AK772" s="152">
        <f t="shared" si="450"/>
        <v>0</v>
      </c>
      <c r="AL772" s="152">
        <f t="shared" si="450"/>
        <v>0</v>
      </c>
      <c r="AM772" s="152">
        <f t="shared" si="450"/>
        <v>0</v>
      </c>
      <c r="AN772" s="152">
        <f t="shared" si="450"/>
        <v>0</v>
      </c>
      <c r="AO772" s="152">
        <f t="shared" si="450"/>
        <v>0</v>
      </c>
      <c r="AP772" s="152">
        <f t="shared" si="450"/>
        <v>0</v>
      </c>
    </row>
    <row r="773" spans="1:42" x14ac:dyDescent="0.2">
      <c r="A773" s="4">
        <f t="shared" si="449"/>
        <v>4</v>
      </c>
      <c r="B773" s="175">
        <f t="shared" si="446"/>
        <v>0</v>
      </c>
      <c r="C773" s="152">
        <f t="shared" ref="C773:AP773" si="451">IF(AND(C$2&gt;equip3_reserve_freq*$A760,C$2&lt;=equip3_reserve_freq*$A761),$B761/(equip3_reserve_freq),0)</f>
        <v>0</v>
      </c>
      <c r="D773" s="152">
        <f t="shared" si="451"/>
        <v>0</v>
      </c>
      <c r="E773" s="152">
        <f t="shared" si="451"/>
        <v>0</v>
      </c>
      <c r="F773" s="152">
        <f t="shared" si="451"/>
        <v>0</v>
      </c>
      <c r="G773" s="152">
        <f t="shared" si="451"/>
        <v>0</v>
      </c>
      <c r="H773" s="152">
        <f t="shared" si="451"/>
        <v>0</v>
      </c>
      <c r="I773" s="152">
        <f t="shared" si="451"/>
        <v>0</v>
      </c>
      <c r="J773" s="152">
        <f t="shared" si="451"/>
        <v>0</v>
      </c>
      <c r="K773" s="152">
        <f t="shared" si="451"/>
        <v>0</v>
      </c>
      <c r="L773" s="152">
        <f t="shared" si="451"/>
        <v>0</v>
      </c>
      <c r="M773" s="152">
        <f t="shared" si="451"/>
        <v>0</v>
      </c>
      <c r="N773" s="152">
        <f t="shared" si="451"/>
        <v>0</v>
      </c>
      <c r="O773" s="152">
        <f t="shared" si="451"/>
        <v>0</v>
      </c>
      <c r="P773" s="152">
        <f t="shared" si="451"/>
        <v>0</v>
      </c>
      <c r="Q773" s="152">
        <f t="shared" si="451"/>
        <v>0</v>
      </c>
      <c r="R773" s="152">
        <f t="shared" si="451"/>
        <v>0</v>
      </c>
      <c r="S773" s="152">
        <f t="shared" si="451"/>
        <v>0</v>
      </c>
      <c r="T773" s="152">
        <f t="shared" si="451"/>
        <v>0</v>
      </c>
      <c r="U773" s="152">
        <f t="shared" si="451"/>
        <v>0</v>
      </c>
      <c r="V773" s="152">
        <f t="shared" si="451"/>
        <v>0</v>
      </c>
      <c r="W773" s="152">
        <f t="shared" si="451"/>
        <v>0</v>
      </c>
      <c r="X773" s="152">
        <f t="shared" si="451"/>
        <v>0</v>
      </c>
      <c r="Y773" s="152">
        <f t="shared" si="451"/>
        <v>0</v>
      </c>
      <c r="Z773" s="152">
        <f t="shared" si="451"/>
        <v>0</v>
      </c>
      <c r="AA773" s="152">
        <f t="shared" si="451"/>
        <v>0</v>
      </c>
      <c r="AB773" s="152">
        <f t="shared" si="451"/>
        <v>0</v>
      </c>
      <c r="AC773" s="152">
        <f t="shared" si="451"/>
        <v>0</v>
      </c>
      <c r="AD773" s="152">
        <f t="shared" si="451"/>
        <v>0</v>
      </c>
      <c r="AE773" s="152">
        <f t="shared" si="451"/>
        <v>0</v>
      </c>
      <c r="AF773" s="152">
        <f t="shared" si="451"/>
        <v>0</v>
      </c>
      <c r="AG773" s="152">
        <f t="shared" si="451"/>
        <v>0</v>
      </c>
      <c r="AH773" s="152">
        <f t="shared" si="451"/>
        <v>0</v>
      </c>
      <c r="AI773" s="152">
        <f t="shared" si="451"/>
        <v>0</v>
      </c>
      <c r="AJ773" s="152">
        <f t="shared" si="451"/>
        <v>0</v>
      </c>
      <c r="AK773" s="152">
        <f t="shared" si="451"/>
        <v>0</v>
      </c>
      <c r="AL773" s="152">
        <f t="shared" si="451"/>
        <v>0</v>
      </c>
      <c r="AM773" s="152">
        <f t="shared" si="451"/>
        <v>0</v>
      </c>
      <c r="AN773" s="152">
        <f t="shared" si="451"/>
        <v>0</v>
      </c>
      <c r="AO773" s="152">
        <f t="shared" si="451"/>
        <v>0</v>
      </c>
      <c r="AP773" s="152">
        <f t="shared" si="451"/>
        <v>0</v>
      </c>
    </row>
    <row r="774" spans="1:42" x14ac:dyDescent="0.2">
      <c r="A774" s="4">
        <f t="shared" si="449"/>
        <v>5</v>
      </c>
      <c r="B774" s="175">
        <f t="shared" si="446"/>
        <v>0</v>
      </c>
      <c r="C774" s="152">
        <f t="shared" ref="C774:AP774" si="452">IF(AND(C$2&gt;equip3_reserve_freq*$A761,C$2&lt;=equip3_reserve_freq*$A762),$B762/(equip3_reserve_freq),0)</f>
        <v>0</v>
      </c>
      <c r="D774" s="152">
        <f t="shared" si="452"/>
        <v>0</v>
      </c>
      <c r="E774" s="152">
        <f t="shared" si="452"/>
        <v>0</v>
      </c>
      <c r="F774" s="152">
        <f t="shared" si="452"/>
        <v>0</v>
      </c>
      <c r="G774" s="152">
        <f t="shared" si="452"/>
        <v>0</v>
      </c>
      <c r="H774" s="152">
        <f t="shared" si="452"/>
        <v>0</v>
      </c>
      <c r="I774" s="152">
        <f t="shared" si="452"/>
        <v>0</v>
      </c>
      <c r="J774" s="152">
        <f t="shared" si="452"/>
        <v>0</v>
      </c>
      <c r="K774" s="152">
        <f t="shared" si="452"/>
        <v>0</v>
      </c>
      <c r="L774" s="152">
        <f t="shared" si="452"/>
        <v>0</v>
      </c>
      <c r="M774" s="152">
        <f t="shared" si="452"/>
        <v>0</v>
      </c>
      <c r="N774" s="152">
        <f t="shared" si="452"/>
        <v>0</v>
      </c>
      <c r="O774" s="152">
        <f t="shared" si="452"/>
        <v>0</v>
      </c>
      <c r="P774" s="152">
        <f t="shared" si="452"/>
        <v>0</v>
      </c>
      <c r="Q774" s="152">
        <f t="shared" si="452"/>
        <v>0</v>
      </c>
      <c r="R774" s="152">
        <f t="shared" si="452"/>
        <v>0</v>
      </c>
      <c r="S774" s="152">
        <f t="shared" si="452"/>
        <v>0</v>
      </c>
      <c r="T774" s="152">
        <f t="shared" si="452"/>
        <v>0</v>
      </c>
      <c r="U774" s="152">
        <f t="shared" si="452"/>
        <v>0</v>
      </c>
      <c r="V774" s="152">
        <f t="shared" si="452"/>
        <v>0</v>
      </c>
      <c r="W774" s="152">
        <f t="shared" si="452"/>
        <v>0</v>
      </c>
      <c r="X774" s="152">
        <f t="shared" si="452"/>
        <v>0</v>
      </c>
      <c r="Y774" s="152">
        <f t="shared" si="452"/>
        <v>0</v>
      </c>
      <c r="Z774" s="152">
        <f t="shared" si="452"/>
        <v>0</v>
      </c>
      <c r="AA774" s="152">
        <f t="shared" si="452"/>
        <v>0</v>
      </c>
      <c r="AB774" s="152">
        <f t="shared" si="452"/>
        <v>0</v>
      </c>
      <c r="AC774" s="152">
        <f t="shared" si="452"/>
        <v>0</v>
      </c>
      <c r="AD774" s="152">
        <f t="shared" si="452"/>
        <v>0</v>
      </c>
      <c r="AE774" s="152">
        <f t="shared" si="452"/>
        <v>0</v>
      </c>
      <c r="AF774" s="152">
        <f t="shared" si="452"/>
        <v>0</v>
      </c>
      <c r="AG774" s="152">
        <f t="shared" si="452"/>
        <v>0</v>
      </c>
      <c r="AH774" s="152">
        <f t="shared" si="452"/>
        <v>0</v>
      </c>
      <c r="AI774" s="152">
        <f t="shared" si="452"/>
        <v>0</v>
      </c>
      <c r="AJ774" s="152">
        <f t="shared" si="452"/>
        <v>0</v>
      </c>
      <c r="AK774" s="152">
        <f t="shared" si="452"/>
        <v>0</v>
      </c>
      <c r="AL774" s="152">
        <f t="shared" si="452"/>
        <v>0</v>
      </c>
      <c r="AM774" s="152">
        <f t="shared" si="452"/>
        <v>0</v>
      </c>
      <c r="AN774" s="152">
        <f t="shared" si="452"/>
        <v>0</v>
      </c>
      <c r="AO774" s="152">
        <f t="shared" si="452"/>
        <v>0</v>
      </c>
      <c r="AP774" s="152">
        <f t="shared" si="452"/>
        <v>0</v>
      </c>
    </row>
    <row r="775" spans="1:42" x14ac:dyDescent="0.2">
      <c r="A775" s="4">
        <f t="shared" si="449"/>
        <v>6</v>
      </c>
      <c r="B775" s="175">
        <f t="shared" si="446"/>
        <v>0</v>
      </c>
      <c r="C775" s="152">
        <f t="shared" ref="C775:AP775" si="453">IF(AND(C$2&gt;equip3_reserve_freq*$A762,C$2&lt;=equip3_reserve_freq*$A763),$B763/(equip3_reserve_freq),0)</f>
        <v>0</v>
      </c>
      <c r="D775" s="152">
        <f t="shared" si="453"/>
        <v>0</v>
      </c>
      <c r="E775" s="152">
        <f t="shared" si="453"/>
        <v>0</v>
      </c>
      <c r="F775" s="152">
        <f t="shared" si="453"/>
        <v>0</v>
      </c>
      <c r="G775" s="152">
        <f t="shared" si="453"/>
        <v>0</v>
      </c>
      <c r="H775" s="152">
        <f t="shared" si="453"/>
        <v>0</v>
      </c>
      <c r="I775" s="152">
        <f t="shared" si="453"/>
        <v>0</v>
      </c>
      <c r="J775" s="152">
        <f t="shared" si="453"/>
        <v>0</v>
      </c>
      <c r="K775" s="152">
        <f t="shared" si="453"/>
        <v>0</v>
      </c>
      <c r="L775" s="152">
        <f t="shared" si="453"/>
        <v>0</v>
      </c>
      <c r="M775" s="152">
        <f t="shared" si="453"/>
        <v>0</v>
      </c>
      <c r="N775" s="152">
        <f t="shared" si="453"/>
        <v>0</v>
      </c>
      <c r="O775" s="152">
        <f t="shared" si="453"/>
        <v>0</v>
      </c>
      <c r="P775" s="152">
        <f t="shared" si="453"/>
        <v>0</v>
      </c>
      <c r="Q775" s="152">
        <f t="shared" si="453"/>
        <v>0</v>
      </c>
      <c r="R775" s="152">
        <f t="shared" si="453"/>
        <v>0</v>
      </c>
      <c r="S775" s="152">
        <f t="shared" si="453"/>
        <v>0</v>
      </c>
      <c r="T775" s="152">
        <f t="shared" si="453"/>
        <v>0</v>
      </c>
      <c r="U775" s="152">
        <f t="shared" si="453"/>
        <v>0</v>
      </c>
      <c r="V775" s="152">
        <f t="shared" si="453"/>
        <v>0</v>
      </c>
      <c r="W775" s="152">
        <f t="shared" si="453"/>
        <v>0</v>
      </c>
      <c r="X775" s="152">
        <f t="shared" si="453"/>
        <v>0</v>
      </c>
      <c r="Y775" s="152">
        <f t="shared" si="453"/>
        <v>0</v>
      </c>
      <c r="Z775" s="152">
        <f t="shared" si="453"/>
        <v>0</v>
      </c>
      <c r="AA775" s="152">
        <f t="shared" si="453"/>
        <v>0</v>
      </c>
      <c r="AB775" s="152">
        <f t="shared" si="453"/>
        <v>0</v>
      </c>
      <c r="AC775" s="152">
        <f t="shared" si="453"/>
        <v>0</v>
      </c>
      <c r="AD775" s="152">
        <f t="shared" si="453"/>
        <v>0</v>
      </c>
      <c r="AE775" s="152">
        <f t="shared" si="453"/>
        <v>0</v>
      </c>
      <c r="AF775" s="152">
        <f t="shared" si="453"/>
        <v>0</v>
      </c>
      <c r="AG775" s="152">
        <f t="shared" si="453"/>
        <v>0</v>
      </c>
      <c r="AH775" s="152">
        <f t="shared" si="453"/>
        <v>0</v>
      </c>
      <c r="AI775" s="152">
        <f t="shared" si="453"/>
        <v>0</v>
      </c>
      <c r="AJ775" s="152">
        <f t="shared" si="453"/>
        <v>0</v>
      </c>
      <c r="AK775" s="152">
        <f t="shared" si="453"/>
        <v>0</v>
      </c>
      <c r="AL775" s="152">
        <f t="shared" si="453"/>
        <v>0</v>
      </c>
      <c r="AM775" s="152">
        <f t="shared" si="453"/>
        <v>0</v>
      </c>
      <c r="AN775" s="152">
        <f t="shared" si="453"/>
        <v>0</v>
      </c>
      <c r="AO775" s="152">
        <f t="shared" si="453"/>
        <v>0</v>
      </c>
      <c r="AP775" s="152">
        <f t="shared" si="453"/>
        <v>0</v>
      </c>
    </row>
    <row r="776" spans="1:42" x14ac:dyDescent="0.2">
      <c r="A776" s="4">
        <f t="shared" si="449"/>
        <v>7</v>
      </c>
      <c r="B776" s="175">
        <f t="shared" si="446"/>
        <v>0</v>
      </c>
      <c r="C776" s="152">
        <f t="shared" ref="C776:AP776" si="454">IF(AND(C$2&gt;equip3_reserve_freq*$A763,C$2&lt;=equip3_reserve_freq*$A764),$B764/(equip3_reserve_freq),0)</f>
        <v>0</v>
      </c>
      <c r="D776" s="152">
        <f t="shared" si="454"/>
        <v>0</v>
      </c>
      <c r="E776" s="152">
        <f t="shared" si="454"/>
        <v>0</v>
      </c>
      <c r="F776" s="152">
        <f t="shared" si="454"/>
        <v>0</v>
      </c>
      <c r="G776" s="152">
        <f t="shared" si="454"/>
        <v>0</v>
      </c>
      <c r="H776" s="152">
        <f t="shared" si="454"/>
        <v>0</v>
      </c>
      <c r="I776" s="152">
        <f t="shared" si="454"/>
        <v>0</v>
      </c>
      <c r="J776" s="152">
        <f t="shared" si="454"/>
        <v>0</v>
      </c>
      <c r="K776" s="152">
        <f t="shared" si="454"/>
        <v>0</v>
      </c>
      <c r="L776" s="152">
        <f t="shared" si="454"/>
        <v>0</v>
      </c>
      <c r="M776" s="152">
        <f t="shared" si="454"/>
        <v>0</v>
      </c>
      <c r="N776" s="152">
        <f t="shared" si="454"/>
        <v>0</v>
      </c>
      <c r="O776" s="152">
        <f t="shared" si="454"/>
        <v>0</v>
      </c>
      <c r="P776" s="152">
        <f t="shared" si="454"/>
        <v>0</v>
      </c>
      <c r="Q776" s="152">
        <f t="shared" si="454"/>
        <v>0</v>
      </c>
      <c r="R776" s="152">
        <f t="shared" si="454"/>
        <v>0</v>
      </c>
      <c r="S776" s="152">
        <f t="shared" si="454"/>
        <v>0</v>
      </c>
      <c r="T776" s="152">
        <f t="shared" si="454"/>
        <v>0</v>
      </c>
      <c r="U776" s="152">
        <f t="shared" si="454"/>
        <v>0</v>
      </c>
      <c r="V776" s="152">
        <f t="shared" si="454"/>
        <v>0</v>
      </c>
      <c r="W776" s="152">
        <f t="shared" si="454"/>
        <v>0</v>
      </c>
      <c r="X776" s="152">
        <f t="shared" si="454"/>
        <v>0</v>
      </c>
      <c r="Y776" s="152">
        <f t="shared" si="454"/>
        <v>0</v>
      </c>
      <c r="Z776" s="152">
        <f t="shared" si="454"/>
        <v>0</v>
      </c>
      <c r="AA776" s="152">
        <f t="shared" si="454"/>
        <v>0</v>
      </c>
      <c r="AB776" s="152">
        <f t="shared" si="454"/>
        <v>0</v>
      </c>
      <c r="AC776" s="152">
        <f t="shared" si="454"/>
        <v>0</v>
      </c>
      <c r="AD776" s="152">
        <f t="shared" si="454"/>
        <v>0</v>
      </c>
      <c r="AE776" s="152">
        <f t="shared" si="454"/>
        <v>0</v>
      </c>
      <c r="AF776" s="152">
        <f t="shared" si="454"/>
        <v>0</v>
      </c>
      <c r="AG776" s="152">
        <f t="shared" si="454"/>
        <v>0</v>
      </c>
      <c r="AH776" s="152">
        <f t="shared" si="454"/>
        <v>0</v>
      </c>
      <c r="AI776" s="152">
        <f t="shared" si="454"/>
        <v>0</v>
      </c>
      <c r="AJ776" s="152">
        <f t="shared" si="454"/>
        <v>0</v>
      </c>
      <c r="AK776" s="152">
        <f t="shared" si="454"/>
        <v>0</v>
      </c>
      <c r="AL776" s="152">
        <f t="shared" si="454"/>
        <v>0</v>
      </c>
      <c r="AM776" s="152">
        <f t="shared" si="454"/>
        <v>0</v>
      </c>
      <c r="AN776" s="152">
        <f t="shared" si="454"/>
        <v>0</v>
      </c>
      <c r="AO776" s="152">
        <f t="shared" si="454"/>
        <v>0</v>
      </c>
      <c r="AP776" s="152">
        <f t="shared" si="454"/>
        <v>0</v>
      </c>
    </row>
    <row r="777" spans="1:42" x14ac:dyDescent="0.2">
      <c r="A777" s="4">
        <f t="shared" si="449"/>
        <v>8</v>
      </c>
      <c r="B777" s="175">
        <f t="shared" si="446"/>
        <v>0</v>
      </c>
      <c r="C777" s="152">
        <f t="shared" ref="C777:AP777" si="455">IF(AND(C$2&gt;equip3_reserve_freq*$A764,C$2&lt;=equip3_reserve_freq*$A765),$B765/(equip3_reserve_freq),0)</f>
        <v>0</v>
      </c>
      <c r="D777" s="152">
        <f t="shared" si="455"/>
        <v>0</v>
      </c>
      <c r="E777" s="152">
        <f t="shared" si="455"/>
        <v>0</v>
      </c>
      <c r="F777" s="152">
        <f t="shared" si="455"/>
        <v>0</v>
      </c>
      <c r="G777" s="152">
        <f t="shared" si="455"/>
        <v>0</v>
      </c>
      <c r="H777" s="152">
        <f t="shared" si="455"/>
        <v>0</v>
      </c>
      <c r="I777" s="152">
        <f t="shared" si="455"/>
        <v>0</v>
      </c>
      <c r="J777" s="152">
        <f t="shared" si="455"/>
        <v>0</v>
      </c>
      <c r="K777" s="152">
        <f t="shared" si="455"/>
        <v>0</v>
      </c>
      <c r="L777" s="152">
        <f t="shared" si="455"/>
        <v>0</v>
      </c>
      <c r="M777" s="152">
        <f t="shared" si="455"/>
        <v>0</v>
      </c>
      <c r="N777" s="152">
        <f t="shared" si="455"/>
        <v>0</v>
      </c>
      <c r="O777" s="152">
        <f t="shared" si="455"/>
        <v>0</v>
      </c>
      <c r="P777" s="152">
        <f t="shared" si="455"/>
        <v>0</v>
      </c>
      <c r="Q777" s="152">
        <f t="shared" si="455"/>
        <v>0</v>
      </c>
      <c r="R777" s="152">
        <f t="shared" si="455"/>
        <v>0</v>
      </c>
      <c r="S777" s="152">
        <f t="shared" si="455"/>
        <v>0</v>
      </c>
      <c r="T777" s="152">
        <f t="shared" si="455"/>
        <v>0</v>
      </c>
      <c r="U777" s="152">
        <f t="shared" si="455"/>
        <v>0</v>
      </c>
      <c r="V777" s="152">
        <f t="shared" si="455"/>
        <v>0</v>
      </c>
      <c r="W777" s="152">
        <f t="shared" si="455"/>
        <v>0</v>
      </c>
      <c r="X777" s="152">
        <f t="shared" si="455"/>
        <v>0</v>
      </c>
      <c r="Y777" s="152">
        <f t="shared" si="455"/>
        <v>0</v>
      </c>
      <c r="Z777" s="152">
        <f t="shared" si="455"/>
        <v>0</v>
      </c>
      <c r="AA777" s="152">
        <f t="shared" si="455"/>
        <v>0</v>
      </c>
      <c r="AB777" s="152">
        <f t="shared" si="455"/>
        <v>0</v>
      </c>
      <c r="AC777" s="152">
        <f t="shared" si="455"/>
        <v>0</v>
      </c>
      <c r="AD777" s="152">
        <f t="shared" si="455"/>
        <v>0</v>
      </c>
      <c r="AE777" s="152">
        <f t="shared" si="455"/>
        <v>0</v>
      </c>
      <c r="AF777" s="152">
        <f t="shared" si="455"/>
        <v>0</v>
      </c>
      <c r="AG777" s="152">
        <f t="shared" si="455"/>
        <v>0</v>
      </c>
      <c r="AH777" s="152">
        <f t="shared" si="455"/>
        <v>0</v>
      </c>
      <c r="AI777" s="152">
        <f t="shared" si="455"/>
        <v>0</v>
      </c>
      <c r="AJ777" s="152">
        <f t="shared" si="455"/>
        <v>0</v>
      </c>
      <c r="AK777" s="152">
        <f t="shared" si="455"/>
        <v>0</v>
      </c>
      <c r="AL777" s="152">
        <f t="shared" si="455"/>
        <v>0</v>
      </c>
      <c r="AM777" s="152">
        <f t="shared" si="455"/>
        <v>0</v>
      </c>
      <c r="AN777" s="152">
        <f t="shared" si="455"/>
        <v>0</v>
      </c>
      <c r="AO777" s="152">
        <f t="shared" si="455"/>
        <v>0</v>
      </c>
      <c r="AP777" s="152">
        <f t="shared" si="455"/>
        <v>0</v>
      </c>
    </row>
    <row r="778" spans="1:42" x14ac:dyDescent="0.2">
      <c r="A778" s="4">
        <f>A777+1</f>
        <v>9</v>
      </c>
      <c r="B778" s="175">
        <f t="shared" si="446"/>
        <v>0</v>
      </c>
      <c r="C778" s="152">
        <f t="shared" ref="C778:AP778" si="456">IF(AND(C$2&gt;equip3_reserve_freq*$A765,C$2&lt;=equip3_reserve_freq*$A766),$B766/(equip3_reserve_freq),0)</f>
        <v>0</v>
      </c>
      <c r="D778" s="152">
        <f t="shared" si="456"/>
        <v>0</v>
      </c>
      <c r="E778" s="152">
        <f t="shared" si="456"/>
        <v>0</v>
      </c>
      <c r="F778" s="152">
        <f t="shared" si="456"/>
        <v>0</v>
      </c>
      <c r="G778" s="152">
        <f t="shared" si="456"/>
        <v>0</v>
      </c>
      <c r="H778" s="152">
        <f t="shared" si="456"/>
        <v>0</v>
      </c>
      <c r="I778" s="152">
        <f t="shared" si="456"/>
        <v>0</v>
      </c>
      <c r="J778" s="152">
        <f t="shared" si="456"/>
        <v>0</v>
      </c>
      <c r="K778" s="152">
        <f t="shared" si="456"/>
        <v>0</v>
      </c>
      <c r="L778" s="152">
        <f t="shared" si="456"/>
        <v>0</v>
      </c>
      <c r="M778" s="152">
        <f t="shared" si="456"/>
        <v>0</v>
      </c>
      <c r="N778" s="152">
        <f t="shared" si="456"/>
        <v>0</v>
      </c>
      <c r="O778" s="152">
        <f t="shared" si="456"/>
        <v>0</v>
      </c>
      <c r="P778" s="152">
        <f t="shared" si="456"/>
        <v>0</v>
      </c>
      <c r="Q778" s="152">
        <f t="shared" si="456"/>
        <v>0</v>
      </c>
      <c r="R778" s="152">
        <f t="shared" si="456"/>
        <v>0</v>
      </c>
      <c r="S778" s="152">
        <f t="shared" si="456"/>
        <v>0</v>
      </c>
      <c r="T778" s="152">
        <f t="shared" si="456"/>
        <v>0</v>
      </c>
      <c r="U778" s="152">
        <f t="shared" si="456"/>
        <v>0</v>
      </c>
      <c r="V778" s="152">
        <f t="shared" si="456"/>
        <v>0</v>
      </c>
      <c r="W778" s="152">
        <f t="shared" si="456"/>
        <v>0</v>
      </c>
      <c r="X778" s="152">
        <f t="shared" si="456"/>
        <v>0</v>
      </c>
      <c r="Y778" s="152">
        <f t="shared" si="456"/>
        <v>0</v>
      </c>
      <c r="Z778" s="152">
        <f t="shared" si="456"/>
        <v>0</v>
      </c>
      <c r="AA778" s="152">
        <f t="shared" si="456"/>
        <v>0</v>
      </c>
      <c r="AB778" s="152">
        <f t="shared" si="456"/>
        <v>0</v>
      </c>
      <c r="AC778" s="152">
        <f t="shared" si="456"/>
        <v>0</v>
      </c>
      <c r="AD778" s="152">
        <f t="shared" si="456"/>
        <v>0</v>
      </c>
      <c r="AE778" s="152">
        <f t="shared" si="456"/>
        <v>0</v>
      </c>
      <c r="AF778" s="152">
        <f t="shared" si="456"/>
        <v>0</v>
      </c>
      <c r="AG778" s="152">
        <f t="shared" si="456"/>
        <v>0</v>
      </c>
      <c r="AH778" s="152">
        <f t="shared" si="456"/>
        <v>0</v>
      </c>
      <c r="AI778" s="152">
        <f t="shared" si="456"/>
        <v>0</v>
      </c>
      <c r="AJ778" s="152">
        <f t="shared" si="456"/>
        <v>0</v>
      </c>
      <c r="AK778" s="152">
        <f t="shared" si="456"/>
        <v>0</v>
      </c>
      <c r="AL778" s="152">
        <f t="shared" si="456"/>
        <v>0</v>
      </c>
      <c r="AM778" s="152">
        <f t="shared" si="456"/>
        <v>0</v>
      </c>
      <c r="AN778" s="152">
        <f t="shared" si="456"/>
        <v>0</v>
      </c>
      <c r="AO778" s="152">
        <f t="shared" si="456"/>
        <v>0</v>
      </c>
      <c r="AP778" s="152">
        <f t="shared" si="456"/>
        <v>0</v>
      </c>
    </row>
    <row r="779" spans="1:42" x14ac:dyDescent="0.2">
      <c r="A779" s="4">
        <f t="shared" ref="A779" si="457">A778+1</f>
        <v>10</v>
      </c>
      <c r="B779" s="175">
        <f t="shared" si="446"/>
        <v>0</v>
      </c>
      <c r="C779" s="153">
        <f t="shared" ref="C779:AP779" si="458">IF(AND(C$2&gt;equip3_reserve_freq*$A766,C$2&lt;=equip3_reserve_freq*$A767),$B767/(equip3_reserve_freq),0)</f>
        <v>0</v>
      </c>
      <c r="D779" s="153">
        <f t="shared" si="458"/>
        <v>0</v>
      </c>
      <c r="E779" s="153">
        <f t="shared" si="458"/>
        <v>0</v>
      </c>
      <c r="F779" s="153">
        <f t="shared" si="458"/>
        <v>0</v>
      </c>
      <c r="G779" s="153">
        <f t="shared" si="458"/>
        <v>0</v>
      </c>
      <c r="H779" s="153">
        <f t="shared" si="458"/>
        <v>0</v>
      </c>
      <c r="I779" s="153">
        <f t="shared" si="458"/>
        <v>0</v>
      </c>
      <c r="J779" s="153">
        <f t="shared" si="458"/>
        <v>0</v>
      </c>
      <c r="K779" s="153">
        <f t="shared" si="458"/>
        <v>0</v>
      </c>
      <c r="L779" s="153">
        <f t="shared" si="458"/>
        <v>0</v>
      </c>
      <c r="M779" s="153">
        <f t="shared" si="458"/>
        <v>0</v>
      </c>
      <c r="N779" s="153">
        <f t="shared" si="458"/>
        <v>0</v>
      </c>
      <c r="O779" s="153">
        <f t="shared" si="458"/>
        <v>0</v>
      </c>
      <c r="P779" s="153">
        <f t="shared" si="458"/>
        <v>0</v>
      </c>
      <c r="Q779" s="153">
        <f t="shared" si="458"/>
        <v>0</v>
      </c>
      <c r="R779" s="153">
        <f t="shared" si="458"/>
        <v>0</v>
      </c>
      <c r="S779" s="153">
        <f t="shared" si="458"/>
        <v>0</v>
      </c>
      <c r="T779" s="153">
        <f t="shared" si="458"/>
        <v>0</v>
      </c>
      <c r="U779" s="153">
        <f t="shared" si="458"/>
        <v>0</v>
      </c>
      <c r="V779" s="153">
        <f t="shared" si="458"/>
        <v>0</v>
      </c>
      <c r="W779" s="153">
        <f t="shared" si="458"/>
        <v>0</v>
      </c>
      <c r="X779" s="153">
        <f t="shared" si="458"/>
        <v>0</v>
      </c>
      <c r="Y779" s="153">
        <f t="shared" si="458"/>
        <v>0</v>
      </c>
      <c r="Z779" s="153">
        <f t="shared" si="458"/>
        <v>0</v>
      </c>
      <c r="AA779" s="153">
        <f t="shared" si="458"/>
        <v>0</v>
      </c>
      <c r="AB779" s="153">
        <f t="shared" si="458"/>
        <v>0</v>
      </c>
      <c r="AC779" s="153">
        <f t="shared" si="458"/>
        <v>0</v>
      </c>
      <c r="AD779" s="153">
        <f t="shared" si="458"/>
        <v>0</v>
      </c>
      <c r="AE779" s="153">
        <f t="shared" si="458"/>
        <v>0</v>
      </c>
      <c r="AF779" s="153">
        <f t="shared" si="458"/>
        <v>0</v>
      </c>
      <c r="AG779" s="153">
        <f t="shared" si="458"/>
        <v>0</v>
      </c>
      <c r="AH779" s="153">
        <f t="shared" si="458"/>
        <v>0</v>
      </c>
      <c r="AI779" s="153">
        <f t="shared" si="458"/>
        <v>0</v>
      </c>
      <c r="AJ779" s="153">
        <f t="shared" si="458"/>
        <v>0</v>
      </c>
      <c r="AK779" s="153">
        <f t="shared" si="458"/>
        <v>0</v>
      </c>
      <c r="AL779" s="153">
        <f t="shared" si="458"/>
        <v>0</v>
      </c>
      <c r="AM779" s="153">
        <f t="shared" si="458"/>
        <v>0</v>
      </c>
      <c r="AN779" s="153">
        <f t="shared" si="458"/>
        <v>0</v>
      </c>
      <c r="AO779" s="153">
        <f t="shared" si="458"/>
        <v>0</v>
      </c>
      <c r="AP779" s="153">
        <f t="shared" si="458"/>
        <v>0</v>
      </c>
    </row>
    <row r="780" spans="1:42" x14ac:dyDescent="0.2">
      <c r="A780" s="24" t="s">
        <v>13</v>
      </c>
      <c r="B780" s="14"/>
      <c r="C780" s="152">
        <f>SUM(C770:C779)</f>
        <v>0</v>
      </c>
      <c r="D780" s="152">
        <f t="shared" ref="D780:AP780" si="459">SUM(D770:D779)</f>
        <v>0</v>
      </c>
      <c r="E780" s="152">
        <f t="shared" si="459"/>
        <v>0</v>
      </c>
      <c r="F780" s="152">
        <f t="shared" si="459"/>
        <v>0</v>
      </c>
      <c r="G780" s="152">
        <f t="shared" si="459"/>
        <v>0</v>
      </c>
      <c r="H780" s="152">
        <f t="shared" si="459"/>
        <v>0</v>
      </c>
      <c r="I780" s="152">
        <f t="shared" si="459"/>
        <v>0</v>
      </c>
      <c r="J780" s="152">
        <f t="shared" si="459"/>
        <v>0</v>
      </c>
      <c r="K780" s="152">
        <f t="shared" si="459"/>
        <v>0</v>
      </c>
      <c r="L780" s="152">
        <f t="shared" si="459"/>
        <v>0</v>
      </c>
      <c r="M780" s="152">
        <f t="shared" si="459"/>
        <v>0</v>
      </c>
      <c r="N780" s="152">
        <f t="shared" si="459"/>
        <v>0</v>
      </c>
      <c r="O780" s="152">
        <f t="shared" si="459"/>
        <v>0</v>
      </c>
      <c r="P780" s="152">
        <f t="shared" si="459"/>
        <v>0</v>
      </c>
      <c r="Q780" s="152">
        <f t="shared" si="459"/>
        <v>0</v>
      </c>
      <c r="R780" s="152">
        <f t="shared" si="459"/>
        <v>0</v>
      </c>
      <c r="S780" s="152">
        <f t="shared" si="459"/>
        <v>0</v>
      </c>
      <c r="T780" s="152">
        <f t="shared" si="459"/>
        <v>0</v>
      </c>
      <c r="U780" s="152">
        <f t="shared" si="459"/>
        <v>0</v>
      </c>
      <c r="V780" s="152">
        <f t="shared" si="459"/>
        <v>0</v>
      </c>
      <c r="W780" s="152">
        <f t="shared" si="459"/>
        <v>0</v>
      </c>
      <c r="X780" s="152">
        <f t="shared" si="459"/>
        <v>0</v>
      </c>
      <c r="Y780" s="152">
        <f t="shared" si="459"/>
        <v>0</v>
      </c>
      <c r="Z780" s="152">
        <f t="shared" si="459"/>
        <v>0</v>
      </c>
      <c r="AA780" s="152">
        <f t="shared" si="459"/>
        <v>0</v>
      </c>
      <c r="AB780" s="152">
        <f t="shared" si="459"/>
        <v>0</v>
      </c>
      <c r="AC780" s="152">
        <f t="shared" si="459"/>
        <v>0</v>
      </c>
      <c r="AD780" s="152">
        <f t="shared" si="459"/>
        <v>0</v>
      </c>
      <c r="AE780" s="152">
        <f t="shared" si="459"/>
        <v>0</v>
      </c>
      <c r="AF780" s="152">
        <f t="shared" si="459"/>
        <v>0</v>
      </c>
      <c r="AG780" s="152">
        <f t="shared" si="459"/>
        <v>0</v>
      </c>
      <c r="AH780" s="152">
        <f t="shared" si="459"/>
        <v>0</v>
      </c>
      <c r="AI780" s="152">
        <f t="shared" si="459"/>
        <v>0</v>
      </c>
      <c r="AJ780" s="152">
        <f t="shared" si="459"/>
        <v>0</v>
      </c>
      <c r="AK780" s="152">
        <f t="shared" si="459"/>
        <v>0</v>
      </c>
      <c r="AL780" s="152">
        <f t="shared" si="459"/>
        <v>0</v>
      </c>
      <c r="AM780" s="152">
        <f t="shared" si="459"/>
        <v>0</v>
      </c>
      <c r="AN780" s="152">
        <f t="shared" si="459"/>
        <v>0</v>
      </c>
      <c r="AO780" s="152">
        <f t="shared" si="459"/>
        <v>0</v>
      </c>
      <c r="AP780" s="152">
        <f t="shared" si="459"/>
        <v>0</v>
      </c>
    </row>
    <row r="782" spans="1:42" x14ac:dyDescent="0.2">
      <c r="A782" s="4" t="s">
        <v>282</v>
      </c>
    </row>
    <row r="783" spans="1:42" x14ac:dyDescent="0.2">
      <c r="A783" s="21" t="s">
        <v>283</v>
      </c>
      <c r="B783" s="152">
        <f>B672+B678+B684+B690+B722+B754</f>
        <v>0</v>
      </c>
      <c r="C783" s="152">
        <f t="shared" ref="C783:AP783" si="460">C672+C678+C684+C690+C722+C754</f>
        <v>0</v>
      </c>
      <c r="D783" s="152">
        <f t="shared" si="460"/>
        <v>0</v>
      </c>
      <c r="E783" s="152">
        <f t="shared" si="460"/>
        <v>0</v>
      </c>
      <c r="F783" s="152">
        <f t="shared" si="460"/>
        <v>0</v>
      </c>
      <c r="G783" s="152">
        <f t="shared" si="460"/>
        <v>0</v>
      </c>
      <c r="H783" s="152">
        <f t="shared" si="460"/>
        <v>0</v>
      </c>
      <c r="I783" s="152">
        <f t="shared" si="460"/>
        <v>0</v>
      </c>
      <c r="J783" s="152">
        <f t="shared" si="460"/>
        <v>0</v>
      </c>
      <c r="K783" s="152">
        <f t="shared" si="460"/>
        <v>0</v>
      </c>
      <c r="L783" s="152">
        <f t="shared" si="460"/>
        <v>0</v>
      </c>
      <c r="M783" s="152">
        <f t="shared" si="460"/>
        <v>0</v>
      </c>
      <c r="N783" s="152">
        <f t="shared" si="460"/>
        <v>0</v>
      </c>
      <c r="O783" s="152">
        <f t="shared" si="460"/>
        <v>0</v>
      </c>
      <c r="P783" s="152">
        <f t="shared" si="460"/>
        <v>0</v>
      </c>
      <c r="Q783" s="152">
        <f t="shared" si="460"/>
        <v>0</v>
      </c>
      <c r="R783" s="152">
        <f t="shared" si="460"/>
        <v>0</v>
      </c>
      <c r="S783" s="152">
        <f t="shared" si="460"/>
        <v>0</v>
      </c>
      <c r="T783" s="152">
        <f t="shared" si="460"/>
        <v>0</v>
      </c>
      <c r="U783" s="152">
        <f t="shared" si="460"/>
        <v>0</v>
      </c>
      <c r="V783" s="152">
        <f t="shared" si="460"/>
        <v>0</v>
      </c>
      <c r="W783" s="152">
        <f t="shared" si="460"/>
        <v>0</v>
      </c>
      <c r="X783" s="152">
        <f t="shared" si="460"/>
        <v>0</v>
      </c>
      <c r="Y783" s="152">
        <f t="shared" si="460"/>
        <v>0</v>
      </c>
      <c r="Z783" s="152">
        <f t="shared" si="460"/>
        <v>0</v>
      </c>
      <c r="AA783" s="152">
        <f t="shared" si="460"/>
        <v>0</v>
      </c>
      <c r="AB783" s="152">
        <f t="shared" si="460"/>
        <v>0</v>
      </c>
      <c r="AC783" s="152">
        <f t="shared" si="460"/>
        <v>0</v>
      </c>
      <c r="AD783" s="152">
        <f t="shared" si="460"/>
        <v>0</v>
      </c>
      <c r="AE783" s="152">
        <f t="shared" si="460"/>
        <v>0</v>
      </c>
      <c r="AF783" s="152">
        <f t="shared" si="460"/>
        <v>0</v>
      </c>
      <c r="AG783" s="152">
        <f t="shared" si="460"/>
        <v>0</v>
      </c>
      <c r="AH783" s="152">
        <f t="shared" si="460"/>
        <v>0</v>
      </c>
      <c r="AI783" s="152">
        <f t="shared" si="460"/>
        <v>0</v>
      </c>
      <c r="AJ783" s="152">
        <f t="shared" si="460"/>
        <v>0</v>
      </c>
      <c r="AK783" s="152">
        <f t="shared" si="460"/>
        <v>0</v>
      </c>
      <c r="AL783" s="152">
        <f t="shared" si="460"/>
        <v>0</v>
      </c>
      <c r="AM783" s="152">
        <f t="shared" si="460"/>
        <v>0</v>
      </c>
      <c r="AN783" s="152">
        <f t="shared" si="460"/>
        <v>0</v>
      </c>
      <c r="AO783" s="152">
        <f t="shared" si="460"/>
        <v>0</v>
      </c>
      <c r="AP783" s="152">
        <f t="shared" si="460"/>
        <v>0</v>
      </c>
    </row>
    <row r="784" spans="1:42" x14ac:dyDescent="0.2">
      <c r="A784" s="21" t="s">
        <v>282</v>
      </c>
      <c r="B784" s="152"/>
      <c r="C784" s="152">
        <f t="shared" ref="C784:AP784" si="461">IF(C$2&lt;=analysis_period,B783*reserves_interest/100,0)</f>
        <v>0</v>
      </c>
      <c r="D784" s="152">
        <f t="shared" si="461"/>
        <v>0</v>
      </c>
      <c r="E784" s="152">
        <f t="shared" si="461"/>
        <v>0</v>
      </c>
      <c r="F784" s="152">
        <f t="shared" si="461"/>
        <v>0</v>
      </c>
      <c r="G784" s="152">
        <f t="shared" si="461"/>
        <v>0</v>
      </c>
      <c r="H784" s="152">
        <f t="shared" si="461"/>
        <v>0</v>
      </c>
      <c r="I784" s="152">
        <f t="shared" si="461"/>
        <v>0</v>
      </c>
      <c r="J784" s="152">
        <f t="shared" si="461"/>
        <v>0</v>
      </c>
      <c r="K784" s="152">
        <f t="shared" si="461"/>
        <v>0</v>
      </c>
      <c r="L784" s="152">
        <f t="shared" si="461"/>
        <v>0</v>
      </c>
      <c r="M784" s="152">
        <f t="shared" si="461"/>
        <v>0</v>
      </c>
      <c r="N784" s="152">
        <f t="shared" si="461"/>
        <v>0</v>
      </c>
      <c r="O784" s="152">
        <f t="shared" si="461"/>
        <v>0</v>
      </c>
      <c r="P784" s="152">
        <f t="shared" si="461"/>
        <v>0</v>
      </c>
      <c r="Q784" s="152">
        <f t="shared" si="461"/>
        <v>0</v>
      </c>
      <c r="R784" s="152">
        <f t="shared" si="461"/>
        <v>0</v>
      </c>
      <c r="S784" s="152">
        <f t="shared" si="461"/>
        <v>0</v>
      </c>
      <c r="T784" s="152">
        <f t="shared" si="461"/>
        <v>0</v>
      </c>
      <c r="U784" s="152">
        <f t="shared" si="461"/>
        <v>0</v>
      </c>
      <c r="V784" s="152">
        <f t="shared" si="461"/>
        <v>0</v>
      </c>
      <c r="W784" s="152">
        <f t="shared" si="461"/>
        <v>0</v>
      </c>
      <c r="X784" s="152">
        <f t="shared" si="461"/>
        <v>0</v>
      </c>
      <c r="Y784" s="152">
        <f t="shared" si="461"/>
        <v>0</v>
      </c>
      <c r="Z784" s="152">
        <f t="shared" si="461"/>
        <v>0</v>
      </c>
      <c r="AA784" s="152">
        <f t="shared" si="461"/>
        <v>0</v>
      </c>
      <c r="AB784" s="152">
        <f t="shared" si="461"/>
        <v>0</v>
      </c>
      <c r="AC784" s="152">
        <f t="shared" si="461"/>
        <v>0</v>
      </c>
      <c r="AD784" s="152">
        <f t="shared" si="461"/>
        <v>0</v>
      </c>
      <c r="AE784" s="152">
        <f t="shared" si="461"/>
        <v>0</v>
      </c>
      <c r="AF784" s="152">
        <f t="shared" si="461"/>
        <v>0</v>
      </c>
      <c r="AG784" s="152">
        <f t="shared" si="461"/>
        <v>0</v>
      </c>
      <c r="AH784" s="152">
        <f t="shared" si="461"/>
        <v>0</v>
      </c>
      <c r="AI784" s="152">
        <f t="shared" si="461"/>
        <v>0</v>
      </c>
      <c r="AJ784" s="152">
        <f t="shared" si="461"/>
        <v>0</v>
      </c>
      <c r="AK784" s="152">
        <f t="shared" si="461"/>
        <v>0</v>
      </c>
      <c r="AL784" s="152">
        <f t="shared" si="461"/>
        <v>0</v>
      </c>
      <c r="AM784" s="152">
        <f t="shared" si="461"/>
        <v>0</v>
      </c>
      <c r="AN784" s="152">
        <f t="shared" si="461"/>
        <v>0</v>
      </c>
      <c r="AO784" s="152">
        <f t="shared" si="461"/>
        <v>0</v>
      </c>
      <c r="AP784" s="152">
        <f t="shared" si="461"/>
        <v>0</v>
      </c>
    </row>
  </sheetData>
  <mergeCells count="12">
    <mergeCell ref="M296:O296"/>
    <mergeCell ref="Q296:Q297"/>
    <mergeCell ref="B434:C434"/>
    <mergeCell ref="D434:F434"/>
    <mergeCell ref="M434:O434"/>
    <mergeCell ref="Q434:Q435"/>
    <mergeCell ref="G296:J296"/>
    <mergeCell ref="K296:L296"/>
    <mergeCell ref="G434:J434"/>
    <mergeCell ref="K434:L434"/>
    <mergeCell ref="B296:C296"/>
    <mergeCell ref="D296:F296"/>
  </mergeCells>
  <pageMargins left="0.5" right="0.5" top="0.5" bottom="0.75" header="0.3" footer="0.3"/>
  <pageSetup scale="75" pageOrder="overThenDown" orientation="landscape"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G45"/>
  <sheetViews>
    <sheetView zoomScale="90" zoomScaleNormal="90" workbookViewId="0"/>
  </sheetViews>
  <sheetFormatPr defaultRowHeight="15" x14ac:dyDescent="0.25"/>
  <cols>
    <col min="2" max="7" width="15.42578125" customWidth="1"/>
  </cols>
  <sheetData>
    <row r="1" spans="1:7" s="1" customFormat="1" ht="21" thickBot="1" x14ac:dyDescent="0.4">
      <c r="A1" s="218" t="s">
        <v>208</v>
      </c>
      <c r="B1" s="219"/>
      <c r="C1" s="220"/>
      <c r="D1" s="219"/>
      <c r="E1" s="245"/>
      <c r="F1" s="245"/>
      <c r="G1" s="246"/>
    </row>
    <row r="2" spans="1:7" s="1" customFormat="1" ht="12.75" x14ac:dyDescent="0.2">
      <c r="A2" s="2" t="s">
        <v>63</v>
      </c>
      <c r="B2" s="3" t="s">
        <v>45</v>
      </c>
      <c r="C2" s="3" t="s">
        <v>46</v>
      </c>
      <c r="D2" s="3" t="s">
        <v>47</v>
      </c>
      <c r="E2" s="3" t="s">
        <v>48</v>
      </c>
      <c r="F2" s="3" t="s">
        <v>49</v>
      </c>
      <c r="G2" s="247" t="s">
        <v>50</v>
      </c>
    </row>
    <row r="3" spans="1:7" s="1" customFormat="1" ht="12.75" x14ac:dyDescent="0.2">
      <c r="A3" s="90">
        <v>1</v>
      </c>
      <c r="B3" s="156">
        <v>20</v>
      </c>
      <c r="C3" s="162">
        <v>5</v>
      </c>
      <c r="D3" s="156">
        <v>10</v>
      </c>
      <c r="E3" s="156">
        <v>3.33</v>
      </c>
      <c r="F3" s="156">
        <v>2.5</v>
      </c>
      <c r="G3" s="156">
        <f>2.56410256410256*0.5</f>
        <v>1.2820512820512799</v>
      </c>
    </row>
    <row r="4" spans="1:7" s="1" customFormat="1" ht="12.75" x14ac:dyDescent="0.2">
      <c r="A4" s="91">
        <v>2</v>
      </c>
      <c r="B4" s="156">
        <v>32</v>
      </c>
      <c r="C4" s="163">
        <v>9.5</v>
      </c>
      <c r="D4" s="158">
        <v>20</v>
      </c>
      <c r="E4" s="158">
        <v>6.67</v>
      </c>
      <c r="F4" s="158">
        <v>5</v>
      </c>
      <c r="G4" s="158">
        <v>2.5641025641025599</v>
      </c>
    </row>
    <row r="5" spans="1:7" s="1" customFormat="1" ht="12.75" x14ac:dyDescent="0.2">
      <c r="A5" s="91">
        <v>3</v>
      </c>
      <c r="B5" s="156">
        <v>19.2</v>
      </c>
      <c r="C5" s="158">
        <v>8.5500000000000007</v>
      </c>
      <c r="D5" s="158">
        <v>20</v>
      </c>
      <c r="E5" s="158">
        <v>6.67</v>
      </c>
      <c r="F5" s="158">
        <v>5</v>
      </c>
      <c r="G5" s="158">
        <v>2.5641025641025599</v>
      </c>
    </row>
    <row r="6" spans="1:7" s="1" customFormat="1" ht="12.75" x14ac:dyDescent="0.2">
      <c r="A6" s="91">
        <v>4</v>
      </c>
      <c r="B6" s="156">
        <v>11.52</v>
      </c>
      <c r="C6" s="158">
        <v>7.7</v>
      </c>
      <c r="D6" s="158">
        <v>20</v>
      </c>
      <c r="E6" s="158">
        <v>6.67</v>
      </c>
      <c r="F6" s="158">
        <v>5</v>
      </c>
      <c r="G6" s="158">
        <v>2.5641025641025599</v>
      </c>
    </row>
    <row r="7" spans="1:7" s="1" customFormat="1" ht="12.75" x14ac:dyDescent="0.2">
      <c r="A7" s="91">
        <v>5</v>
      </c>
      <c r="B7" s="156">
        <v>11.52</v>
      </c>
      <c r="C7" s="158">
        <v>6.93</v>
      </c>
      <c r="D7" s="158">
        <v>20</v>
      </c>
      <c r="E7" s="158">
        <v>6.67</v>
      </c>
      <c r="F7" s="158">
        <v>5</v>
      </c>
      <c r="G7" s="158">
        <v>2.5641025641025599</v>
      </c>
    </row>
    <row r="8" spans="1:7" s="1" customFormat="1" ht="12.75" x14ac:dyDescent="0.2">
      <c r="A8" s="91">
        <v>6</v>
      </c>
      <c r="B8" s="156">
        <v>5.76</v>
      </c>
      <c r="C8" s="158">
        <v>6.23</v>
      </c>
      <c r="D8" s="158">
        <v>10</v>
      </c>
      <c r="E8" s="158">
        <v>6.67</v>
      </c>
      <c r="F8" s="158">
        <v>5</v>
      </c>
      <c r="G8" s="158">
        <v>2.5641025641025599</v>
      </c>
    </row>
    <row r="9" spans="1:7" s="1" customFormat="1" ht="12.75" x14ac:dyDescent="0.2">
      <c r="A9" s="91">
        <v>7</v>
      </c>
      <c r="B9" s="157">
        <v>0</v>
      </c>
      <c r="C9" s="158">
        <v>5.9</v>
      </c>
      <c r="D9" s="158">
        <v>0</v>
      </c>
      <c r="E9" s="158">
        <v>6.67</v>
      </c>
      <c r="F9" s="158">
        <v>5</v>
      </c>
      <c r="G9" s="158">
        <v>2.5641025641025599</v>
      </c>
    </row>
    <row r="10" spans="1:7" s="1" customFormat="1" ht="12.75" x14ac:dyDescent="0.2">
      <c r="A10" s="91">
        <v>8</v>
      </c>
      <c r="B10" s="158">
        <v>0</v>
      </c>
      <c r="C10" s="158">
        <v>5.9</v>
      </c>
      <c r="D10" s="158">
        <v>0</v>
      </c>
      <c r="E10" s="158">
        <v>6.67</v>
      </c>
      <c r="F10" s="158">
        <v>5</v>
      </c>
      <c r="G10" s="158">
        <v>2.5641025641025599</v>
      </c>
    </row>
    <row r="11" spans="1:7" s="1" customFormat="1" ht="12.75" x14ac:dyDescent="0.2">
      <c r="A11" s="91">
        <v>9</v>
      </c>
      <c r="B11" s="158">
        <v>0</v>
      </c>
      <c r="C11" s="158">
        <v>5.91</v>
      </c>
      <c r="D11" s="158">
        <v>0</v>
      </c>
      <c r="E11" s="158">
        <v>6.67</v>
      </c>
      <c r="F11" s="158">
        <v>5</v>
      </c>
      <c r="G11" s="158">
        <v>2.5641025641025599</v>
      </c>
    </row>
    <row r="12" spans="1:7" s="1" customFormat="1" ht="12.75" x14ac:dyDescent="0.2">
      <c r="A12" s="91">
        <v>10</v>
      </c>
      <c r="B12" s="158">
        <v>0</v>
      </c>
      <c r="C12" s="158">
        <v>5.9</v>
      </c>
      <c r="D12" s="158">
        <v>0</v>
      </c>
      <c r="E12" s="158">
        <v>6.67</v>
      </c>
      <c r="F12" s="158">
        <v>5</v>
      </c>
      <c r="G12" s="158">
        <v>2.5641025641025599</v>
      </c>
    </row>
    <row r="13" spans="1:7" s="1" customFormat="1" ht="12.75" x14ac:dyDescent="0.2">
      <c r="A13" s="91">
        <v>11</v>
      </c>
      <c r="B13" s="158">
        <v>0</v>
      </c>
      <c r="C13" s="158">
        <v>5.91</v>
      </c>
      <c r="D13" s="158">
        <v>0</v>
      </c>
      <c r="E13" s="158">
        <v>6.67</v>
      </c>
      <c r="F13" s="158">
        <v>5</v>
      </c>
      <c r="G13" s="158">
        <v>2.5641025641025599</v>
      </c>
    </row>
    <row r="14" spans="1:7" s="1" customFormat="1" ht="12.75" x14ac:dyDescent="0.2">
      <c r="A14" s="91">
        <v>12</v>
      </c>
      <c r="B14" s="158">
        <v>0</v>
      </c>
      <c r="C14" s="158">
        <v>5.9</v>
      </c>
      <c r="D14" s="158">
        <v>0</v>
      </c>
      <c r="E14" s="158">
        <v>6.66</v>
      </c>
      <c r="F14" s="158">
        <v>5</v>
      </c>
      <c r="G14" s="158">
        <v>2.5641025641025599</v>
      </c>
    </row>
    <row r="15" spans="1:7" s="1" customFormat="1" ht="12.75" x14ac:dyDescent="0.2">
      <c r="A15" s="91">
        <v>13</v>
      </c>
      <c r="B15" s="158">
        <v>0</v>
      </c>
      <c r="C15" s="158">
        <v>5.91</v>
      </c>
      <c r="D15" s="158">
        <v>0</v>
      </c>
      <c r="E15" s="158">
        <v>6.67</v>
      </c>
      <c r="F15" s="158">
        <v>5</v>
      </c>
      <c r="G15" s="158">
        <v>2.5641025641025599</v>
      </c>
    </row>
    <row r="16" spans="1:7" s="1" customFormat="1" ht="12.75" x14ac:dyDescent="0.2">
      <c r="A16" s="91">
        <v>14</v>
      </c>
      <c r="B16" s="158">
        <v>0</v>
      </c>
      <c r="C16" s="158">
        <v>5.9</v>
      </c>
      <c r="D16" s="158">
        <v>0</v>
      </c>
      <c r="E16" s="158">
        <v>6.66</v>
      </c>
      <c r="F16" s="158">
        <v>5</v>
      </c>
      <c r="G16" s="158">
        <v>2.5641025641025599</v>
      </c>
    </row>
    <row r="17" spans="1:7" s="1" customFormat="1" ht="12.75" x14ac:dyDescent="0.2">
      <c r="A17" s="91">
        <v>15</v>
      </c>
      <c r="B17" s="158">
        <v>0</v>
      </c>
      <c r="C17" s="158">
        <v>5.9</v>
      </c>
      <c r="D17" s="158">
        <v>0</v>
      </c>
      <c r="E17" s="158">
        <v>6.67</v>
      </c>
      <c r="F17" s="158">
        <v>5</v>
      </c>
      <c r="G17" s="158">
        <v>2.5641025641025599</v>
      </c>
    </row>
    <row r="18" spans="1:7" s="1" customFormat="1" ht="12.75" x14ac:dyDescent="0.2">
      <c r="A18" s="91">
        <v>16</v>
      </c>
      <c r="B18" s="158">
        <v>0</v>
      </c>
      <c r="C18" s="158">
        <v>2.95</v>
      </c>
      <c r="D18" s="158">
        <v>0</v>
      </c>
      <c r="E18" s="158">
        <v>3.33</v>
      </c>
      <c r="F18" s="158">
        <v>5</v>
      </c>
      <c r="G18" s="158">
        <v>2.5641025641025599</v>
      </c>
    </row>
    <row r="19" spans="1:7" s="1" customFormat="1" ht="12.75" x14ac:dyDescent="0.2">
      <c r="A19" s="91">
        <v>17</v>
      </c>
      <c r="B19" s="158">
        <v>0</v>
      </c>
      <c r="C19" s="158">
        <v>0</v>
      </c>
      <c r="D19" s="158">
        <v>0</v>
      </c>
      <c r="E19" s="158">
        <v>0</v>
      </c>
      <c r="F19" s="158">
        <v>5</v>
      </c>
      <c r="G19" s="158">
        <v>2.5641025641025599</v>
      </c>
    </row>
    <row r="20" spans="1:7" s="1" customFormat="1" ht="12.75" x14ac:dyDescent="0.2">
      <c r="A20" s="91">
        <v>18</v>
      </c>
      <c r="B20" s="158">
        <v>0</v>
      </c>
      <c r="C20" s="158">
        <v>0</v>
      </c>
      <c r="D20" s="158">
        <v>0</v>
      </c>
      <c r="E20" s="158">
        <v>0</v>
      </c>
      <c r="F20" s="158">
        <v>5</v>
      </c>
      <c r="G20" s="158">
        <v>2.5641025641025599</v>
      </c>
    </row>
    <row r="21" spans="1:7" s="1" customFormat="1" ht="12.75" x14ac:dyDescent="0.2">
      <c r="A21" s="91">
        <v>19</v>
      </c>
      <c r="B21" s="158">
        <v>0</v>
      </c>
      <c r="C21" s="158">
        <v>0</v>
      </c>
      <c r="D21" s="158">
        <v>0</v>
      </c>
      <c r="E21" s="158">
        <v>0</v>
      </c>
      <c r="F21" s="158">
        <v>5</v>
      </c>
      <c r="G21" s="158">
        <v>2.5641025641025599</v>
      </c>
    </row>
    <row r="22" spans="1:7" s="1" customFormat="1" ht="12.75" x14ac:dyDescent="0.2">
      <c r="A22" s="91">
        <v>20</v>
      </c>
      <c r="B22" s="158">
        <v>0</v>
      </c>
      <c r="C22" s="158">
        <v>0</v>
      </c>
      <c r="D22" s="158">
        <v>0</v>
      </c>
      <c r="E22" s="158">
        <v>0</v>
      </c>
      <c r="F22" s="158">
        <v>5</v>
      </c>
      <c r="G22" s="158">
        <v>2.5641025641025599</v>
      </c>
    </row>
    <row r="23" spans="1:7" s="1" customFormat="1" ht="12.75" x14ac:dyDescent="0.2">
      <c r="A23" s="91">
        <v>21</v>
      </c>
      <c r="B23" s="158">
        <v>0</v>
      </c>
      <c r="C23" s="158">
        <v>0</v>
      </c>
      <c r="D23" s="158">
        <v>0</v>
      </c>
      <c r="E23" s="158">
        <v>0</v>
      </c>
      <c r="F23" s="158">
        <v>2.5</v>
      </c>
      <c r="G23" s="158">
        <v>2.5641025641025599</v>
      </c>
    </row>
    <row r="24" spans="1:7" s="1" customFormat="1" ht="12.75" customHeight="1" x14ac:dyDescent="0.2">
      <c r="A24" s="91">
        <v>22</v>
      </c>
      <c r="B24" s="158">
        <v>0</v>
      </c>
      <c r="C24" s="158">
        <v>0</v>
      </c>
      <c r="D24" s="158">
        <v>0</v>
      </c>
      <c r="E24" s="158">
        <v>0</v>
      </c>
      <c r="F24" s="158">
        <v>0</v>
      </c>
      <c r="G24" s="158">
        <v>2.5641025641025599</v>
      </c>
    </row>
    <row r="25" spans="1:7" s="1" customFormat="1" ht="12.75" customHeight="1" x14ac:dyDescent="0.2">
      <c r="A25" s="91">
        <v>23</v>
      </c>
      <c r="B25" s="158">
        <v>0</v>
      </c>
      <c r="C25" s="158">
        <v>0</v>
      </c>
      <c r="D25" s="158">
        <v>0</v>
      </c>
      <c r="E25" s="158">
        <v>0</v>
      </c>
      <c r="F25" s="158">
        <v>0</v>
      </c>
      <c r="G25" s="158">
        <v>2.5641025641025599</v>
      </c>
    </row>
    <row r="26" spans="1:7" s="1" customFormat="1" ht="12.75" customHeight="1" x14ac:dyDescent="0.2">
      <c r="A26" s="91">
        <v>24</v>
      </c>
      <c r="B26" s="158">
        <v>0</v>
      </c>
      <c r="C26" s="158">
        <v>0</v>
      </c>
      <c r="D26" s="158">
        <v>0</v>
      </c>
      <c r="E26" s="158">
        <v>0</v>
      </c>
      <c r="F26" s="158">
        <v>0</v>
      </c>
      <c r="G26" s="158">
        <v>2.5641025641025599</v>
      </c>
    </row>
    <row r="27" spans="1:7" s="1" customFormat="1" ht="12.75" customHeight="1" x14ac:dyDescent="0.2">
      <c r="A27" s="91">
        <v>25</v>
      </c>
      <c r="B27" s="158">
        <v>0</v>
      </c>
      <c r="C27" s="158">
        <v>0</v>
      </c>
      <c r="D27" s="158">
        <v>0</v>
      </c>
      <c r="E27" s="158">
        <v>0</v>
      </c>
      <c r="F27" s="158">
        <v>0</v>
      </c>
      <c r="G27" s="158">
        <v>2.5641025641025599</v>
      </c>
    </row>
    <row r="28" spans="1:7" s="1" customFormat="1" ht="12.75" customHeight="1" x14ac:dyDescent="0.2">
      <c r="A28" s="91">
        <v>26</v>
      </c>
      <c r="B28" s="158">
        <v>0</v>
      </c>
      <c r="C28" s="158">
        <v>0</v>
      </c>
      <c r="D28" s="158">
        <v>0</v>
      </c>
      <c r="E28" s="158">
        <v>0</v>
      </c>
      <c r="F28" s="158">
        <v>0</v>
      </c>
      <c r="G28" s="158">
        <v>2.5641025641025599</v>
      </c>
    </row>
    <row r="29" spans="1:7" s="1" customFormat="1" ht="12.75" customHeight="1" x14ac:dyDescent="0.2">
      <c r="A29" s="91">
        <v>27</v>
      </c>
      <c r="B29" s="158">
        <v>0</v>
      </c>
      <c r="C29" s="158">
        <v>0</v>
      </c>
      <c r="D29" s="158">
        <v>0</v>
      </c>
      <c r="E29" s="158">
        <v>0</v>
      </c>
      <c r="F29" s="158">
        <v>0</v>
      </c>
      <c r="G29" s="158">
        <v>2.5641025641025599</v>
      </c>
    </row>
    <row r="30" spans="1:7" ht="12.75" customHeight="1" x14ac:dyDescent="0.25">
      <c r="A30" s="91">
        <v>28</v>
      </c>
      <c r="B30" s="158">
        <v>0</v>
      </c>
      <c r="C30" s="158">
        <v>0</v>
      </c>
      <c r="D30" s="158">
        <v>0</v>
      </c>
      <c r="E30" s="158">
        <v>0</v>
      </c>
      <c r="F30" s="158">
        <v>0</v>
      </c>
      <c r="G30" s="158">
        <v>2.5641025641025599</v>
      </c>
    </row>
    <row r="31" spans="1:7" ht="12.75" customHeight="1" x14ac:dyDescent="0.25">
      <c r="A31" s="91">
        <v>29</v>
      </c>
      <c r="B31" s="158">
        <v>0</v>
      </c>
      <c r="C31" s="158">
        <v>0</v>
      </c>
      <c r="D31" s="158">
        <v>0</v>
      </c>
      <c r="E31" s="158">
        <v>0</v>
      </c>
      <c r="F31" s="158">
        <v>0</v>
      </c>
      <c r="G31" s="158">
        <v>2.5641025641025599</v>
      </c>
    </row>
    <row r="32" spans="1:7" ht="12.75" customHeight="1" x14ac:dyDescent="0.25">
      <c r="A32" s="91">
        <v>30</v>
      </c>
      <c r="B32" s="158">
        <v>0</v>
      </c>
      <c r="C32" s="158">
        <v>0</v>
      </c>
      <c r="D32" s="158">
        <v>0</v>
      </c>
      <c r="E32" s="158">
        <v>0</v>
      </c>
      <c r="F32" s="158">
        <v>0</v>
      </c>
      <c r="G32" s="158">
        <v>2.5641025641025599</v>
      </c>
    </row>
    <row r="33" spans="1:7" ht="12.75" customHeight="1" x14ac:dyDescent="0.25">
      <c r="A33" s="91">
        <v>31</v>
      </c>
      <c r="B33" s="158">
        <v>0</v>
      </c>
      <c r="C33" s="158">
        <v>0</v>
      </c>
      <c r="D33" s="158">
        <v>0</v>
      </c>
      <c r="E33" s="158">
        <v>0</v>
      </c>
      <c r="F33" s="158">
        <v>0</v>
      </c>
      <c r="G33" s="158">
        <v>2.5641025641025599</v>
      </c>
    </row>
    <row r="34" spans="1:7" ht="12.75" customHeight="1" x14ac:dyDescent="0.25">
      <c r="A34" s="91">
        <v>32</v>
      </c>
      <c r="B34" s="158">
        <v>0</v>
      </c>
      <c r="C34" s="158">
        <v>0</v>
      </c>
      <c r="D34" s="158">
        <v>0</v>
      </c>
      <c r="E34" s="158">
        <v>0</v>
      </c>
      <c r="F34" s="158">
        <v>0</v>
      </c>
      <c r="G34" s="158">
        <v>2.5641025641025599</v>
      </c>
    </row>
    <row r="35" spans="1:7" ht="12.75" customHeight="1" x14ac:dyDescent="0.25">
      <c r="A35" s="91">
        <v>33</v>
      </c>
      <c r="B35" s="158">
        <v>0</v>
      </c>
      <c r="C35" s="158">
        <v>0</v>
      </c>
      <c r="D35" s="158">
        <v>0</v>
      </c>
      <c r="E35" s="158">
        <v>0</v>
      </c>
      <c r="F35" s="158">
        <v>0</v>
      </c>
      <c r="G35" s="158">
        <v>2.5641025641025599</v>
      </c>
    </row>
    <row r="36" spans="1:7" ht="12.75" customHeight="1" x14ac:dyDescent="0.25">
      <c r="A36" s="91">
        <v>34</v>
      </c>
      <c r="B36" s="158">
        <v>0</v>
      </c>
      <c r="C36" s="158">
        <v>0</v>
      </c>
      <c r="D36" s="158">
        <v>0</v>
      </c>
      <c r="E36" s="158">
        <v>0</v>
      </c>
      <c r="F36" s="158">
        <v>0</v>
      </c>
      <c r="G36" s="158">
        <v>2.5641025641025599</v>
      </c>
    </row>
    <row r="37" spans="1:7" ht="12.75" customHeight="1" x14ac:dyDescent="0.25">
      <c r="A37" s="91">
        <v>35</v>
      </c>
      <c r="B37" s="158">
        <v>0</v>
      </c>
      <c r="C37" s="158">
        <v>0</v>
      </c>
      <c r="D37" s="158">
        <v>0</v>
      </c>
      <c r="E37" s="158">
        <v>0</v>
      </c>
      <c r="F37" s="158">
        <v>0</v>
      </c>
      <c r="G37" s="158">
        <v>2.5641025641025599</v>
      </c>
    </row>
    <row r="38" spans="1:7" ht="12.75" customHeight="1" x14ac:dyDescent="0.25">
      <c r="A38" s="91">
        <v>36</v>
      </c>
      <c r="B38" s="158">
        <v>0</v>
      </c>
      <c r="C38" s="158">
        <v>0</v>
      </c>
      <c r="D38" s="158">
        <v>0</v>
      </c>
      <c r="E38" s="158">
        <v>0</v>
      </c>
      <c r="F38" s="158">
        <v>0</v>
      </c>
      <c r="G38" s="158">
        <v>2.5641025641025599</v>
      </c>
    </row>
    <row r="39" spans="1:7" ht="12.75" customHeight="1" x14ac:dyDescent="0.25">
      <c r="A39" s="91">
        <v>37</v>
      </c>
      <c r="B39" s="158">
        <v>0</v>
      </c>
      <c r="C39" s="158">
        <v>0</v>
      </c>
      <c r="D39" s="158">
        <v>0</v>
      </c>
      <c r="E39" s="158">
        <v>0</v>
      </c>
      <c r="F39" s="158">
        <v>0</v>
      </c>
      <c r="G39" s="158">
        <v>2.5641025641025599</v>
      </c>
    </row>
    <row r="40" spans="1:7" ht="12.75" customHeight="1" x14ac:dyDescent="0.25">
      <c r="A40" s="91">
        <v>38</v>
      </c>
      <c r="B40" s="158">
        <v>0</v>
      </c>
      <c r="C40" s="158">
        <v>0</v>
      </c>
      <c r="D40" s="158">
        <v>0</v>
      </c>
      <c r="E40" s="158">
        <v>0</v>
      </c>
      <c r="F40" s="158">
        <v>0</v>
      </c>
      <c r="G40" s="158">
        <v>2.5641025641025599</v>
      </c>
    </row>
    <row r="41" spans="1:7" ht="12.75" customHeight="1" x14ac:dyDescent="0.25">
      <c r="A41" s="91">
        <v>39</v>
      </c>
      <c r="B41" s="158">
        <v>0</v>
      </c>
      <c r="C41" s="158">
        <v>0</v>
      </c>
      <c r="D41" s="158">
        <v>0</v>
      </c>
      <c r="E41" s="158">
        <v>0</v>
      </c>
      <c r="F41" s="158">
        <v>0</v>
      </c>
      <c r="G41" s="158">
        <v>2.5641025641025599</v>
      </c>
    </row>
    <row r="42" spans="1:7" ht="12.75" customHeight="1" x14ac:dyDescent="0.25">
      <c r="A42" s="92">
        <v>40</v>
      </c>
      <c r="B42" s="159">
        <v>0</v>
      </c>
      <c r="C42" s="159">
        <v>0</v>
      </c>
      <c r="D42" s="159">
        <v>0</v>
      </c>
      <c r="E42" s="159">
        <v>0</v>
      </c>
      <c r="F42" s="159">
        <v>0</v>
      </c>
      <c r="G42" s="159">
        <f>2.56410256410256*0.5</f>
        <v>1.2820512820512799</v>
      </c>
    </row>
    <row r="43" spans="1:7" x14ac:dyDescent="0.25">
      <c r="A43" s="89" t="s">
        <v>169</v>
      </c>
      <c r="B43" s="89"/>
      <c r="C43" s="89"/>
      <c r="D43" s="89"/>
      <c r="E43" s="89"/>
      <c r="F43" s="89"/>
      <c r="G43" s="89"/>
    </row>
    <row r="44" spans="1:7" x14ac:dyDescent="0.25">
      <c r="A44" s="89" t="s">
        <v>78</v>
      </c>
      <c r="B44" s="89"/>
      <c r="C44" s="89"/>
      <c r="D44" s="89"/>
      <c r="E44" s="89"/>
      <c r="F44" s="89"/>
      <c r="G44" s="89"/>
    </row>
    <row r="45" spans="1:7" x14ac:dyDescent="0.25">
      <c r="A45" s="275" t="s">
        <v>304</v>
      </c>
    </row>
  </sheetData>
  <pageMargins left="0.5" right="0.5" top="0.5" bottom="0.75" header="0.3" footer="0.3"/>
  <pageSetup scale="93"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286</vt:i4>
      </vt:variant>
    </vt:vector>
  </HeadingPairs>
  <TitlesOfParts>
    <vt:vector size="289" baseType="lpstr">
      <vt:lpstr>Inputs</vt:lpstr>
      <vt:lpstr>Cash Flow</vt:lpstr>
      <vt:lpstr>Depreciation Schedules</vt:lpstr>
      <vt:lpstr>analysis_period</vt:lpstr>
      <vt:lpstr>annual_fuel_usage</vt:lpstr>
      <vt:lpstr>AnnualLandLease</vt:lpstr>
      <vt:lpstr>AnnualOMCapacity</vt:lpstr>
      <vt:lpstr>AnnualOMFixed</vt:lpstr>
      <vt:lpstr>AnnualOMProduction</vt:lpstr>
      <vt:lpstr>AnnualPBIFederal</vt:lpstr>
      <vt:lpstr>AnnualPBIOther</vt:lpstr>
      <vt:lpstr>AnnualPBIState</vt:lpstr>
      <vt:lpstr>AnnualPBIUtility</vt:lpstr>
      <vt:lpstr>AnnualPTCFederal</vt:lpstr>
      <vt:lpstr>AnnualPTCState</vt:lpstr>
      <vt:lpstr>AnnualTaxFederal</vt:lpstr>
      <vt:lpstr>AnnualTaxState</vt:lpstr>
      <vt:lpstr>batt_annual_discharge_energy</vt:lpstr>
      <vt:lpstr>cbi_fed_amount</vt:lpstr>
      <vt:lpstr>cbi_fed_deprbas_fed</vt:lpstr>
      <vt:lpstr>cbi_fed_deprbas_sta</vt:lpstr>
      <vt:lpstr>cbi_fed_maxvalue</vt:lpstr>
      <vt:lpstr>cbi_fed_tax_fed</vt:lpstr>
      <vt:lpstr>cbi_fed_tax_sta</vt:lpstr>
      <vt:lpstr>cbi_oth_amount</vt:lpstr>
      <vt:lpstr>cbi_oth_deprbas_fed</vt:lpstr>
      <vt:lpstr>cbi_oth_deprbas_sta</vt:lpstr>
      <vt:lpstr>cbi_oth_maxvalue</vt:lpstr>
      <vt:lpstr>cbi_oth_tax_fed</vt:lpstr>
      <vt:lpstr>cbi_oth_tax_sta</vt:lpstr>
      <vt:lpstr>cbi_sta_amount</vt:lpstr>
      <vt:lpstr>cbi_sta_deprbas_fed</vt:lpstr>
      <vt:lpstr>cbi_sta_deprbas_sta</vt:lpstr>
      <vt:lpstr>cbi_sta_maxvalue</vt:lpstr>
      <vt:lpstr>cbi_sta_tax_fed</vt:lpstr>
      <vt:lpstr>cbi_sta_tax_sta</vt:lpstr>
      <vt:lpstr>cbi_uti_amount</vt:lpstr>
      <vt:lpstr>cbi_uti_deprbas_fed</vt:lpstr>
      <vt:lpstr>cbi_uti_deprbas_sta</vt:lpstr>
      <vt:lpstr>cbi_uti_maxvalue</vt:lpstr>
      <vt:lpstr>cbi_uti_tax_fed</vt:lpstr>
      <vt:lpstr>cbi_uti_tax_sta</vt:lpstr>
      <vt:lpstr>cf_annual_cost_lcos</vt:lpstr>
      <vt:lpstr>cf_annual_discharge_lcos</vt:lpstr>
      <vt:lpstr>cf_battery_replacement_cost</vt:lpstr>
      <vt:lpstr>cf_capacity_payment</vt:lpstr>
      <vt:lpstr>cf_curtailment_value</vt:lpstr>
      <vt:lpstr>cf_disbursement_debtservice</vt:lpstr>
      <vt:lpstr>cf_energy_net</vt:lpstr>
      <vt:lpstr>cf_energy_purchases</vt:lpstr>
      <vt:lpstr>cf_energy_sales</vt:lpstr>
      <vt:lpstr>cf_energy_value</vt:lpstr>
      <vt:lpstr>cf_energy_without_battery</vt:lpstr>
      <vt:lpstr>cf_fuelcell_replacement_cost</vt:lpstr>
      <vt:lpstr>cf_funding_debtservice</vt:lpstr>
      <vt:lpstr>cf_om_capacity1_expense</vt:lpstr>
      <vt:lpstr>cf_om_capacity2_expense</vt:lpstr>
      <vt:lpstr>cf_om_fixed1_expense</vt:lpstr>
      <vt:lpstr>cf_om_fixed2_expense</vt:lpstr>
      <vt:lpstr>cf_om_fuel_expense</vt:lpstr>
      <vt:lpstr>cf_om_opt_fuel_1_expense</vt:lpstr>
      <vt:lpstr>cf_om_opt_fuel_2_expense</vt:lpstr>
      <vt:lpstr>cf_om_production1_expense</vt:lpstr>
      <vt:lpstr>cf_om_production2_expense</vt:lpstr>
      <vt:lpstr>cf_ppa_price</vt:lpstr>
      <vt:lpstr>cf_recapitalization</vt:lpstr>
      <vt:lpstr>cf_reserve_debtservice</vt:lpstr>
      <vt:lpstr>cf_thermal_value</vt:lpstr>
      <vt:lpstr>cf_utility_bill</vt:lpstr>
      <vt:lpstr>const_per_interest_rate1</vt:lpstr>
      <vt:lpstr>const_per_interest_rate2</vt:lpstr>
      <vt:lpstr>const_per_interest_rate3</vt:lpstr>
      <vt:lpstr>const_per_interest_rate4</vt:lpstr>
      <vt:lpstr>const_per_interest_rate5</vt:lpstr>
      <vt:lpstr>const_per_months1</vt:lpstr>
      <vt:lpstr>const_per_months2</vt:lpstr>
      <vt:lpstr>const_per_months3</vt:lpstr>
      <vt:lpstr>const_per_months4</vt:lpstr>
      <vt:lpstr>const_per_months5</vt:lpstr>
      <vt:lpstr>const_per_percent1</vt:lpstr>
      <vt:lpstr>const_per_percent2</vt:lpstr>
      <vt:lpstr>const_per_percent3</vt:lpstr>
      <vt:lpstr>const_per_percent4</vt:lpstr>
      <vt:lpstr>const_per_percent5</vt:lpstr>
      <vt:lpstr>const_per_upfront_rate1</vt:lpstr>
      <vt:lpstr>const_per_upfront_rate2</vt:lpstr>
      <vt:lpstr>const_per_upfront_rate3</vt:lpstr>
      <vt:lpstr>const_per_upfront_rate4</vt:lpstr>
      <vt:lpstr>const_per_upfront_rate5</vt:lpstr>
      <vt:lpstr>construction_financing_cost</vt:lpstr>
      <vt:lpstr>cost_debt_closing</vt:lpstr>
      <vt:lpstr>cost_debt_fee</vt:lpstr>
      <vt:lpstr>cost_dev_fee_percent</vt:lpstr>
      <vt:lpstr>cost_equity_closing</vt:lpstr>
      <vt:lpstr>cost_other_financing</vt:lpstr>
      <vt:lpstr>CostDebtUpfront</vt:lpstr>
      <vt:lpstr>DebtPayment</vt:lpstr>
      <vt:lpstr>DebtPercent</vt:lpstr>
      <vt:lpstr>DebtServiceCoverageRatio</vt:lpstr>
      <vt:lpstr>depr_alloc_custom_percent</vt:lpstr>
      <vt:lpstr>depr_alloc_macrs_15_percent</vt:lpstr>
      <vt:lpstr>depr_alloc_macrs_5_percent</vt:lpstr>
      <vt:lpstr>depr_alloc_sl_15_percent</vt:lpstr>
      <vt:lpstr>depr_alloc_sl_20_percent</vt:lpstr>
      <vt:lpstr>depr_alloc_sl_39_percent</vt:lpstr>
      <vt:lpstr>depr_alloc_sl_5_percent</vt:lpstr>
      <vt:lpstr>depr_bonus_fed</vt:lpstr>
      <vt:lpstr>depr_bonus_fed_custom</vt:lpstr>
      <vt:lpstr>depr_bonus_fed_macrs_15</vt:lpstr>
      <vt:lpstr>depr_bonus_fed_macrs_5</vt:lpstr>
      <vt:lpstr>depr_bonus_fed_sl_15</vt:lpstr>
      <vt:lpstr>depr_bonus_fed_sl_20</vt:lpstr>
      <vt:lpstr>depr_bonus_fed_sl_39</vt:lpstr>
      <vt:lpstr>depr_bonus_fed_sl_5</vt:lpstr>
      <vt:lpstr>depr_bonus_sta</vt:lpstr>
      <vt:lpstr>depr_bonus_sta_custom</vt:lpstr>
      <vt:lpstr>depr_bonus_sta_macrs_15</vt:lpstr>
      <vt:lpstr>depr_bonus_sta_macrs_5</vt:lpstr>
      <vt:lpstr>depr_bonus_sta_sl_15</vt:lpstr>
      <vt:lpstr>depr_bonus_sta_sl_20</vt:lpstr>
      <vt:lpstr>depr_bonus_sta_sl_39</vt:lpstr>
      <vt:lpstr>depr_bonus_sta_sl_5</vt:lpstr>
      <vt:lpstr>depr_custom_schedule</vt:lpstr>
      <vt:lpstr>depr_itc_fed_custom</vt:lpstr>
      <vt:lpstr>depr_itc_fed_macrs_15</vt:lpstr>
      <vt:lpstr>depr_itc_fed_macrs_5</vt:lpstr>
      <vt:lpstr>depr_itc_fed_sl_15</vt:lpstr>
      <vt:lpstr>depr_itc_fed_sl_20</vt:lpstr>
      <vt:lpstr>depr_itc_fed_sl_39</vt:lpstr>
      <vt:lpstr>depr_itc_fed_sl_5</vt:lpstr>
      <vt:lpstr>depr_itc_sta_custom</vt:lpstr>
      <vt:lpstr>depr_itc_sta_macrs_15</vt:lpstr>
      <vt:lpstr>depr_itc_sta_macrs_5</vt:lpstr>
      <vt:lpstr>depr_itc_sta_sl_15</vt:lpstr>
      <vt:lpstr>depr_itc_sta_sl_20</vt:lpstr>
      <vt:lpstr>depr_itc_sta_sl_39</vt:lpstr>
      <vt:lpstr>depr_itc_sta_sl_5</vt:lpstr>
      <vt:lpstr>developer_equity_percent</vt:lpstr>
      <vt:lpstr>developer_postflip_cash_percent</vt:lpstr>
      <vt:lpstr>developer_postflip_tax_percent</vt:lpstr>
      <vt:lpstr>developer_preflip_cash_percent</vt:lpstr>
      <vt:lpstr>developer_preflip_tax_percent</vt:lpstr>
      <vt:lpstr>dscr_limit_debt_fraction</vt:lpstr>
      <vt:lpstr>dscr_maximum_debt_fraction</vt:lpstr>
      <vt:lpstr>dscr_reserve_months</vt:lpstr>
      <vt:lpstr>equip_reserve_depr_fed</vt:lpstr>
      <vt:lpstr>equip_reserve_depr_sta</vt:lpstr>
      <vt:lpstr>equip1_reserve_cost</vt:lpstr>
      <vt:lpstr>equip1_reserve_freq</vt:lpstr>
      <vt:lpstr>equip2_reserve_cost</vt:lpstr>
      <vt:lpstr>equip2_reserve_freq</vt:lpstr>
      <vt:lpstr>equip3_reserve_cost</vt:lpstr>
      <vt:lpstr>equip3_reserve_freq</vt:lpstr>
      <vt:lpstr>federal_tax_rate</vt:lpstr>
      <vt:lpstr>flip_actual_year</vt:lpstr>
      <vt:lpstr>flip_target_year</vt:lpstr>
      <vt:lpstr>fuelcell_annual_energy_discharged</vt:lpstr>
      <vt:lpstr>FuelCellFuel</vt:lpstr>
      <vt:lpstr>ibi_fed_amount</vt:lpstr>
      <vt:lpstr>ibi_fed_amount_deprbas_fed</vt:lpstr>
      <vt:lpstr>ibi_fed_amount_deprbas_sta</vt:lpstr>
      <vt:lpstr>ibi_fed_amount_tax_fed</vt:lpstr>
      <vt:lpstr>ibi_fed_amount_tax_sta</vt:lpstr>
      <vt:lpstr>ibi_fed_percent</vt:lpstr>
      <vt:lpstr>ibi_fed_percent_deprbas_fed</vt:lpstr>
      <vt:lpstr>ibi_fed_percent_deprbas_sta</vt:lpstr>
      <vt:lpstr>ibi_fed_percent_maxvalue</vt:lpstr>
      <vt:lpstr>ibi_fed_percent_tax_fed</vt:lpstr>
      <vt:lpstr>ibi_fed_percent_tax_sta</vt:lpstr>
      <vt:lpstr>ibi_oth_amount</vt:lpstr>
      <vt:lpstr>ibi_oth_amount_deprbas_fed</vt:lpstr>
      <vt:lpstr>ibi_oth_amount_deprbas_sta</vt:lpstr>
      <vt:lpstr>ibi_oth_amount_tax_fed</vt:lpstr>
      <vt:lpstr>ibi_oth_amount_tax_sta</vt:lpstr>
      <vt:lpstr>ibi_oth_percent</vt:lpstr>
      <vt:lpstr>ibi_oth_percent_deprbas_fed</vt:lpstr>
      <vt:lpstr>ibi_oth_percent_deprbas_sta</vt:lpstr>
      <vt:lpstr>ibi_oth_percent_maxvalue</vt:lpstr>
      <vt:lpstr>ibi_oth_percent_tax_fed</vt:lpstr>
      <vt:lpstr>ibi_oth_percent_tax_sta</vt:lpstr>
      <vt:lpstr>ibi_sta_amount</vt:lpstr>
      <vt:lpstr>ibi_sta_amount_deprbas_fed</vt:lpstr>
      <vt:lpstr>ibi_sta_amount_deprbas_sta</vt:lpstr>
      <vt:lpstr>ibi_sta_amount_tax_fed</vt:lpstr>
      <vt:lpstr>ibi_sta_amount_tax_sta</vt:lpstr>
      <vt:lpstr>ibi_sta_percent</vt:lpstr>
      <vt:lpstr>ibi_sta_percent_deprbas_fed</vt:lpstr>
      <vt:lpstr>ibi_sta_percent_deprbas_sta</vt:lpstr>
      <vt:lpstr>ibi_sta_percent_maxvalue</vt:lpstr>
      <vt:lpstr>ibi_sta_percent_tax_fed</vt:lpstr>
      <vt:lpstr>ibi_sta_percent_tax_sta</vt:lpstr>
      <vt:lpstr>ibi_uti_amount</vt:lpstr>
      <vt:lpstr>ibi_uti_amount_deprbas_fed</vt:lpstr>
      <vt:lpstr>ibi_uti_amount_deprbas_sta</vt:lpstr>
      <vt:lpstr>ibi_uti_amount_tax_fed</vt:lpstr>
      <vt:lpstr>ibi_uti_amount_tax_sta</vt:lpstr>
      <vt:lpstr>ibi_uti_percent</vt:lpstr>
      <vt:lpstr>ibi_uti_percent_deprbas_fed</vt:lpstr>
      <vt:lpstr>ibi_uti_percent_deprbas_sta</vt:lpstr>
      <vt:lpstr>ibi_uti_percent_maxvalue</vt:lpstr>
      <vt:lpstr>ibi_uti_percent_tax_fed</vt:lpstr>
      <vt:lpstr>ibi_uti_percent_tax_sta</vt:lpstr>
      <vt:lpstr>inflation_rate</vt:lpstr>
      <vt:lpstr>insurance_rate</vt:lpstr>
      <vt:lpstr>IRRTarget</vt:lpstr>
      <vt:lpstr>itc_fed_amount</vt:lpstr>
      <vt:lpstr>itc_fed_amount_deprbas_fed</vt:lpstr>
      <vt:lpstr>itc_fed_amount_deprbas_sta</vt:lpstr>
      <vt:lpstr>itc_fed_percent</vt:lpstr>
      <vt:lpstr>itc_fed_percent_deprbas_fed</vt:lpstr>
      <vt:lpstr>itc_fed_percent_deprbas_sta</vt:lpstr>
      <vt:lpstr>itc_fed_percent_maxvalue</vt:lpstr>
      <vt:lpstr>itc_sta_amount</vt:lpstr>
      <vt:lpstr>itc_sta_amount_deprbas_fed</vt:lpstr>
      <vt:lpstr>itc_sta_amount_deprbas_sta</vt:lpstr>
      <vt:lpstr>itc_sta_percent</vt:lpstr>
      <vt:lpstr>itc_sta_percent_deprbas_fed</vt:lpstr>
      <vt:lpstr>itc_sta_percent_deprbas_sta</vt:lpstr>
      <vt:lpstr>itc_sta_percent_maxvalue</vt:lpstr>
      <vt:lpstr>loan_moratorium</vt:lpstr>
      <vt:lpstr>months_receivables_reserve</vt:lpstr>
      <vt:lpstr>months_working_reserve</vt:lpstr>
      <vt:lpstr>MortgageSizeOfDebt</vt:lpstr>
      <vt:lpstr>NominalDiscountRate</vt:lpstr>
      <vt:lpstr>om_capacity</vt:lpstr>
      <vt:lpstr>om_capacity_escal</vt:lpstr>
      <vt:lpstr>om_fixed</vt:lpstr>
      <vt:lpstr>om_fixed_escal</vt:lpstr>
      <vt:lpstr>om_fuel_cost</vt:lpstr>
      <vt:lpstr>om_fuel_cost_escal</vt:lpstr>
      <vt:lpstr>om_land_lease</vt:lpstr>
      <vt:lpstr>om_land_lease_escal</vt:lpstr>
      <vt:lpstr>om_production</vt:lpstr>
      <vt:lpstr>om_production_escal</vt:lpstr>
      <vt:lpstr>pbi_fed_amount</vt:lpstr>
      <vt:lpstr>pbi_fed_escal</vt:lpstr>
      <vt:lpstr>pbi_fed_for_ds</vt:lpstr>
      <vt:lpstr>pbi_fed_tax_fed</vt:lpstr>
      <vt:lpstr>pbi_fed_tax_sta</vt:lpstr>
      <vt:lpstr>pbi_fed_term</vt:lpstr>
      <vt:lpstr>pbi_oth_amount</vt:lpstr>
      <vt:lpstr>pbi_oth_escal</vt:lpstr>
      <vt:lpstr>pbi_oth_for_ds</vt:lpstr>
      <vt:lpstr>pbi_oth_tax_fed</vt:lpstr>
      <vt:lpstr>pbi_oth_tax_sta</vt:lpstr>
      <vt:lpstr>pbi_oth_term</vt:lpstr>
      <vt:lpstr>pbi_sta_amount</vt:lpstr>
      <vt:lpstr>pbi_sta_escal</vt:lpstr>
      <vt:lpstr>pbi_sta_for_ds</vt:lpstr>
      <vt:lpstr>pbi_sta_tax_fed</vt:lpstr>
      <vt:lpstr>pbi_sta_tax_sta</vt:lpstr>
      <vt:lpstr>pbi_sta_term</vt:lpstr>
      <vt:lpstr>pbi_uti_amount</vt:lpstr>
      <vt:lpstr>pbi_uti_escal</vt:lpstr>
      <vt:lpstr>pbi_uti_for_ds</vt:lpstr>
      <vt:lpstr>pbi_uti_tax_fed</vt:lpstr>
      <vt:lpstr>pbi_uti_tax_sta</vt:lpstr>
      <vt:lpstr>pbi_uti_term</vt:lpstr>
      <vt:lpstr>ppa_escalation</vt:lpstr>
      <vt:lpstr>PPAPriceInput</vt:lpstr>
      <vt:lpstr>prop_tax_assessed_decline</vt:lpstr>
      <vt:lpstr>prop_tax_cost_assessed_percent</vt:lpstr>
      <vt:lpstr>property_tax_rate</vt:lpstr>
      <vt:lpstr>PropertyTaxAssessedValue</vt:lpstr>
      <vt:lpstr>ptc_fed_amount</vt:lpstr>
      <vt:lpstr>ptc_fed_escal</vt:lpstr>
      <vt:lpstr>ptc_fed_term</vt:lpstr>
      <vt:lpstr>ptc_sta_amount</vt:lpstr>
      <vt:lpstr>ptc_sta_escal</vt:lpstr>
      <vt:lpstr>ptc_sta_term</vt:lpstr>
      <vt:lpstr>real_discount_rate</vt:lpstr>
      <vt:lpstr>reserves_interest</vt:lpstr>
      <vt:lpstr>sales_tax_rate</vt:lpstr>
      <vt:lpstr>salvage_percentage</vt:lpstr>
      <vt:lpstr>sponsor_cap_recovery_year</vt:lpstr>
      <vt:lpstr>SponsorCapRecoveryMode</vt:lpstr>
      <vt:lpstr>state_tax_rate</vt:lpstr>
      <vt:lpstr>system_capacity</vt:lpstr>
      <vt:lpstr>system_heat_rate</vt:lpstr>
      <vt:lpstr>tax_investor_equity_percent</vt:lpstr>
      <vt:lpstr>tax_investor_postflip_cash_percent</vt:lpstr>
      <vt:lpstr>tax_investor_postflip_tax_percent</vt:lpstr>
      <vt:lpstr>tax_investor_preflip_cash_percent</vt:lpstr>
      <vt:lpstr>tax_investor_preflip_tax_percent</vt:lpstr>
      <vt:lpstr>term_int_rate</vt:lpstr>
      <vt:lpstr>term_tenor</vt:lpstr>
      <vt:lpstr>TODMultipliersApply</vt:lpstr>
      <vt:lpstr>total_installed_cost</vt:lpstr>
      <vt:lpstr>total_land_area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2022-05-12T21:30:31Z</dcterms:created>
  <dcterms:modified xsi:type="dcterms:W3CDTF">2026-04-09T23:15:15Z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_assessed_decline" linkTarget="prop_tax_assessed_decline">
    <vt:r8>0</vt:r8>
  </property>
  <property fmtid="{D5CDD505-2E9C-101B-9397-08002B2CF9AE}" pid="3" name="tax_cost_assessed_percent" linkTarget="prop_tax_cost_assessed_percent">
    <vt:r8>0</vt:r8>
  </property>
</Properties>
</file>